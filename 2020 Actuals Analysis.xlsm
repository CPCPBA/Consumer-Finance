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pp1s\Documents\GitHub\Consumer Finance\"/>
    </mc:Choice>
  </mc:AlternateContent>
  <xr:revisionPtr revIDLastSave="0" documentId="13_ncr:1_{A69A3E07-C783-42F4-8F2C-FF7E29F4D1A3}" xr6:coauthVersionLast="45" xr6:coauthVersionMax="45" xr10:uidLastSave="{00000000-0000-0000-0000-000000000000}"/>
  <bookViews>
    <workbookView xWindow="480" yWindow="1860" windowWidth="25575" windowHeight="11385" firstSheet="7" activeTab="7" xr2:uid="{3CD15051-6DC2-894E-8E49-1A7375E97B6C}"/>
  </bookViews>
  <sheets>
    <sheet name="2020 Budget" sheetId="17" r:id="rId1"/>
    <sheet name="Expense Detail" sheetId="25" r:id="rId2"/>
    <sheet name="Lookup Tables" sheetId="23" r:id="rId3"/>
    <sheet name="Mortgage" sheetId="14" r:id="rId4"/>
    <sheet name="PROPERTY TAXES" sheetId="15" r:id="rId5"/>
    <sheet name="Schwab" sheetId="24" r:id="rId6"/>
    <sheet name="Sprint" sheetId="12" r:id="rId7"/>
    <sheet name="Expense Detail Old" sheetId="22" r:id="rId8"/>
    <sheet name="Phil Amount Summaries" sheetId="18" r:id="rId9"/>
    <sheet name="Phil Long Term Savings" sheetId="19" r:id="rId10"/>
  </sheets>
  <functionGroups builtInGroupCount="19"/>
  <definedNames>
    <definedName name="_xlnm._FilterDatabase" localSheetId="1" hidden="1">'Expense Detail'!$A$1:$K$1583</definedName>
    <definedName name="_xlnm._FilterDatabase" localSheetId="7" hidden="1">'Expense Detail Old'!$A$1:$J$1583</definedName>
  </definedNames>
  <calcPr calcId="191029"/>
  <pivotCaches>
    <pivotCache cacheId="0" r:id="rId11"/>
    <pivotCache cacheId="1" r:id="rId12"/>
    <pivotCache cacheId="2" r:id="rId13"/>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584" i="22" l="1"/>
  <c r="F1584" i="22"/>
  <c r="G663" i="22" l="1"/>
  <c r="G662" i="22"/>
  <c r="G661" i="22"/>
  <c r="G660" i="22"/>
  <c r="G659" i="22"/>
  <c r="B663" i="22"/>
  <c r="E663" i="22" s="1"/>
  <c r="B662" i="22"/>
  <c r="E662" i="22" s="1"/>
  <c r="B661" i="22"/>
  <c r="E661" i="22" s="1"/>
  <c r="B660" i="22"/>
  <c r="E660" i="22" s="1"/>
  <c r="B659" i="22"/>
  <c r="E659" i="22" s="1"/>
  <c r="G748" i="22"/>
  <c r="B748" i="22"/>
  <c r="E748" i="22" s="1"/>
  <c r="G806" i="22"/>
  <c r="G805" i="22"/>
  <c r="G804" i="22"/>
  <c r="G803" i="22"/>
  <c r="G802" i="22"/>
  <c r="G801" i="22"/>
  <c r="G800" i="22"/>
  <c r="G799" i="22"/>
  <c r="G798" i="22"/>
  <c r="G797" i="22"/>
  <c r="G796" i="22"/>
  <c r="G795" i="22"/>
  <c r="G794" i="22"/>
  <c r="G793" i="22"/>
  <c r="G792" i="22"/>
  <c r="G791" i="22"/>
  <c r="G790" i="22"/>
  <c r="G789" i="22"/>
  <c r="B797" i="22"/>
  <c r="E797" i="22" s="1"/>
  <c r="B803" i="22"/>
  <c r="E803" i="22" s="1"/>
  <c r="B799" i="22"/>
  <c r="E799" i="22" s="1"/>
  <c r="B790" i="22"/>
  <c r="E790" i="22" s="1"/>
  <c r="B796" i="22"/>
  <c r="E796" i="22" s="1"/>
  <c r="B805" i="22"/>
  <c r="E805" i="22" s="1"/>
  <c r="B801" i="22"/>
  <c r="E801" i="22" s="1"/>
  <c r="B795" i="22"/>
  <c r="E795" i="22" s="1"/>
  <c r="B804" i="22"/>
  <c r="E804" i="22" s="1"/>
  <c r="B800" i="22"/>
  <c r="E800" i="22" s="1"/>
  <c r="B789" i="22"/>
  <c r="E789" i="22" s="1"/>
  <c r="B791" i="22"/>
  <c r="E791" i="22" s="1"/>
  <c r="B793" i="22"/>
  <c r="E793" i="22" s="1"/>
  <c r="B792" i="22"/>
  <c r="E792" i="22" s="1"/>
  <c r="B798" i="22"/>
  <c r="E798" i="22" s="1"/>
  <c r="B806" i="22"/>
  <c r="E806" i="22" s="1"/>
  <c r="B802" i="22"/>
  <c r="E802" i="22" s="1"/>
  <c r="G141" i="18" l="1"/>
  <c r="G142" i="18" s="1"/>
  <c r="B141" i="18"/>
  <c r="G140" i="18"/>
  <c r="B140" i="18"/>
  <c r="F138" i="18" l="1"/>
  <c r="B139" i="18" l="1"/>
  <c r="G137" i="18"/>
  <c r="G138" i="18" s="1"/>
  <c r="G139" i="18" s="1"/>
  <c r="G136" i="18"/>
  <c r="B138" i="18"/>
  <c r="B137" i="18"/>
  <c r="B136" i="18"/>
  <c r="G646" i="22" l="1"/>
  <c r="B646" i="22"/>
  <c r="E646" i="22" s="1"/>
  <c r="G644" i="22"/>
  <c r="G645" i="22"/>
  <c r="B645" i="22"/>
  <c r="E645" i="22" s="1"/>
  <c r="B644" i="22"/>
  <c r="E644" i="22" s="1"/>
  <c r="G643" i="22"/>
  <c r="B643" i="22"/>
  <c r="E643" i="22" s="1"/>
  <c r="I613" i="22"/>
  <c r="I614" i="22" s="1"/>
  <c r="I615" i="22" s="1"/>
  <c r="I616" i="22" s="1"/>
  <c r="I617" i="22" s="1"/>
  <c r="I618" i="22" s="1"/>
  <c r="I619" i="22" s="1"/>
  <c r="I620" i="22" s="1"/>
  <c r="I621" i="22" s="1"/>
  <c r="I622" i="22" s="1"/>
  <c r="I623" i="22" s="1"/>
  <c r="I624" i="22" s="1"/>
  <c r="I625" i="22" s="1"/>
  <c r="I626" i="22" s="1"/>
  <c r="I627" i="22" s="1"/>
  <c r="I628" i="22" s="1"/>
  <c r="I629" i="22" s="1"/>
  <c r="I630" i="22" s="1"/>
  <c r="I631" i="22" s="1"/>
  <c r="I632" i="22" s="1"/>
  <c r="I633" i="22" s="1"/>
  <c r="I634" i="22" s="1"/>
  <c r="I635" i="22" s="1"/>
  <c r="I636" i="22" s="1"/>
  <c r="I637" i="22" s="1"/>
  <c r="I638" i="22" s="1"/>
  <c r="I639" i="22" s="1"/>
  <c r="I640" i="22" s="1"/>
  <c r="I641" i="22" s="1"/>
  <c r="I642" i="22" s="1"/>
  <c r="I643" i="22" s="1"/>
  <c r="I644" i="22" s="1"/>
  <c r="I645" i="22" s="1"/>
  <c r="I646" i="22" s="1"/>
  <c r="G640" i="22"/>
  <c r="B640" i="22"/>
  <c r="E640" i="22" s="1"/>
  <c r="B647" i="22"/>
  <c r="E647" i="22" s="1"/>
  <c r="G647" i="22"/>
  <c r="G637" i="22"/>
  <c r="B637" i="22"/>
  <c r="E637" i="22" s="1"/>
  <c r="G635" i="22"/>
  <c r="B635" i="22"/>
  <c r="E635" i="22" s="1"/>
  <c r="G639" i="22"/>
  <c r="B639" i="22"/>
  <c r="E639" i="22" s="1"/>
  <c r="G638" i="22"/>
  <c r="B638" i="22"/>
  <c r="E638" i="22" s="1"/>
  <c r="G636" i="22"/>
  <c r="B636" i="22"/>
  <c r="E636" i="22" s="1"/>
  <c r="G642" i="22"/>
  <c r="B642" i="22"/>
  <c r="E642" i="22" s="1"/>
  <c r="G634" i="22"/>
  <c r="B634" i="22"/>
  <c r="E634" i="22" s="1"/>
  <c r="G633" i="22"/>
  <c r="B633" i="22"/>
  <c r="E633" i="22" s="1"/>
  <c r="G630" i="22"/>
  <c r="B630" i="22"/>
  <c r="E630" i="22" s="1"/>
  <c r="G629" i="22"/>
  <c r="B629" i="22"/>
  <c r="E629" i="22" s="1"/>
  <c r="G631" i="22"/>
  <c r="B631" i="22"/>
  <c r="E631" i="22" s="1"/>
  <c r="G632" i="22"/>
  <c r="B632" i="22"/>
  <c r="E632" i="22" s="1"/>
  <c r="G621" i="22"/>
  <c r="B621" i="22"/>
  <c r="E621" i="22" s="1"/>
  <c r="G641" i="22"/>
  <c r="B641" i="22"/>
  <c r="E641" i="22" s="1"/>
  <c r="G628" i="22"/>
  <c r="B628" i="22"/>
  <c r="E628" i="22" s="1"/>
  <c r="G622" i="22"/>
  <c r="B622" i="22"/>
  <c r="E622" i="22" s="1"/>
  <c r="G623" i="22"/>
  <c r="B623" i="22"/>
  <c r="E623" i="22" s="1"/>
  <c r="G625" i="22"/>
  <c r="B625" i="22"/>
  <c r="E625" i="22" s="1"/>
  <c r="G627" i="22"/>
  <c r="B627" i="22"/>
  <c r="E627" i="22" s="1"/>
  <c r="G626" i="22"/>
  <c r="B626" i="22"/>
  <c r="E626" i="22" s="1"/>
  <c r="G624" i="22"/>
  <c r="B624" i="22"/>
  <c r="E624" i="22" s="1"/>
  <c r="G620" i="22"/>
  <c r="B620" i="22"/>
  <c r="E620" i="22" s="1"/>
  <c r="AM50" i="17" l="1"/>
  <c r="AM52" i="17"/>
  <c r="AM51" i="17"/>
  <c r="I747" i="22"/>
  <c r="I748" i="22" s="1"/>
  <c r="G747" i="22"/>
  <c r="B747" i="22"/>
  <c r="E747" i="22" s="1"/>
  <c r="G746" i="22"/>
  <c r="B746" i="22"/>
  <c r="E746" i="22" s="1"/>
  <c r="G745" i="22"/>
  <c r="B745" i="22"/>
  <c r="E745" i="22" s="1"/>
  <c r="G744" i="22"/>
  <c r="B744" i="22"/>
  <c r="E744" i="22" s="1"/>
  <c r="I735" i="22"/>
  <c r="G735" i="22"/>
  <c r="G743" i="22"/>
  <c r="B743" i="22"/>
  <c r="E743" i="22" s="1"/>
  <c r="G742" i="22"/>
  <c r="B742" i="22"/>
  <c r="E742" i="22" s="1"/>
  <c r="G741" i="22"/>
  <c r="B741" i="22"/>
  <c r="E741" i="22" s="1"/>
  <c r="G740" i="22"/>
  <c r="B740" i="22"/>
  <c r="E740" i="22" s="1"/>
  <c r="G739" i="22"/>
  <c r="B739" i="22"/>
  <c r="E739" i="22" s="1"/>
  <c r="G738" i="22"/>
  <c r="B738" i="22"/>
  <c r="E738" i="22" s="1"/>
  <c r="G737" i="22"/>
  <c r="B737" i="22"/>
  <c r="E737" i="22" s="1"/>
  <c r="G736" i="22"/>
  <c r="B736" i="22"/>
  <c r="E736" i="22" s="1"/>
  <c r="B735" i="22"/>
  <c r="E735" i="22" s="1"/>
  <c r="B733" i="22"/>
  <c r="E733" i="22" s="1"/>
  <c r="G734" i="22"/>
  <c r="B734" i="22"/>
  <c r="E734" i="22" s="1"/>
  <c r="G733" i="22"/>
  <c r="G732" i="22"/>
  <c r="B732" i="22"/>
  <c r="E732" i="22" s="1"/>
  <c r="G729" i="22"/>
  <c r="B729" i="22"/>
  <c r="E729" i="22" s="1"/>
  <c r="G731" i="22"/>
  <c r="B731" i="22"/>
  <c r="E731" i="22" s="1"/>
  <c r="G730" i="22"/>
  <c r="B730" i="22"/>
  <c r="E730" i="22" s="1"/>
  <c r="AM138" i="17"/>
  <c r="G728" i="22"/>
  <c r="B728" i="22"/>
  <c r="E728" i="22" s="1"/>
  <c r="G727" i="22"/>
  <c r="B727" i="22"/>
  <c r="E727" i="22" s="1"/>
  <c r="G726" i="22"/>
  <c r="B726" i="22"/>
  <c r="E726" i="22" s="1"/>
  <c r="G725" i="22"/>
  <c r="B725" i="22"/>
  <c r="E725" i="22" s="1"/>
  <c r="G724" i="22"/>
  <c r="B724" i="22"/>
  <c r="E724" i="22" s="1"/>
  <c r="G723" i="22"/>
  <c r="B723" i="22"/>
  <c r="E723" i="22" s="1"/>
  <c r="G722" i="22"/>
  <c r="B722" i="22"/>
  <c r="E722" i="22" s="1"/>
  <c r="G658" i="22"/>
  <c r="I651" i="22"/>
  <c r="I650" i="22" s="1"/>
  <c r="I649" i="22" s="1"/>
  <c r="I648" i="22" s="1"/>
  <c r="I647" i="22" s="1"/>
  <c r="G657" i="22"/>
  <c r="G656" i="22"/>
  <c r="G655" i="22"/>
  <c r="B658" i="22"/>
  <c r="E658" i="22" s="1"/>
  <c r="B657" i="22"/>
  <c r="E657" i="22" s="1"/>
  <c r="B656" i="22"/>
  <c r="E656" i="22" s="1"/>
  <c r="I653" i="22"/>
  <c r="I654" i="22" s="1"/>
  <c r="I655" i="22" s="1"/>
  <c r="I656" i="22" s="1"/>
  <c r="I657" i="22" s="1"/>
  <c r="I658" i="22" s="1"/>
  <c r="I659" i="22" s="1"/>
  <c r="I660" i="22" s="1"/>
  <c r="I661" i="22" s="1"/>
  <c r="I662" i="22" s="1"/>
  <c r="I663" i="22" s="1"/>
  <c r="B655" i="22"/>
  <c r="E655" i="22" s="1"/>
  <c r="G654" i="22"/>
  <c r="B654" i="22"/>
  <c r="E654" i="22" s="1"/>
  <c r="G653" i="22"/>
  <c r="B653" i="22"/>
  <c r="E653" i="22" s="1"/>
  <c r="G652" i="22"/>
  <c r="B652" i="22"/>
  <c r="E652" i="22" s="1"/>
  <c r="G651" i="22"/>
  <c r="B651" i="22"/>
  <c r="E651" i="22" s="1"/>
  <c r="G650" i="22"/>
  <c r="B650" i="22"/>
  <c r="E650" i="22" s="1"/>
  <c r="G648" i="22"/>
  <c r="B648" i="22"/>
  <c r="E648" i="22" s="1"/>
  <c r="G649" i="22"/>
  <c r="B649" i="22"/>
  <c r="E649" i="22" s="1"/>
  <c r="G721" i="22"/>
  <c r="B721" i="22"/>
  <c r="E721" i="22" s="1"/>
  <c r="G351" i="22"/>
  <c r="G353" i="22"/>
  <c r="B353" i="22"/>
  <c r="E353" i="22" s="1"/>
  <c r="G352" i="22"/>
  <c r="B352" i="22"/>
  <c r="B351" i="22"/>
  <c r="E351" i="22" s="1"/>
  <c r="AJ110" i="17"/>
  <c r="AG110" i="17"/>
  <c r="AD110" i="17"/>
  <c r="AA110" i="17"/>
  <c r="X110" i="17"/>
  <c r="U110" i="17"/>
  <c r="R110" i="17"/>
  <c r="O110" i="17"/>
  <c r="L110" i="17"/>
  <c r="I110" i="17"/>
  <c r="F110" i="17"/>
  <c r="C110" i="17"/>
  <c r="R44" i="17" l="1"/>
  <c r="AJ32" i="17"/>
  <c r="AG32" i="17"/>
  <c r="AD32" i="17"/>
  <c r="AA32" i="17"/>
  <c r="X32" i="17"/>
  <c r="U32" i="17"/>
  <c r="R32" i="17"/>
  <c r="O32" i="17"/>
  <c r="L32" i="17"/>
  <c r="I32" i="17"/>
  <c r="F32" i="17"/>
  <c r="C32" i="17"/>
  <c r="G375" i="22"/>
  <c r="B375" i="22"/>
  <c r="E375" i="22" s="1"/>
  <c r="G331" i="22"/>
  <c r="G328" i="22"/>
  <c r="G327" i="22"/>
  <c r="G330" i="22"/>
  <c r="G333" i="22"/>
  <c r="G332" i="22"/>
  <c r="G334" i="22"/>
  <c r="G335" i="22"/>
  <c r="G338" i="22"/>
  <c r="G336" i="22"/>
  <c r="G337" i="22"/>
  <c r="G340" i="22"/>
  <c r="G339" i="22"/>
  <c r="G341" i="22"/>
  <c r="G342" i="22"/>
  <c r="G345" i="22"/>
  <c r="G344" i="22"/>
  <c r="G346" i="22"/>
  <c r="G347" i="22"/>
  <c r="G343" i="22"/>
  <c r="G348" i="22"/>
  <c r="G349" i="22"/>
  <c r="G350" i="22"/>
  <c r="B331" i="22"/>
  <c r="E331" i="22" s="1"/>
  <c r="B328" i="22"/>
  <c r="E328" i="22" s="1"/>
  <c r="B327" i="22"/>
  <c r="E327" i="22" s="1"/>
  <c r="B330" i="22"/>
  <c r="E330" i="22" s="1"/>
  <c r="B333" i="22"/>
  <c r="E333" i="22" s="1"/>
  <c r="B332" i="22"/>
  <c r="E332" i="22" s="1"/>
  <c r="B334" i="22"/>
  <c r="E334" i="22" s="1"/>
  <c r="B335" i="22"/>
  <c r="E335" i="22" s="1"/>
  <c r="B338" i="22"/>
  <c r="E338" i="22" s="1"/>
  <c r="B336" i="22"/>
  <c r="E336" i="22" s="1"/>
  <c r="B337" i="22"/>
  <c r="E337" i="22" s="1"/>
  <c r="B340" i="22"/>
  <c r="E340" i="22" s="1"/>
  <c r="B339" i="22"/>
  <c r="E339" i="22" s="1"/>
  <c r="B341" i="22"/>
  <c r="E341" i="22" s="1"/>
  <c r="B342" i="22"/>
  <c r="E342" i="22" s="1"/>
  <c r="B345" i="22"/>
  <c r="E345" i="22" s="1"/>
  <c r="B344" i="22"/>
  <c r="E344" i="22" s="1"/>
  <c r="B346" i="22"/>
  <c r="E346" i="22" s="1"/>
  <c r="B347" i="22"/>
  <c r="E347" i="22" s="1"/>
  <c r="B343" i="22"/>
  <c r="E343" i="22" s="1"/>
  <c r="B348" i="22"/>
  <c r="E348" i="22" s="1"/>
  <c r="B349" i="22"/>
  <c r="E349" i="22" s="1"/>
  <c r="B350" i="22"/>
  <c r="E350" i="22" s="1"/>
  <c r="G617" i="22"/>
  <c r="G618" i="22"/>
  <c r="G613" i="22"/>
  <c r="G619" i="22"/>
  <c r="G616" i="22"/>
  <c r="G615" i="22"/>
  <c r="G614" i="22"/>
  <c r="B617" i="22"/>
  <c r="E617" i="22" s="1"/>
  <c r="B618" i="22"/>
  <c r="E618" i="22" s="1"/>
  <c r="B613" i="22"/>
  <c r="E613" i="22" s="1"/>
  <c r="B619" i="22"/>
  <c r="E619" i="22" s="1"/>
  <c r="B616" i="22"/>
  <c r="E616" i="22" s="1"/>
  <c r="B615" i="22"/>
  <c r="E615" i="22" s="1"/>
  <c r="B614" i="22"/>
  <c r="E614" i="22" s="1"/>
  <c r="AJ6" i="17" l="1"/>
  <c r="AG6" i="17"/>
  <c r="AD6" i="17"/>
  <c r="AA6" i="17"/>
  <c r="X6" i="17"/>
  <c r="U6" i="17"/>
  <c r="R6" i="17"/>
  <c r="O6" i="17"/>
  <c r="L6" i="17"/>
  <c r="I6" i="17"/>
  <c r="F6" i="17"/>
  <c r="C6" i="17"/>
  <c r="AM107" i="17"/>
  <c r="AM54" i="17"/>
  <c r="G788" i="22"/>
  <c r="B788" i="22"/>
  <c r="E788" i="22" s="1"/>
  <c r="G781" i="22"/>
  <c r="B781" i="22"/>
  <c r="E781" i="22" s="1"/>
  <c r="G780" i="22"/>
  <c r="B780" i="22"/>
  <c r="E780" i="22" s="1"/>
  <c r="G782" i="22"/>
  <c r="B782" i="22"/>
  <c r="E782" i="22" s="1"/>
  <c r="G783" i="22"/>
  <c r="B783" i="22"/>
  <c r="E783" i="22" s="1"/>
  <c r="G786" i="22"/>
  <c r="B786" i="22"/>
  <c r="E786" i="22" s="1"/>
  <c r="G785" i="22"/>
  <c r="B785" i="22"/>
  <c r="E785" i="22" s="1"/>
  <c r="G787" i="22"/>
  <c r="B787" i="22"/>
  <c r="E787" i="22" s="1"/>
  <c r="B794" i="22"/>
  <c r="E794" i="22" s="1"/>
  <c r="G784" i="22"/>
  <c r="B784" i="22"/>
  <c r="E784" i="22" s="1"/>
  <c r="G774" i="22"/>
  <c r="B774" i="22"/>
  <c r="E774" i="22" s="1"/>
  <c r="G777" i="22"/>
  <c r="B777" i="22"/>
  <c r="E777" i="22" s="1"/>
  <c r="G779" i="22"/>
  <c r="B779" i="22"/>
  <c r="E779" i="22" s="1"/>
  <c r="G775" i="22"/>
  <c r="B775" i="22"/>
  <c r="E775" i="22" s="1"/>
  <c r="G773" i="22"/>
  <c r="B773" i="22"/>
  <c r="E773" i="22" s="1"/>
  <c r="G776" i="22"/>
  <c r="B776" i="22"/>
  <c r="E776" i="22" s="1"/>
  <c r="G778" i="22"/>
  <c r="B778" i="22"/>
  <c r="E778" i="22" s="1"/>
  <c r="I759" i="22"/>
  <c r="G772" i="22"/>
  <c r="B772" i="22"/>
  <c r="E772" i="22" s="1"/>
  <c r="G767" i="22"/>
  <c r="B767" i="22"/>
  <c r="E767" i="22" s="1"/>
  <c r="G759" i="22"/>
  <c r="B759" i="22"/>
  <c r="E759" i="22" s="1"/>
  <c r="G754" i="22"/>
  <c r="B754" i="22"/>
  <c r="E754" i="22" s="1"/>
  <c r="H273" i="22"/>
  <c r="H272" i="22"/>
  <c r="G273" i="22"/>
  <c r="B273" i="22"/>
  <c r="E273" i="22" s="1"/>
  <c r="G283" i="22"/>
  <c r="B283" i="22"/>
  <c r="E283" i="22" s="1"/>
  <c r="H243" i="22"/>
  <c r="H244" i="22"/>
  <c r="G243" i="22"/>
  <c r="B243" i="22"/>
  <c r="E243" i="22" s="1"/>
  <c r="G238" i="22"/>
  <c r="G252" i="22"/>
  <c r="B252" i="22"/>
  <c r="E252" i="22" s="1"/>
  <c r="K147" i="22"/>
  <c r="K150" i="22"/>
  <c r="K149" i="22"/>
  <c r="K148" i="22"/>
  <c r="K146" i="22"/>
  <c r="K145" i="22"/>
  <c r="K144" i="22"/>
  <c r="K143" i="22"/>
  <c r="K142" i="22"/>
  <c r="K141" i="22"/>
  <c r="K139" i="22"/>
  <c r="K140" i="22"/>
  <c r="K137" i="22"/>
  <c r="K138" i="22"/>
  <c r="K136" i="22"/>
  <c r="K135" i="22"/>
  <c r="K134" i="22"/>
  <c r="K133" i="22"/>
  <c r="K132" i="22"/>
  <c r="K131" i="22"/>
  <c r="K130" i="22"/>
  <c r="K129" i="22"/>
  <c r="K127" i="22"/>
  <c r="K128" i="22"/>
  <c r="K125" i="22"/>
  <c r="K126" i="22"/>
  <c r="K124" i="22"/>
  <c r="K123" i="22"/>
  <c r="K122" i="22"/>
  <c r="K121" i="22"/>
  <c r="K120" i="22"/>
  <c r="K119" i="22"/>
  <c r="K118" i="22"/>
  <c r="K116" i="22"/>
  <c r="K115" i="22"/>
  <c r="K117" i="22"/>
  <c r="K114" i="22"/>
  <c r="K113" i="22"/>
  <c r="K112" i="22"/>
  <c r="K111" i="22"/>
  <c r="K110" i="22"/>
  <c r="K109" i="22"/>
  <c r="K108" i="22"/>
  <c r="K107" i="22"/>
  <c r="K106" i="22"/>
  <c r="K105" i="22"/>
  <c r="K104" i="22"/>
  <c r="K103" i="22"/>
  <c r="K102" i="22"/>
  <c r="K100" i="22"/>
  <c r="K101" i="22"/>
  <c r="K99" i="22"/>
  <c r="K97" i="22"/>
  <c r="K98" i="22"/>
  <c r="K95" i="22"/>
  <c r="K94" i="22"/>
  <c r="K96" i="22"/>
  <c r="K93" i="22"/>
  <c r="K91" i="22"/>
  <c r="K90" i="22"/>
  <c r="K92" i="22"/>
  <c r="K88" i="22"/>
  <c r="K89" i="22"/>
  <c r="K87" i="22"/>
  <c r="K86" i="22"/>
  <c r="K81" i="22"/>
  <c r="K82" i="22"/>
  <c r="K85" i="22"/>
  <c r="K84" i="22"/>
  <c r="K83" i="22"/>
  <c r="K77" i="22"/>
  <c r="K76" i="22"/>
  <c r="K79" i="22"/>
  <c r="K78" i="22"/>
  <c r="K80" i="22"/>
  <c r="K75" i="22"/>
  <c r="K73" i="22"/>
  <c r="K72" i="22"/>
  <c r="K71" i="22"/>
  <c r="K74" i="22"/>
  <c r="K70" i="22"/>
  <c r="K68" i="22"/>
  <c r="K69" i="22"/>
  <c r="K67" i="22"/>
  <c r="K66" i="22"/>
  <c r="K65" i="22"/>
  <c r="K64" i="22"/>
  <c r="K63" i="22"/>
  <c r="K62" i="22"/>
  <c r="K61" i="22"/>
  <c r="K57" i="22"/>
  <c r="K60" i="22"/>
  <c r="K59" i="22"/>
  <c r="K58" i="22"/>
  <c r="K56" i="22"/>
  <c r="K55" i="22"/>
  <c r="K53" i="22"/>
  <c r="K54" i="22"/>
  <c r="K50" i="22"/>
  <c r="K51" i="22"/>
  <c r="K52" i="22"/>
  <c r="K46" i="22"/>
  <c r="K45" i="22"/>
  <c r="K49" i="22"/>
  <c r="K48" i="22"/>
  <c r="K47" i="22"/>
  <c r="K44" i="22"/>
  <c r="K42" i="22"/>
  <c r="K43" i="22"/>
  <c r="K41" i="22"/>
  <c r="K38" i="22"/>
  <c r="K36" i="22"/>
  <c r="K35" i="22"/>
  <c r="K40" i="22"/>
  <c r="K39" i="22"/>
  <c r="K37" i="22"/>
  <c r="K34" i="22"/>
  <c r="K33" i="22"/>
  <c r="K32" i="22"/>
  <c r="K31" i="22"/>
  <c r="K28" i="22"/>
  <c r="K30" i="22"/>
  <c r="K29" i="22"/>
  <c r="K27" i="22"/>
  <c r="K26" i="22"/>
  <c r="K25" i="22"/>
  <c r="K23" i="22"/>
  <c r="K24" i="22"/>
  <c r="K22" i="22"/>
  <c r="K20" i="22"/>
  <c r="K21" i="22"/>
  <c r="K18" i="22"/>
  <c r="K19" i="22"/>
  <c r="K17" i="22"/>
  <c r="K16" i="22"/>
  <c r="K15" i="22"/>
  <c r="K14" i="22"/>
  <c r="K10" i="22"/>
  <c r="K8" i="22"/>
  <c r="K11" i="22"/>
  <c r="K9" i="22"/>
  <c r="K7" i="22"/>
  <c r="K13" i="22"/>
  <c r="K12" i="22"/>
  <c r="K4" i="22"/>
  <c r="K5" i="22"/>
  <c r="K6" i="22"/>
  <c r="K3" i="22"/>
  <c r="K2" i="22"/>
  <c r="G152" i="22"/>
  <c r="B152" i="22"/>
  <c r="E152" i="22" s="1"/>
  <c r="G196" i="22"/>
  <c r="B196" i="22"/>
  <c r="E196" i="22" s="1"/>
  <c r="G153" i="22" l="1"/>
  <c r="B153" i="22"/>
  <c r="E153" i="22" s="1"/>
  <c r="G720" i="22"/>
  <c r="B720" i="22"/>
  <c r="E720" i="22" s="1"/>
  <c r="B808" i="22"/>
  <c r="E808" i="22" s="1"/>
  <c r="G808" i="22"/>
  <c r="I713" i="22"/>
  <c r="I714" i="22" s="1"/>
  <c r="G715" i="22"/>
  <c r="B715" i="22"/>
  <c r="E715" i="22" s="1"/>
  <c r="B717" i="22"/>
  <c r="E717" i="22" s="1"/>
  <c r="G717" i="22"/>
  <c r="G709" i="22"/>
  <c r="B709" i="22"/>
  <c r="E709" i="22" s="1"/>
  <c r="G711" i="22"/>
  <c r="B711" i="22"/>
  <c r="E711" i="22" s="1"/>
  <c r="G719" i="22"/>
  <c r="G718" i="22"/>
  <c r="G716" i="22"/>
  <c r="G714" i="22"/>
  <c r="G713" i="22"/>
  <c r="G712" i="22"/>
  <c r="G710" i="22"/>
  <c r="G707" i="22"/>
  <c r="B719" i="22"/>
  <c r="E719" i="22" s="1"/>
  <c r="B718" i="22"/>
  <c r="E718" i="22" s="1"/>
  <c r="B716" i="22"/>
  <c r="E716" i="22" s="1"/>
  <c r="B714" i="22"/>
  <c r="E714" i="22" s="1"/>
  <c r="B713" i="22"/>
  <c r="E713" i="22" s="1"/>
  <c r="B712" i="22"/>
  <c r="E712" i="22" s="1"/>
  <c r="B710" i="22"/>
  <c r="E710" i="22" s="1"/>
  <c r="B707" i="22"/>
  <c r="E707" i="22" s="1"/>
  <c r="G708" i="22"/>
  <c r="B708" i="22"/>
  <c r="E708" i="22" s="1"/>
  <c r="G702" i="22"/>
  <c r="B702" i="22"/>
  <c r="E702" i="22" s="1"/>
  <c r="G667" i="22"/>
  <c r="B667" i="22"/>
  <c r="E667" i="22" s="1"/>
  <c r="G669" i="22"/>
  <c r="B669" i="22"/>
  <c r="E669" i="22" s="1"/>
  <c r="G664" i="22"/>
  <c r="B664" i="22"/>
  <c r="E664" i="22" s="1"/>
  <c r="G518" i="22"/>
  <c r="B518" i="22"/>
  <c r="E518" i="22" s="1"/>
  <c r="G515" i="22"/>
  <c r="B515" i="22"/>
  <c r="E515" i="22" s="1"/>
  <c r="G514" i="22"/>
  <c r="B514" i="22"/>
  <c r="E514" i="22" s="1"/>
  <c r="G513" i="22"/>
  <c r="B513" i="22"/>
  <c r="E513" i="22" s="1"/>
  <c r="G610" i="22"/>
  <c r="G609" i="22"/>
  <c r="B610" i="22"/>
  <c r="E610" i="22" s="1"/>
  <c r="B609" i="22"/>
  <c r="E609" i="22" s="1"/>
  <c r="G605" i="22"/>
  <c r="B605" i="22"/>
  <c r="E605" i="22" s="1"/>
  <c r="G517" i="22"/>
  <c r="B517" i="22"/>
  <c r="E517" i="22" s="1"/>
  <c r="G494" i="22"/>
  <c r="B494" i="22"/>
  <c r="E494" i="22" s="1"/>
  <c r="G473" i="22"/>
  <c r="B473" i="22"/>
  <c r="E473" i="22" s="1"/>
  <c r="G419" i="22"/>
  <c r="B419" i="22"/>
  <c r="E419" i="22" s="1"/>
  <c r="G401" i="22"/>
  <c r="B401" i="22"/>
  <c r="E401" i="22" s="1"/>
  <c r="AM133" i="17" l="1"/>
  <c r="E53" i="23"/>
  <c r="H53" i="23"/>
  <c r="I53" i="23"/>
  <c r="J53" i="23"/>
  <c r="K53" i="23"/>
  <c r="E26" i="23"/>
  <c r="H26" i="23"/>
  <c r="I26" i="23"/>
  <c r="J26" i="23"/>
  <c r="K26" i="23"/>
  <c r="G182" i="22"/>
  <c r="G181" i="22"/>
  <c r="H182" i="22"/>
  <c r="H181" i="22"/>
  <c r="B182" i="22"/>
  <c r="E182" i="22" s="1"/>
  <c r="H217" i="22"/>
  <c r="G217" i="22"/>
  <c r="H216" i="22"/>
  <c r="G216" i="22"/>
  <c r="B217" i="22"/>
  <c r="E217" i="22" s="1"/>
  <c r="B216" i="22"/>
  <c r="E216" i="22" s="1"/>
  <c r="H304" i="22"/>
  <c r="H303" i="22"/>
  <c r="G304" i="22"/>
  <c r="B304" i="22"/>
  <c r="E304" i="22" s="1"/>
  <c r="H302" i="22"/>
  <c r="H301" i="22"/>
  <c r="G302" i="22"/>
  <c r="B302" i="22"/>
  <c r="E302" i="22" s="1"/>
  <c r="H221" i="22"/>
  <c r="H220" i="22"/>
  <c r="G221" i="22"/>
  <c r="B221" i="22"/>
  <c r="E221" i="22" s="1"/>
  <c r="G219" i="22"/>
  <c r="G114" i="22"/>
  <c r="G50" i="22"/>
  <c r="G234" i="22"/>
  <c r="G233" i="22"/>
  <c r="E37" i="23"/>
  <c r="H37" i="23"/>
  <c r="I37" i="23"/>
  <c r="J37" i="23"/>
  <c r="K37" i="23"/>
  <c r="G374" i="22"/>
  <c r="B374" i="22"/>
  <c r="E374" i="22" s="1"/>
  <c r="G371" i="22"/>
  <c r="B371" i="22"/>
  <c r="E371" i="22" s="1"/>
  <c r="G368" i="22"/>
  <c r="B368" i="22"/>
  <c r="E368" i="22" s="1"/>
  <c r="G361" i="22"/>
  <c r="B361" i="22"/>
  <c r="E361" i="22" s="1"/>
  <c r="G360" i="22"/>
  <c r="B360" i="22"/>
  <c r="E360" i="22" s="1"/>
  <c r="G358" i="22"/>
  <c r="B358" i="22"/>
  <c r="G365" i="22"/>
  <c r="B365" i="22"/>
  <c r="E365" i="22" s="1"/>
  <c r="G357" i="22"/>
  <c r="B357" i="22"/>
  <c r="E357" i="22" s="1"/>
  <c r="G354" i="22"/>
  <c r="B355" i="22"/>
  <c r="G373" i="22"/>
  <c r="B373" i="22"/>
  <c r="E373" i="22" s="1"/>
  <c r="G372" i="22"/>
  <c r="B372" i="22"/>
  <c r="E372" i="22" s="1"/>
  <c r="G370" i="22"/>
  <c r="B370" i="22"/>
  <c r="E370" i="22" s="1"/>
  <c r="G369" i="22"/>
  <c r="B369" i="22"/>
  <c r="E369" i="22" s="1"/>
  <c r="G367" i="22"/>
  <c r="B367" i="22"/>
  <c r="E367" i="22" s="1"/>
  <c r="G175" i="22"/>
  <c r="G180" i="22"/>
  <c r="G178" i="22"/>
  <c r="G177" i="22"/>
  <c r="G179" i="22"/>
  <c r="G176" i="22"/>
  <c r="G184" i="22"/>
  <c r="G183" i="22"/>
  <c r="G185" i="22"/>
  <c r="G190" i="22"/>
  <c r="G189" i="22"/>
  <c r="G188" i="22"/>
  <c r="G186" i="22"/>
  <c r="G187" i="22"/>
  <c r="G194" i="22"/>
  <c r="G192" i="22"/>
  <c r="G191" i="22"/>
  <c r="G201" i="22"/>
  <c r="G197" i="22"/>
  <c r="G200" i="22"/>
  <c r="G193" i="22"/>
  <c r="G198" i="22"/>
  <c r="G195" i="22"/>
  <c r="G199" i="22"/>
  <c r="G202" i="22"/>
  <c r="G203" i="22"/>
  <c r="G204" i="22"/>
  <c r="G205" i="22"/>
  <c r="G206" i="22"/>
  <c r="G207" i="22"/>
  <c r="G208" i="22"/>
  <c r="G209" i="22"/>
  <c r="G211" i="22"/>
  <c r="G210" i="22"/>
  <c r="G212" i="22"/>
  <c r="G213" i="22"/>
  <c r="G214" i="22"/>
  <c r="G215" i="22"/>
  <c r="G218" i="22"/>
  <c r="G222" i="22"/>
  <c r="G220" i="22"/>
  <c r="G223" i="22"/>
  <c r="G224" i="22"/>
  <c r="G225" i="22"/>
  <c r="G226" i="22"/>
  <c r="G227" i="22"/>
  <c r="G228" i="22"/>
  <c r="G229" i="22"/>
  <c r="G231" i="22"/>
  <c r="G230" i="22"/>
  <c r="G232" i="22"/>
  <c r="G239" i="22"/>
  <c r="G240" i="22"/>
  <c r="G237" i="22"/>
  <c r="G236" i="22"/>
  <c r="G235" i="22"/>
  <c r="G241" i="22"/>
  <c r="G242" i="22"/>
  <c r="G244" i="22"/>
  <c r="G246" i="22"/>
  <c r="G245" i="22"/>
  <c r="G247" i="22"/>
  <c r="G248" i="22"/>
  <c r="G249" i="22"/>
  <c r="G257" i="22"/>
  <c r="G250" i="22"/>
  <c r="G251" i="22"/>
  <c r="G256" i="22"/>
  <c r="G255" i="22"/>
  <c r="G253" i="22"/>
  <c r="G254" i="22"/>
  <c r="G258" i="22"/>
  <c r="G259" i="22"/>
  <c r="G260" i="22"/>
  <c r="G261" i="22"/>
  <c r="G262" i="22"/>
  <c r="G263" i="22"/>
  <c r="G264" i="22"/>
  <c r="G265" i="22"/>
  <c r="G268" i="22"/>
  <c r="G266" i="22"/>
  <c r="G267" i="22"/>
  <c r="G269" i="22"/>
  <c r="G270" i="22"/>
  <c r="G271" i="22"/>
  <c r="G272" i="22"/>
  <c r="G276" i="22"/>
  <c r="G274" i="22"/>
  <c r="G275" i="22"/>
  <c r="G277" i="22"/>
  <c r="G278" i="22"/>
  <c r="G279" i="22"/>
  <c r="G280" i="22"/>
  <c r="G282" i="22"/>
  <c r="G281" i="22"/>
  <c r="G286" i="22"/>
  <c r="G287" i="22"/>
  <c r="G289" i="22"/>
  <c r="G288" i="22"/>
  <c r="G285" i="22"/>
  <c r="G290" i="22"/>
  <c r="G284" i="22"/>
  <c r="G291" i="22"/>
  <c r="G292" i="22"/>
  <c r="G294" i="22"/>
  <c r="G293" i="22"/>
  <c r="G297" i="22"/>
  <c r="G298" i="22"/>
  <c r="G296" i="22"/>
  <c r="G295" i="22"/>
  <c r="G299" i="22"/>
  <c r="G300" i="22"/>
  <c r="G306" i="22"/>
  <c r="G307" i="22"/>
  <c r="G305" i="22"/>
  <c r="G303" i="22"/>
  <c r="G301" i="22"/>
  <c r="G309" i="22"/>
  <c r="G308" i="22"/>
  <c r="G310" i="22"/>
  <c r="G311" i="22"/>
  <c r="G313" i="22"/>
  <c r="G312" i="22"/>
  <c r="G314" i="22"/>
  <c r="G317" i="22"/>
  <c r="G315" i="22"/>
  <c r="G316" i="22"/>
  <c r="G319" i="22"/>
  <c r="G318" i="22"/>
  <c r="G321" i="22"/>
  <c r="G320" i="22"/>
  <c r="G322" i="22"/>
  <c r="G323" i="22"/>
  <c r="G325" i="22"/>
  <c r="G324" i="22"/>
  <c r="G326" i="22"/>
  <c r="G329" i="22"/>
  <c r="B175" i="22"/>
  <c r="E175" i="22" s="1"/>
  <c r="B180" i="22"/>
  <c r="E180" i="22" s="1"/>
  <c r="B178" i="22"/>
  <c r="E178" i="22" s="1"/>
  <c r="B177" i="22"/>
  <c r="E177" i="22" s="1"/>
  <c r="B179" i="22"/>
  <c r="E179" i="22" s="1"/>
  <c r="B176" i="22"/>
  <c r="E176" i="22" s="1"/>
  <c r="B184" i="22"/>
  <c r="E184" i="22" s="1"/>
  <c r="B183" i="22"/>
  <c r="E183" i="22" s="1"/>
  <c r="B181" i="22"/>
  <c r="E181" i="22" s="1"/>
  <c r="B185" i="22"/>
  <c r="E185" i="22" s="1"/>
  <c r="B190" i="22"/>
  <c r="E190" i="22" s="1"/>
  <c r="B189" i="22"/>
  <c r="E189" i="22" s="1"/>
  <c r="B188" i="22"/>
  <c r="E188" i="22" s="1"/>
  <c r="B186" i="22"/>
  <c r="E186" i="22" s="1"/>
  <c r="B187" i="22"/>
  <c r="E187" i="22" s="1"/>
  <c r="B194" i="22"/>
  <c r="E194" i="22" s="1"/>
  <c r="B192" i="22"/>
  <c r="E192" i="22" s="1"/>
  <c r="B191" i="22"/>
  <c r="E191" i="22" s="1"/>
  <c r="B201" i="22"/>
  <c r="E201" i="22" s="1"/>
  <c r="B197" i="22"/>
  <c r="E197" i="22" s="1"/>
  <c r="B200" i="22"/>
  <c r="E200" i="22" s="1"/>
  <c r="B193" i="22"/>
  <c r="E193" i="22" s="1"/>
  <c r="B198" i="22"/>
  <c r="E198" i="22" s="1"/>
  <c r="B195" i="22"/>
  <c r="E195" i="22" s="1"/>
  <c r="B199" i="22"/>
  <c r="E199" i="22" s="1"/>
  <c r="B202" i="22"/>
  <c r="E202" i="22" s="1"/>
  <c r="B203" i="22"/>
  <c r="E203" i="22" s="1"/>
  <c r="B204" i="22"/>
  <c r="E204" i="22" s="1"/>
  <c r="B205" i="22"/>
  <c r="E205" i="22" s="1"/>
  <c r="B206" i="22"/>
  <c r="E206" i="22" s="1"/>
  <c r="B207" i="22"/>
  <c r="E207" i="22" s="1"/>
  <c r="B208" i="22"/>
  <c r="E208" i="22" s="1"/>
  <c r="B209" i="22"/>
  <c r="E209" i="22" s="1"/>
  <c r="B211" i="22"/>
  <c r="E211" i="22" s="1"/>
  <c r="B210" i="22"/>
  <c r="E210" i="22" s="1"/>
  <c r="B212" i="22"/>
  <c r="E212" i="22" s="1"/>
  <c r="B213" i="22"/>
  <c r="E213" i="22" s="1"/>
  <c r="B214" i="22"/>
  <c r="E214" i="22" s="1"/>
  <c r="B215" i="22"/>
  <c r="E215" i="22" s="1"/>
  <c r="B218" i="22"/>
  <c r="E218" i="22" s="1"/>
  <c r="B222" i="22"/>
  <c r="E222" i="22" s="1"/>
  <c r="B219" i="22"/>
  <c r="E219" i="22" s="1"/>
  <c r="B220" i="22"/>
  <c r="E220" i="22" s="1"/>
  <c r="B223" i="22"/>
  <c r="E223" i="22" s="1"/>
  <c r="B224" i="22"/>
  <c r="E224" i="22" s="1"/>
  <c r="B225" i="22"/>
  <c r="E225" i="22" s="1"/>
  <c r="B226" i="22"/>
  <c r="E226" i="22" s="1"/>
  <c r="B227" i="22"/>
  <c r="E227" i="22" s="1"/>
  <c r="B228" i="22"/>
  <c r="E228" i="22" s="1"/>
  <c r="B229" i="22"/>
  <c r="E229" i="22" s="1"/>
  <c r="B231" i="22"/>
  <c r="E231" i="22" s="1"/>
  <c r="B230" i="22"/>
  <c r="E230" i="22" s="1"/>
  <c r="B232" i="22"/>
  <c r="E232" i="22" s="1"/>
  <c r="B234" i="22"/>
  <c r="E234" i="22" s="1"/>
  <c r="B233" i="22"/>
  <c r="E233" i="22" s="1"/>
  <c r="B239" i="22"/>
  <c r="E239" i="22" s="1"/>
  <c r="B238" i="22"/>
  <c r="E238" i="22" s="1"/>
  <c r="B240" i="22"/>
  <c r="E240" i="22" s="1"/>
  <c r="B237" i="22"/>
  <c r="E237" i="22" s="1"/>
  <c r="B236" i="22"/>
  <c r="E236" i="22" s="1"/>
  <c r="B235" i="22"/>
  <c r="E235" i="22" s="1"/>
  <c r="B241" i="22"/>
  <c r="E241" i="22" s="1"/>
  <c r="B242" i="22"/>
  <c r="E242" i="22" s="1"/>
  <c r="B244" i="22"/>
  <c r="E244" i="22" s="1"/>
  <c r="B246" i="22"/>
  <c r="E246" i="22" s="1"/>
  <c r="B245" i="22"/>
  <c r="E245" i="22" s="1"/>
  <c r="B247" i="22"/>
  <c r="E247" i="22" s="1"/>
  <c r="B248" i="22"/>
  <c r="E248" i="22" s="1"/>
  <c r="B249" i="22"/>
  <c r="E249" i="22" s="1"/>
  <c r="B257" i="22"/>
  <c r="E257" i="22" s="1"/>
  <c r="B250" i="22"/>
  <c r="E250" i="22" s="1"/>
  <c r="B251" i="22"/>
  <c r="E251" i="22" s="1"/>
  <c r="B256" i="22"/>
  <c r="E256" i="22" s="1"/>
  <c r="B255" i="22"/>
  <c r="E255" i="22" s="1"/>
  <c r="B253" i="22"/>
  <c r="E253" i="22" s="1"/>
  <c r="B254" i="22"/>
  <c r="E254" i="22" s="1"/>
  <c r="B258" i="22"/>
  <c r="E258" i="22" s="1"/>
  <c r="B259" i="22"/>
  <c r="E259" i="22" s="1"/>
  <c r="B260" i="22"/>
  <c r="E260" i="22" s="1"/>
  <c r="B261" i="22"/>
  <c r="E261" i="22" s="1"/>
  <c r="B262" i="22"/>
  <c r="E262" i="22" s="1"/>
  <c r="B263" i="22"/>
  <c r="E263" i="22" s="1"/>
  <c r="B264" i="22"/>
  <c r="E264" i="22" s="1"/>
  <c r="B265" i="22"/>
  <c r="E265" i="22" s="1"/>
  <c r="B268" i="22"/>
  <c r="E268" i="22" s="1"/>
  <c r="B266" i="22"/>
  <c r="E266" i="22" s="1"/>
  <c r="B267" i="22"/>
  <c r="E267" i="22" s="1"/>
  <c r="B269" i="22"/>
  <c r="E269" i="22" s="1"/>
  <c r="B270" i="22"/>
  <c r="E270" i="22" s="1"/>
  <c r="B271" i="22"/>
  <c r="E271" i="22" s="1"/>
  <c r="B272" i="22"/>
  <c r="E272" i="22" s="1"/>
  <c r="B276" i="22"/>
  <c r="E276" i="22" s="1"/>
  <c r="B274" i="22"/>
  <c r="E274" i="22" s="1"/>
  <c r="B275" i="22"/>
  <c r="E275" i="22" s="1"/>
  <c r="B277" i="22"/>
  <c r="E277" i="22" s="1"/>
  <c r="B278" i="22"/>
  <c r="E278" i="22" s="1"/>
  <c r="B279" i="22"/>
  <c r="E279" i="22" s="1"/>
  <c r="B280" i="22"/>
  <c r="E280" i="22" s="1"/>
  <c r="B282" i="22"/>
  <c r="E282" i="22" s="1"/>
  <c r="B281" i="22"/>
  <c r="E281" i="22" s="1"/>
  <c r="B286" i="22"/>
  <c r="E286" i="22" s="1"/>
  <c r="B287" i="22"/>
  <c r="E287" i="22" s="1"/>
  <c r="B289" i="22"/>
  <c r="E289" i="22" s="1"/>
  <c r="B288" i="22"/>
  <c r="E288" i="22" s="1"/>
  <c r="B285" i="22"/>
  <c r="E285" i="22" s="1"/>
  <c r="B290" i="22"/>
  <c r="E290" i="22" s="1"/>
  <c r="B284" i="22"/>
  <c r="E284" i="22" s="1"/>
  <c r="B291" i="22"/>
  <c r="E291" i="22" s="1"/>
  <c r="B292" i="22"/>
  <c r="E292" i="22" s="1"/>
  <c r="B294" i="22"/>
  <c r="E294" i="22" s="1"/>
  <c r="B293" i="22"/>
  <c r="E293" i="22" s="1"/>
  <c r="B297" i="22"/>
  <c r="E297" i="22" s="1"/>
  <c r="B298" i="22"/>
  <c r="E298" i="22" s="1"/>
  <c r="B296" i="22"/>
  <c r="E296" i="22" s="1"/>
  <c r="B295" i="22"/>
  <c r="E295" i="22" s="1"/>
  <c r="B299" i="22"/>
  <c r="E299" i="22" s="1"/>
  <c r="B300" i="22"/>
  <c r="E300" i="22" s="1"/>
  <c r="B306" i="22"/>
  <c r="E306" i="22" s="1"/>
  <c r="B307" i="22"/>
  <c r="E307" i="22" s="1"/>
  <c r="B305" i="22"/>
  <c r="E305" i="22" s="1"/>
  <c r="B303" i="22"/>
  <c r="E303" i="22" s="1"/>
  <c r="B301" i="22"/>
  <c r="E301" i="22" s="1"/>
  <c r="B309" i="22"/>
  <c r="E309" i="22" s="1"/>
  <c r="B308" i="22"/>
  <c r="E308" i="22" s="1"/>
  <c r="B310" i="22"/>
  <c r="E310" i="22" s="1"/>
  <c r="B311" i="22"/>
  <c r="E311" i="22" s="1"/>
  <c r="B313" i="22"/>
  <c r="E313" i="22" s="1"/>
  <c r="B312" i="22"/>
  <c r="E312" i="22" s="1"/>
  <c r="B314" i="22"/>
  <c r="E314" i="22" s="1"/>
  <c r="B317" i="22"/>
  <c r="E317" i="22" s="1"/>
  <c r="B315" i="22"/>
  <c r="E315" i="22" s="1"/>
  <c r="B316" i="22"/>
  <c r="E316" i="22" s="1"/>
  <c r="B319" i="22"/>
  <c r="E319" i="22" s="1"/>
  <c r="B318" i="22"/>
  <c r="E318" i="22" s="1"/>
  <c r="B321" i="22"/>
  <c r="E321" i="22" s="1"/>
  <c r="B320" i="22"/>
  <c r="E320" i="22" s="1"/>
  <c r="B322" i="22"/>
  <c r="E322" i="22" s="1"/>
  <c r="B323" i="22"/>
  <c r="E323" i="22" s="1"/>
  <c r="B325" i="22"/>
  <c r="E325" i="22" s="1"/>
  <c r="B324" i="22"/>
  <c r="E324" i="22" s="1"/>
  <c r="B326" i="22"/>
  <c r="E326" i="22" s="1"/>
  <c r="B329" i="22"/>
  <c r="E329" i="22" s="1"/>
  <c r="G611" i="22"/>
  <c r="G612" i="22"/>
  <c r="G607" i="22"/>
  <c r="G608" i="22"/>
  <c r="G606" i="22"/>
  <c r="G604" i="22"/>
  <c r="G603" i="22"/>
  <c r="G601" i="22"/>
  <c r="G602" i="22"/>
  <c r="G600" i="22"/>
  <c r="G599" i="22"/>
  <c r="G598" i="22"/>
  <c r="G597" i="22"/>
  <c r="G596" i="22"/>
  <c r="G595" i="22"/>
  <c r="G594" i="22"/>
  <c r="G593" i="22"/>
  <c r="G592" i="22"/>
  <c r="G591" i="22"/>
  <c r="G590" i="22"/>
  <c r="G587" i="22"/>
  <c r="G588" i="22"/>
  <c r="G589" i="22"/>
  <c r="G586" i="22"/>
  <c r="G585" i="22"/>
  <c r="G584" i="22"/>
  <c r="G583" i="22"/>
  <c r="G579" i="22"/>
  <c r="G582" i="22"/>
  <c r="G580" i="22"/>
  <c r="G581" i="22"/>
  <c r="G574" i="22"/>
  <c r="G575" i="22"/>
  <c r="G578" i="22"/>
  <c r="G577" i="22"/>
  <c r="G576" i="22"/>
  <c r="G573" i="22"/>
  <c r="G572" i="22"/>
  <c r="G567" i="22"/>
  <c r="G570" i="22"/>
  <c r="G569" i="22"/>
  <c r="G568" i="22"/>
  <c r="G571" i="22"/>
  <c r="G566" i="22"/>
  <c r="G564" i="22"/>
  <c r="G565" i="22"/>
  <c r="G562" i="22"/>
  <c r="G559" i="22"/>
  <c r="G558" i="22"/>
  <c r="G557" i="22"/>
  <c r="G556" i="22"/>
  <c r="G555" i="22"/>
  <c r="G554" i="22"/>
  <c r="G563" i="22"/>
  <c r="G561" i="22"/>
  <c r="G553" i="22"/>
  <c r="G560" i="22"/>
  <c r="G552" i="22"/>
  <c r="G551" i="22"/>
  <c r="G549" i="22"/>
  <c r="G547" i="22"/>
  <c r="G550" i="22"/>
  <c r="G548" i="22"/>
  <c r="G545" i="22"/>
  <c r="G546" i="22"/>
  <c r="G544" i="22"/>
  <c r="G539" i="22"/>
  <c r="G538" i="22"/>
  <c r="G543" i="22"/>
  <c r="G537" i="22"/>
  <c r="G536" i="22"/>
  <c r="G535" i="22"/>
  <c r="G542" i="22"/>
  <c r="G541" i="22"/>
  <c r="G540" i="22"/>
  <c r="G533" i="22"/>
  <c r="G534" i="22"/>
  <c r="G532" i="22"/>
  <c r="G531" i="22"/>
  <c r="G530" i="22"/>
  <c r="G529" i="22"/>
  <c r="G527" i="22"/>
  <c r="G528" i="22"/>
  <c r="G526" i="22"/>
  <c r="G525" i="22"/>
  <c r="G524" i="22"/>
  <c r="G522" i="22"/>
  <c r="G523" i="22"/>
  <c r="G520" i="22"/>
  <c r="G521" i="22"/>
  <c r="G519" i="22"/>
  <c r="G516" i="22"/>
  <c r="E4" i="23"/>
  <c r="H4" i="23"/>
  <c r="I4" i="23"/>
  <c r="J4" i="23"/>
  <c r="K4" i="23"/>
  <c r="I2" i="23"/>
  <c r="I3" i="23"/>
  <c r="I5" i="23"/>
  <c r="I6" i="23"/>
  <c r="I7" i="23"/>
  <c r="I8" i="23"/>
  <c r="I9" i="23"/>
  <c r="I10" i="23"/>
  <c r="I11" i="23"/>
  <c r="I12" i="23"/>
  <c r="I13" i="23"/>
  <c r="I14" i="23"/>
  <c r="I15" i="23"/>
  <c r="I16" i="23"/>
  <c r="I17" i="23"/>
  <c r="I18" i="23"/>
  <c r="I19" i="23"/>
  <c r="I20" i="23"/>
  <c r="I21" i="23"/>
  <c r="I22" i="23"/>
  <c r="I23" i="23"/>
  <c r="I24" i="23"/>
  <c r="I25" i="23"/>
  <c r="I27" i="23"/>
  <c r="I28" i="23"/>
  <c r="I29" i="23"/>
  <c r="I30" i="23"/>
  <c r="I31" i="23"/>
  <c r="I32" i="23"/>
  <c r="I33" i="23"/>
  <c r="I34" i="23"/>
  <c r="I35" i="23"/>
  <c r="I36" i="23"/>
  <c r="I38" i="23"/>
  <c r="I39" i="23"/>
  <c r="I40" i="23"/>
  <c r="I41" i="23"/>
  <c r="I42" i="23"/>
  <c r="I43" i="23"/>
  <c r="I44" i="23"/>
  <c r="I45" i="23"/>
  <c r="I46" i="23"/>
  <c r="I47" i="23"/>
  <c r="I48" i="23"/>
  <c r="I49" i="23"/>
  <c r="I50" i="23"/>
  <c r="I51" i="23"/>
  <c r="I52" i="23"/>
  <c r="I54" i="23"/>
  <c r="I55" i="23"/>
  <c r="I56" i="23"/>
  <c r="I57" i="23"/>
  <c r="I58" i="23"/>
  <c r="I59" i="23"/>
  <c r="I60" i="23"/>
  <c r="I61" i="23"/>
  <c r="I62" i="23"/>
  <c r="I63" i="23"/>
  <c r="I64" i="23"/>
  <c r="I65" i="23"/>
  <c r="I66" i="23"/>
  <c r="I67" i="23"/>
  <c r="I68" i="23"/>
  <c r="I69" i="23"/>
  <c r="I70" i="23"/>
  <c r="I71" i="23"/>
  <c r="I72" i="23"/>
  <c r="I73" i="23"/>
  <c r="I74" i="23"/>
  <c r="I75" i="23"/>
  <c r="I76" i="23"/>
  <c r="I77" i="23"/>
  <c r="I78" i="23"/>
  <c r="I79" i="23"/>
  <c r="I80" i="23"/>
  <c r="I81" i="23"/>
  <c r="I82" i="23"/>
  <c r="I83" i="23"/>
  <c r="I84" i="23"/>
  <c r="I85" i="23"/>
  <c r="I86" i="23"/>
  <c r="I87" i="23"/>
  <c r="I88" i="23"/>
  <c r="I89" i="23"/>
  <c r="I90" i="23"/>
  <c r="I91" i="23"/>
  <c r="I92" i="23"/>
  <c r="I93" i="23"/>
  <c r="I94" i="23"/>
  <c r="I95" i="23"/>
  <c r="I96" i="23"/>
  <c r="I97" i="23"/>
  <c r="I98" i="23"/>
  <c r="I99" i="23"/>
  <c r="I100" i="23"/>
  <c r="I101" i="23"/>
  <c r="I102" i="23"/>
  <c r="I103" i="23"/>
  <c r="I104" i="23"/>
  <c r="I105" i="23"/>
  <c r="I106" i="23"/>
  <c r="I107" i="23"/>
  <c r="I108" i="23"/>
  <c r="I109" i="23"/>
  <c r="I110" i="23"/>
  <c r="I111" i="23"/>
  <c r="I112" i="23"/>
  <c r="I113" i="23"/>
  <c r="I114" i="23"/>
  <c r="I115" i="23"/>
  <c r="I116" i="23"/>
  <c r="I117" i="23"/>
  <c r="I118" i="23"/>
  <c r="I119" i="23"/>
  <c r="I120" i="23"/>
  <c r="I121" i="23"/>
  <c r="I122" i="23"/>
  <c r="I123" i="23"/>
  <c r="I124" i="23"/>
  <c r="I125" i="23"/>
  <c r="I126" i="23"/>
  <c r="I127" i="23"/>
  <c r="I128" i="23"/>
  <c r="I129" i="23"/>
  <c r="I130" i="23"/>
  <c r="I131" i="23"/>
  <c r="I132" i="23"/>
  <c r="I133" i="23"/>
  <c r="I134" i="23"/>
  <c r="I135" i="23"/>
  <c r="I136" i="23"/>
  <c r="I137" i="23"/>
  <c r="I138" i="23"/>
  <c r="I139" i="23"/>
  <c r="I140" i="23"/>
  <c r="I141" i="23"/>
  <c r="I142" i="23"/>
  <c r="I143" i="23"/>
  <c r="I144" i="23"/>
  <c r="I145" i="23"/>
  <c r="I146" i="23"/>
  <c r="I147" i="23"/>
  <c r="I148" i="23"/>
  <c r="I149" i="23"/>
  <c r="I150" i="23"/>
  <c r="I151" i="23"/>
  <c r="I152" i="23"/>
  <c r="I153" i="23"/>
  <c r="H2" i="23"/>
  <c r="H3" i="23"/>
  <c r="H5" i="23"/>
  <c r="H6" i="23"/>
  <c r="H7" i="23"/>
  <c r="H8" i="23"/>
  <c r="H9" i="23"/>
  <c r="H10" i="23"/>
  <c r="H11" i="23"/>
  <c r="H12" i="23"/>
  <c r="H13" i="23"/>
  <c r="H14" i="23"/>
  <c r="H15" i="23"/>
  <c r="H16" i="23"/>
  <c r="H17" i="23"/>
  <c r="H18" i="23"/>
  <c r="H19" i="23"/>
  <c r="H20" i="23"/>
  <c r="H21" i="23"/>
  <c r="H22" i="23"/>
  <c r="H23" i="23"/>
  <c r="H24" i="23"/>
  <c r="H25" i="23"/>
  <c r="H27" i="23"/>
  <c r="H28" i="23"/>
  <c r="H29" i="23"/>
  <c r="H30" i="23"/>
  <c r="H31" i="23"/>
  <c r="H32" i="23"/>
  <c r="H33" i="23"/>
  <c r="H34" i="23"/>
  <c r="H35" i="23"/>
  <c r="H36" i="23"/>
  <c r="H38" i="23"/>
  <c r="H39" i="23"/>
  <c r="H40" i="23"/>
  <c r="H41" i="23"/>
  <c r="H42" i="23"/>
  <c r="H43" i="23"/>
  <c r="H44" i="23"/>
  <c r="H45" i="23"/>
  <c r="H46" i="23"/>
  <c r="H47" i="23"/>
  <c r="H48" i="23"/>
  <c r="H49" i="23"/>
  <c r="H50" i="23"/>
  <c r="H51" i="23"/>
  <c r="H52"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K2" i="23"/>
  <c r="K3" i="23"/>
  <c r="K5" i="23"/>
  <c r="K6" i="23"/>
  <c r="K7" i="23"/>
  <c r="K8" i="23"/>
  <c r="K9" i="23"/>
  <c r="K10" i="23"/>
  <c r="K11" i="23"/>
  <c r="K12" i="23"/>
  <c r="K13" i="23"/>
  <c r="K14" i="23"/>
  <c r="K15" i="23"/>
  <c r="K16" i="23"/>
  <c r="K17" i="23"/>
  <c r="K18" i="23"/>
  <c r="K19" i="23"/>
  <c r="K20" i="23"/>
  <c r="K21" i="23"/>
  <c r="K22" i="23"/>
  <c r="K23" i="23"/>
  <c r="K24" i="23"/>
  <c r="K25" i="23"/>
  <c r="K27" i="23"/>
  <c r="K28" i="23"/>
  <c r="K29" i="23"/>
  <c r="K30" i="23"/>
  <c r="K31" i="23"/>
  <c r="K32" i="23"/>
  <c r="K33" i="23"/>
  <c r="K34" i="23"/>
  <c r="K35" i="23"/>
  <c r="K36" i="23"/>
  <c r="K38" i="23"/>
  <c r="K39" i="23"/>
  <c r="K40" i="23"/>
  <c r="K41" i="23"/>
  <c r="K42" i="23"/>
  <c r="K43" i="23"/>
  <c r="K44" i="23"/>
  <c r="K45" i="23"/>
  <c r="K46" i="23"/>
  <c r="K47" i="23"/>
  <c r="K48" i="23"/>
  <c r="K49" i="23"/>
  <c r="K50" i="23"/>
  <c r="K51" i="23"/>
  <c r="K52" i="23"/>
  <c r="K54" i="23"/>
  <c r="K55" i="23"/>
  <c r="K56" i="23"/>
  <c r="K57" i="23"/>
  <c r="K58" i="23"/>
  <c r="K59" i="23"/>
  <c r="K60" i="23"/>
  <c r="K61" i="23"/>
  <c r="K62" i="23"/>
  <c r="K63" i="23"/>
  <c r="K64" i="23"/>
  <c r="K65" i="23"/>
  <c r="K66" i="23"/>
  <c r="K67" i="23"/>
  <c r="K68" i="23"/>
  <c r="K69" i="23"/>
  <c r="K70" i="23"/>
  <c r="K71" i="23"/>
  <c r="K72" i="23"/>
  <c r="K73" i="23"/>
  <c r="K74" i="23"/>
  <c r="K75" i="23"/>
  <c r="K76" i="23"/>
  <c r="K77" i="23"/>
  <c r="K78" i="23"/>
  <c r="K79" i="23"/>
  <c r="K80" i="23"/>
  <c r="K81" i="23"/>
  <c r="K82" i="23"/>
  <c r="K83" i="23"/>
  <c r="K84" i="23"/>
  <c r="K85" i="23"/>
  <c r="K86" i="23"/>
  <c r="K87" i="23"/>
  <c r="K88" i="23"/>
  <c r="K89" i="23"/>
  <c r="K90" i="23"/>
  <c r="K91" i="23"/>
  <c r="K92" i="23"/>
  <c r="K93" i="23"/>
  <c r="K94" i="23"/>
  <c r="K95" i="23"/>
  <c r="K96" i="23"/>
  <c r="K97" i="23"/>
  <c r="K98" i="23"/>
  <c r="K99" i="23"/>
  <c r="K100" i="23"/>
  <c r="K101" i="23"/>
  <c r="K102" i="23"/>
  <c r="K103" i="23"/>
  <c r="K104" i="23"/>
  <c r="K105" i="23"/>
  <c r="K106" i="23"/>
  <c r="K107" i="23"/>
  <c r="K108" i="23"/>
  <c r="K109" i="23"/>
  <c r="K110" i="23"/>
  <c r="K111" i="23"/>
  <c r="K112" i="23"/>
  <c r="K113" i="23"/>
  <c r="K114" i="23"/>
  <c r="K115" i="23"/>
  <c r="K116" i="23"/>
  <c r="K117" i="23"/>
  <c r="K118" i="23"/>
  <c r="K119" i="23"/>
  <c r="K120" i="23"/>
  <c r="K121" i="23"/>
  <c r="K122" i="23"/>
  <c r="K123" i="23"/>
  <c r="K124" i="23"/>
  <c r="K125" i="23"/>
  <c r="K126" i="23"/>
  <c r="K127" i="23"/>
  <c r="K128" i="23"/>
  <c r="K129" i="23"/>
  <c r="K130" i="23"/>
  <c r="K131" i="23"/>
  <c r="K132" i="23"/>
  <c r="K133" i="23"/>
  <c r="K134" i="23"/>
  <c r="K135" i="23"/>
  <c r="K136" i="23"/>
  <c r="K137" i="23"/>
  <c r="K138" i="23"/>
  <c r="K139" i="23"/>
  <c r="K140" i="23"/>
  <c r="K141" i="23"/>
  <c r="K142" i="23"/>
  <c r="K143" i="23"/>
  <c r="K144" i="23"/>
  <c r="K145" i="23"/>
  <c r="K146" i="23"/>
  <c r="K147" i="23"/>
  <c r="K148" i="23"/>
  <c r="K149" i="23"/>
  <c r="K150" i="23"/>
  <c r="K151" i="23"/>
  <c r="K152" i="23"/>
  <c r="K153" i="23"/>
  <c r="J2" i="23"/>
  <c r="J3" i="23"/>
  <c r="J5" i="23"/>
  <c r="J6" i="23"/>
  <c r="J7" i="23"/>
  <c r="J8" i="23"/>
  <c r="J9" i="23"/>
  <c r="J10" i="23"/>
  <c r="J11" i="23"/>
  <c r="J12" i="23"/>
  <c r="J13" i="23"/>
  <c r="J14" i="23"/>
  <c r="J15" i="23"/>
  <c r="J16" i="23"/>
  <c r="J17" i="23"/>
  <c r="J18" i="23"/>
  <c r="J19" i="23"/>
  <c r="J20" i="23"/>
  <c r="J21" i="23"/>
  <c r="J22" i="23"/>
  <c r="J23" i="23"/>
  <c r="J24" i="23"/>
  <c r="J25" i="23"/>
  <c r="J27" i="23"/>
  <c r="J28" i="23"/>
  <c r="J29" i="23"/>
  <c r="J30" i="23"/>
  <c r="J31" i="23"/>
  <c r="J32" i="23"/>
  <c r="J33" i="23"/>
  <c r="J34" i="23"/>
  <c r="J35" i="23"/>
  <c r="J36" i="23"/>
  <c r="J38" i="23"/>
  <c r="J39" i="23"/>
  <c r="J40" i="23"/>
  <c r="J41" i="23"/>
  <c r="J42" i="23"/>
  <c r="J43" i="23"/>
  <c r="J44" i="23"/>
  <c r="J45" i="23"/>
  <c r="J46" i="23"/>
  <c r="J47" i="23"/>
  <c r="J48" i="23"/>
  <c r="J49" i="23"/>
  <c r="J50" i="23"/>
  <c r="J51" i="23"/>
  <c r="J52" i="23"/>
  <c r="J54" i="23"/>
  <c r="J55" i="23"/>
  <c r="J56" i="23"/>
  <c r="J57" i="23"/>
  <c r="J58" i="23"/>
  <c r="J59" i="23"/>
  <c r="J60" i="23"/>
  <c r="J61" i="23"/>
  <c r="J62" i="23"/>
  <c r="J63" i="23"/>
  <c r="J64" i="23"/>
  <c r="J65" i="23"/>
  <c r="J66" i="23"/>
  <c r="J67" i="23"/>
  <c r="J68" i="23"/>
  <c r="J69" i="23"/>
  <c r="J70" i="23"/>
  <c r="J71" i="23"/>
  <c r="J72" i="23"/>
  <c r="J73" i="23"/>
  <c r="J74" i="23"/>
  <c r="J75" i="23"/>
  <c r="J76" i="23"/>
  <c r="J77" i="23"/>
  <c r="J78" i="23"/>
  <c r="J79" i="23"/>
  <c r="J80" i="23"/>
  <c r="J81" i="23"/>
  <c r="J82" i="23"/>
  <c r="J83" i="23"/>
  <c r="J84" i="23"/>
  <c r="J85" i="23"/>
  <c r="J86" i="23"/>
  <c r="J87" i="23"/>
  <c r="J88" i="23"/>
  <c r="J89" i="23"/>
  <c r="J90" i="23"/>
  <c r="J91" i="23"/>
  <c r="J92" i="23"/>
  <c r="J93" i="23"/>
  <c r="J94" i="23"/>
  <c r="J95" i="23"/>
  <c r="J96" i="23"/>
  <c r="J97" i="23"/>
  <c r="J98" i="23"/>
  <c r="J99" i="23"/>
  <c r="J100" i="23"/>
  <c r="J101" i="23"/>
  <c r="J102" i="23"/>
  <c r="J103" i="23"/>
  <c r="J104" i="23"/>
  <c r="J105" i="23"/>
  <c r="J106" i="23"/>
  <c r="J107" i="23"/>
  <c r="J108" i="23"/>
  <c r="J109" i="23"/>
  <c r="J110" i="23"/>
  <c r="J111" i="23"/>
  <c r="J112" i="23"/>
  <c r="J113" i="23"/>
  <c r="J114" i="23"/>
  <c r="J115" i="23"/>
  <c r="J116" i="23"/>
  <c r="J117" i="23"/>
  <c r="J118" i="23"/>
  <c r="J119" i="23"/>
  <c r="J120" i="23"/>
  <c r="J121" i="23"/>
  <c r="J122" i="23"/>
  <c r="J123" i="23"/>
  <c r="J124" i="23"/>
  <c r="J125" i="23"/>
  <c r="J126" i="23"/>
  <c r="J127" i="23"/>
  <c r="J128" i="23"/>
  <c r="J129" i="23"/>
  <c r="J130" i="23"/>
  <c r="J131" i="23"/>
  <c r="J132" i="23"/>
  <c r="J133" i="23"/>
  <c r="J134" i="23"/>
  <c r="J135" i="23"/>
  <c r="J136" i="23"/>
  <c r="J137" i="23"/>
  <c r="J138" i="23"/>
  <c r="J139" i="23"/>
  <c r="J140" i="23"/>
  <c r="J141" i="23"/>
  <c r="J142" i="23"/>
  <c r="J143" i="23"/>
  <c r="J144" i="23"/>
  <c r="J145" i="23"/>
  <c r="J146" i="23"/>
  <c r="J147" i="23"/>
  <c r="J148" i="23"/>
  <c r="J149" i="23"/>
  <c r="J150" i="23"/>
  <c r="J151" i="23"/>
  <c r="J152" i="23"/>
  <c r="J153" i="23"/>
  <c r="E3" i="23"/>
  <c r="E11" i="23"/>
  <c r="E16" i="23"/>
  <c r="E19" i="23"/>
  <c r="E21" i="23"/>
  <c r="E23" i="23"/>
  <c r="E32" i="23"/>
  <c r="E35" i="23"/>
  <c r="E39" i="23"/>
  <c r="E41" i="23"/>
  <c r="E112" i="23"/>
  <c r="E113" i="23"/>
  <c r="E114" i="23"/>
  <c r="E115" i="23"/>
  <c r="E63" i="23"/>
  <c r="E64" i="23"/>
  <c r="E74" i="23"/>
  <c r="E80" i="23"/>
  <c r="E83" i="23"/>
  <c r="E92" i="23"/>
  <c r="E97" i="23"/>
  <c r="E99" i="23"/>
  <c r="E107" i="23"/>
  <c r="E117" i="23"/>
  <c r="E123" i="23"/>
  <c r="E132" i="23"/>
  <c r="E133" i="23"/>
  <c r="E138" i="23"/>
  <c r="E139" i="23"/>
  <c r="E140" i="23"/>
  <c r="E144" i="23"/>
  <c r="E149" i="23"/>
  <c r="E150" i="23"/>
  <c r="E152" i="23"/>
  <c r="E153" i="23"/>
  <c r="E86" i="23"/>
  <c r="E148" i="23"/>
  <c r="E40" i="23"/>
  <c r="E106" i="23"/>
  <c r="B516" i="22" l="1"/>
  <c r="E516" i="22" s="1"/>
  <c r="B520" i="22"/>
  <c r="E520" i="22" s="1"/>
  <c r="B519" i="22"/>
  <c r="E519" i="22" s="1"/>
  <c r="B521" i="22"/>
  <c r="E521" i="22" s="1"/>
  <c r="B522" i="22"/>
  <c r="E522" i="22" s="1"/>
  <c r="B523" i="22"/>
  <c r="E523" i="22" s="1"/>
  <c r="B524" i="22"/>
  <c r="E524" i="22" s="1"/>
  <c r="B525" i="22"/>
  <c r="E525" i="22" s="1"/>
  <c r="B526" i="22"/>
  <c r="E526" i="22" s="1"/>
  <c r="B528" i="22"/>
  <c r="E528" i="22" s="1"/>
  <c r="B527" i="22"/>
  <c r="E527" i="22" s="1"/>
  <c r="B530" i="22"/>
  <c r="E530" i="22" s="1"/>
  <c r="B529" i="22"/>
  <c r="E529" i="22" s="1"/>
  <c r="B531" i="22"/>
  <c r="E531" i="22" s="1"/>
  <c r="B532" i="22"/>
  <c r="E532" i="22" s="1"/>
  <c r="B534" i="22"/>
  <c r="E534" i="22" s="1"/>
  <c r="B533" i="22"/>
  <c r="E533" i="22" s="1"/>
  <c r="B535" i="22"/>
  <c r="E535" i="22" s="1"/>
  <c r="B536" i="22"/>
  <c r="E536" i="22" s="1"/>
  <c r="B543" i="22"/>
  <c r="E543" i="22" s="1"/>
  <c r="B537" i="22"/>
  <c r="E537" i="22" s="1"/>
  <c r="B540" i="22"/>
  <c r="E540" i="22" s="1"/>
  <c r="B541" i="22"/>
  <c r="E541" i="22" s="1"/>
  <c r="B542" i="22"/>
  <c r="E542" i="22" s="1"/>
  <c r="B538" i="22"/>
  <c r="E538" i="22" s="1"/>
  <c r="B539" i="22"/>
  <c r="E539" i="22" s="1"/>
  <c r="B544" i="22"/>
  <c r="E544" i="22" s="1"/>
  <c r="B546" i="22"/>
  <c r="E546" i="22" s="1"/>
  <c r="B545" i="22"/>
  <c r="E545" i="22" s="1"/>
  <c r="B551" i="22"/>
  <c r="E551" i="22" s="1"/>
  <c r="B552" i="22"/>
  <c r="E552" i="22" s="1"/>
  <c r="B549" i="22"/>
  <c r="E549" i="22" s="1"/>
  <c r="B548" i="22"/>
  <c r="E548" i="22" s="1"/>
  <c r="B550" i="22"/>
  <c r="E550" i="22" s="1"/>
  <c r="B547" i="22"/>
  <c r="E547" i="22" s="1"/>
  <c r="B562" i="22"/>
  <c r="E562" i="22" s="1"/>
  <c r="B553" i="22"/>
  <c r="E553" i="22" s="1"/>
  <c r="B561" i="22"/>
  <c r="E561" i="22" s="1"/>
  <c r="B559" i="22"/>
  <c r="E559" i="22" s="1"/>
  <c r="B555" i="22"/>
  <c r="E555" i="22" s="1"/>
  <c r="B558" i="22"/>
  <c r="E558" i="22" s="1"/>
  <c r="B557" i="22"/>
  <c r="E557" i="22" s="1"/>
  <c r="B556" i="22"/>
  <c r="E556" i="22" s="1"/>
  <c r="B554" i="22"/>
  <c r="E554" i="22" s="1"/>
  <c r="B560" i="22"/>
  <c r="E560" i="22" s="1"/>
  <c r="B563" i="22"/>
  <c r="E563" i="22" s="1"/>
  <c r="B566" i="22"/>
  <c r="E566" i="22" s="1"/>
  <c r="B565" i="22"/>
  <c r="E565" i="22" s="1"/>
  <c r="B564" i="22"/>
  <c r="E564" i="22" s="1"/>
  <c r="B571" i="22"/>
  <c r="E571" i="22" s="1"/>
  <c r="B570" i="22"/>
  <c r="E570" i="22" s="1"/>
  <c r="B567" i="22"/>
  <c r="E567" i="22" s="1"/>
  <c r="B569" i="22"/>
  <c r="E569" i="22" s="1"/>
  <c r="B568" i="22"/>
  <c r="E568" i="22" s="1"/>
  <c r="B572" i="22"/>
  <c r="E572" i="22" s="1"/>
  <c r="B573" i="22"/>
  <c r="E573" i="22" s="1"/>
  <c r="B578" i="22"/>
  <c r="E578" i="22" s="1"/>
  <c r="B574" i="22"/>
  <c r="E574" i="22" s="1"/>
  <c r="B575" i="22"/>
  <c r="E575" i="22" s="1"/>
  <c r="B577" i="22"/>
  <c r="E577" i="22" s="1"/>
  <c r="B576" i="22"/>
  <c r="E576" i="22" s="1"/>
  <c r="B579" i="22"/>
  <c r="E579" i="22" s="1"/>
  <c r="B580" i="22"/>
  <c r="E580" i="22" s="1"/>
  <c r="B582" i="22"/>
  <c r="E582" i="22" s="1"/>
  <c r="B581" i="22"/>
  <c r="E581" i="22" s="1"/>
  <c r="B584" i="22"/>
  <c r="E584" i="22" s="1"/>
  <c r="B583" i="22"/>
  <c r="E583" i="22" s="1"/>
  <c r="B587" i="22"/>
  <c r="E587" i="22" s="1"/>
  <c r="B588" i="22"/>
  <c r="E588" i="22" s="1"/>
  <c r="B586" i="22"/>
  <c r="E586" i="22" s="1"/>
  <c r="B585" i="22"/>
  <c r="E585" i="22" s="1"/>
  <c r="B589" i="22"/>
  <c r="E589" i="22" s="1"/>
  <c r="B590" i="22"/>
  <c r="E590" i="22" s="1"/>
  <c r="B592" i="22"/>
  <c r="E592" i="22" s="1"/>
  <c r="B591" i="22"/>
  <c r="E591" i="22" s="1"/>
  <c r="B595" i="22"/>
  <c r="E595" i="22" s="1"/>
  <c r="B593" i="22"/>
  <c r="E593" i="22" s="1"/>
  <c r="B594" i="22"/>
  <c r="E594" i="22" s="1"/>
  <c r="B597" i="22"/>
  <c r="E597" i="22" s="1"/>
  <c r="B596" i="22"/>
  <c r="E596" i="22" s="1"/>
  <c r="B598" i="22"/>
  <c r="E598" i="22" s="1"/>
  <c r="B599" i="22"/>
  <c r="E599" i="22" s="1"/>
  <c r="B600" i="22"/>
  <c r="E600" i="22" s="1"/>
  <c r="B603" i="22"/>
  <c r="E603" i="22" s="1"/>
  <c r="B601" i="22"/>
  <c r="E601" i="22" s="1"/>
  <c r="B602" i="22"/>
  <c r="E602" i="22" s="1"/>
  <c r="B604" i="22"/>
  <c r="E604" i="22" s="1"/>
  <c r="B608" i="22"/>
  <c r="E608" i="22" s="1"/>
  <c r="B607" i="22"/>
  <c r="E607" i="22" s="1"/>
  <c r="B606" i="22"/>
  <c r="E606" i="22" s="1"/>
  <c r="B612" i="22"/>
  <c r="E612" i="22" s="1"/>
  <c r="B611" i="22"/>
  <c r="E611" i="22" s="1"/>
  <c r="D4" i="24" l="1"/>
  <c r="D5" i="24"/>
  <c r="D6" i="24"/>
  <c r="D7" i="24" s="1"/>
  <c r="D8" i="24" s="1"/>
  <c r="D9" i="24" s="1"/>
  <c r="D10" i="24" s="1"/>
  <c r="D11" i="24" s="1"/>
  <c r="D12" i="24" s="1"/>
  <c r="D13" i="24" s="1"/>
  <c r="D14" i="24" s="1"/>
  <c r="D15" i="24" s="1"/>
  <c r="D16" i="24" s="1"/>
  <c r="D17" i="24" s="1"/>
  <c r="D18" i="24" s="1"/>
  <c r="D19" i="24" s="1"/>
  <c r="D20" i="24" s="1"/>
  <c r="D21" i="24" s="1"/>
  <c r="D22" i="24" s="1"/>
  <c r="D23" i="24" s="1"/>
  <c r="D24" i="24" s="1"/>
  <c r="D25" i="24" s="1"/>
  <c r="D26" i="24" s="1"/>
  <c r="D27" i="24" s="1"/>
  <c r="D28" i="24" s="1"/>
  <c r="D3" i="24"/>
  <c r="G706" i="22" l="1"/>
  <c r="B706" i="22"/>
  <c r="E706" i="22" s="1"/>
  <c r="G705" i="22"/>
  <c r="B705" i="22"/>
  <c r="E705" i="22" s="1"/>
  <c r="G704" i="22"/>
  <c r="B704" i="22"/>
  <c r="E704" i="22" s="1"/>
  <c r="G699" i="22"/>
  <c r="G701" i="22"/>
  <c r="B701" i="22"/>
  <c r="E701" i="22" s="1"/>
  <c r="G700" i="22"/>
  <c r="B700" i="22"/>
  <c r="E700" i="22" s="1"/>
  <c r="G703" i="22"/>
  <c r="B703" i="22"/>
  <c r="E703" i="22" s="1"/>
  <c r="B699" i="22"/>
  <c r="E699" i="22" s="1"/>
  <c r="G698" i="22"/>
  <c r="B698" i="22"/>
  <c r="E698" i="22" s="1"/>
  <c r="G697" i="22"/>
  <c r="B697" i="22"/>
  <c r="E697" i="22" s="1"/>
  <c r="G695" i="22"/>
  <c r="B695" i="22"/>
  <c r="E695" i="22" s="1"/>
  <c r="G694" i="22"/>
  <c r="B694" i="22"/>
  <c r="E694" i="22" s="1"/>
  <c r="G696" i="22"/>
  <c r="B696" i="22"/>
  <c r="E696" i="22" s="1"/>
  <c r="G692" i="22"/>
  <c r="B692" i="22"/>
  <c r="E692" i="22" s="1"/>
  <c r="G691" i="22"/>
  <c r="B691" i="22"/>
  <c r="E691" i="22" s="1"/>
  <c r="G693" i="22"/>
  <c r="B693" i="22"/>
  <c r="E693" i="22" s="1"/>
  <c r="G690" i="22"/>
  <c r="B690" i="22"/>
  <c r="E690" i="22" s="1"/>
  <c r="G687" i="22"/>
  <c r="B687" i="22"/>
  <c r="E687" i="22" s="1"/>
  <c r="G366" i="22" l="1"/>
  <c r="B366" i="22"/>
  <c r="E366" i="22" s="1"/>
  <c r="B170" i="22"/>
  <c r="E170" i="22" s="1"/>
  <c r="B171" i="22"/>
  <c r="E171" i="22" s="1"/>
  <c r="B172" i="22"/>
  <c r="E172" i="22" s="1"/>
  <c r="B174" i="22"/>
  <c r="E174" i="22" s="1"/>
  <c r="B173" i="22"/>
  <c r="E173" i="22" s="1"/>
  <c r="B169" i="22"/>
  <c r="E169" i="22" s="1"/>
  <c r="B167" i="22"/>
  <c r="E167" i="22" s="1"/>
  <c r="B168" i="22"/>
  <c r="E168" i="22" s="1"/>
  <c r="B166" i="22"/>
  <c r="E166" i="22" s="1"/>
  <c r="G170" i="22"/>
  <c r="H173" i="22"/>
  <c r="K152" i="22" s="1"/>
  <c r="G174" i="22"/>
  <c r="G171" i="22"/>
  <c r="G172" i="22"/>
  <c r="G173" i="22"/>
  <c r="G169" i="22"/>
  <c r="G167" i="22"/>
  <c r="G168" i="22"/>
  <c r="G166" i="22"/>
  <c r="K286" i="22" l="1"/>
  <c r="K283" i="22"/>
  <c r="K287" i="22"/>
  <c r="K329" i="22"/>
  <c r="K322" i="22"/>
  <c r="K319" i="22"/>
  <c r="K316" i="22"/>
  <c r="K311" i="22"/>
  <c r="K304" i="22"/>
  <c r="K301" i="22"/>
  <c r="K300" i="22"/>
  <c r="K297" i="22"/>
  <c r="K291" i="22"/>
  <c r="K288" i="22"/>
  <c r="K299" i="22"/>
  <c r="K326" i="22"/>
  <c r="K323" i="22"/>
  <c r="K318" i="22"/>
  <c r="K314" i="22"/>
  <c r="K310" i="22"/>
  <c r="K302" i="22"/>
  <c r="K307" i="22"/>
  <c r="K296" i="22"/>
  <c r="K293" i="22"/>
  <c r="K285" i="22"/>
  <c r="K289" i="22"/>
  <c r="K320" i="22"/>
  <c r="K312" i="22"/>
  <c r="K303" i="22"/>
  <c r="K292" i="22"/>
  <c r="K324" i="22"/>
  <c r="K321" i="22"/>
  <c r="K317" i="22"/>
  <c r="K313" i="22"/>
  <c r="K309" i="22"/>
  <c r="K305" i="22"/>
  <c r="K306" i="22"/>
  <c r="K295" i="22"/>
  <c r="K294" i="22"/>
  <c r="K284" i="22"/>
  <c r="K325" i="22"/>
  <c r="K315" i="22"/>
  <c r="K308" i="22"/>
  <c r="K298" i="22"/>
  <c r="K290" i="22"/>
  <c r="E8" i="17"/>
  <c r="AP151" i="17"/>
  <c r="AM151" i="17"/>
  <c r="F136" i="18"/>
  <c r="E151" i="17" l="1"/>
  <c r="B131" i="18"/>
  <c r="B135" i="18"/>
  <c r="B160" i="22"/>
  <c r="E160" i="22" s="1"/>
  <c r="B161" i="22"/>
  <c r="E161" i="22" s="1"/>
  <c r="B162" i="22"/>
  <c r="E162" i="22" s="1"/>
  <c r="B164" i="22"/>
  <c r="E164" i="22" s="1"/>
  <c r="B165" i="22"/>
  <c r="E165" i="22" s="1"/>
  <c r="G160" i="22"/>
  <c r="G161" i="22"/>
  <c r="G162" i="22"/>
  <c r="G164" i="22"/>
  <c r="G165" i="22"/>
  <c r="G512" i="22" l="1"/>
  <c r="G511" i="22"/>
  <c r="B511" i="22"/>
  <c r="E511" i="22" s="1"/>
  <c r="AM27" i="17"/>
  <c r="K33" i="17"/>
  <c r="B512" i="22"/>
  <c r="E512" i="22" s="1"/>
  <c r="G382" i="22" l="1"/>
  <c r="G492" i="22"/>
  <c r="B510" i="22"/>
  <c r="E510" i="22" s="1"/>
  <c r="B509" i="22"/>
  <c r="E509" i="22" s="1"/>
  <c r="B508" i="22"/>
  <c r="E508" i="22" s="1"/>
  <c r="B505" i="22"/>
  <c r="E505" i="22" s="1"/>
  <c r="B507" i="22"/>
  <c r="E507" i="22" s="1"/>
  <c r="B506" i="22"/>
  <c r="E506" i="22" s="1"/>
  <c r="B504" i="22"/>
  <c r="E504" i="22" s="1"/>
  <c r="B503" i="22"/>
  <c r="E503" i="22" s="1"/>
  <c r="B502" i="22"/>
  <c r="E502" i="22" s="1"/>
  <c r="B501" i="22"/>
  <c r="E501" i="22" s="1"/>
  <c r="B499" i="22"/>
  <c r="E499" i="22" s="1"/>
  <c r="B498" i="22"/>
  <c r="E498" i="22" s="1"/>
  <c r="B500" i="22"/>
  <c r="E500" i="22" s="1"/>
  <c r="B497" i="22"/>
  <c r="E497" i="22" s="1"/>
  <c r="B496" i="22"/>
  <c r="E496" i="22" s="1"/>
  <c r="B495" i="22"/>
  <c r="E495" i="22" s="1"/>
  <c r="B492" i="22"/>
  <c r="E492" i="22" s="1"/>
  <c r="B493" i="22"/>
  <c r="E493" i="22" s="1"/>
  <c r="B491" i="22"/>
  <c r="E491" i="22" s="1"/>
  <c r="B490" i="22"/>
  <c r="E490" i="22" s="1"/>
  <c r="B489" i="22"/>
  <c r="E489" i="22" s="1"/>
  <c r="B486" i="22"/>
  <c r="E486" i="22" s="1"/>
  <c r="B485" i="22"/>
  <c r="E485" i="22" s="1"/>
  <c r="B484" i="22"/>
  <c r="E484" i="22" s="1"/>
  <c r="B487" i="22"/>
  <c r="E487" i="22" s="1"/>
  <c r="G510" i="22"/>
  <c r="G509" i="22"/>
  <c r="G508" i="22"/>
  <c r="G505" i="22"/>
  <c r="G507" i="22"/>
  <c r="G506" i="22"/>
  <c r="G504" i="22"/>
  <c r="G503" i="22"/>
  <c r="G502" i="22"/>
  <c r="G501" i="22"/>
  <c r="G499" i="22"/>
  <c r="G498" i="22"/>
  <c r="G500" i="22"/>
  <c r="G497" i="22"/>
  <c r="G496" i="22"/>
  <c r="G495" i="22"/>
  <c r="G493" i="22"/>
  <c r="G491" i="22"/>
  <c r="G490" i="22"/>
  <c r="G489" i="22"/>
  <c r="G486" i="22"/>
  <c r="G485" i="22"/>
  <c r="G484" i="22"/>
  <c r="G487" i="22"/>
  <c r="G488" i="22"/>
  <c r="B488" i="22"/>
  <c r="E488" i="22" s="1"/>
  <c r="B483" i="22"/>
  <c r="G3" i="22"/>
  <c r="G4" i="22"/>
  <c r="G5" i="22"/>
  <c r="G6" i="22"/>
  <c r="G13" i="22"/>
  <c r="G7" i="22"/>
  <c r="G9" i="22"/>
  <c r="G11" i="22"/>
  <c r="G12" i="22"/>
  <c r="G8" i="22"/>
  <c r="G10" i="22"/>
  <c r="G14" i="22"/>
  <c r="G15" i="22"/>
  <c r="G16" i="22"/>
  <c r="G17" i="22"/>
  <c r="G19" i="22"/>
  <c r="G18" i="22"/>
  <c r="G20" i="22"/>
  <c r="G21" i="22"/>
  <c r="G22" i="22"/>
  <c r="G23" i="22"/>
  <c r="G25" i="22"/>
  <c r="G24" i="22"/>
  <c r="G26" i="22"/>
  <c r="G27" i="22"/>
  <c r="G29" i="22"/>
  <c r="G30" i="22"/>
  <c r="G28" i="22"/>
  <c r="G32" i="22"/>
  <c r="G33" i="22"/>
  <c r="G34" i="22"/>
  <c r="G31" i="22"/>
  <c r="G39" i="22"/>
  <c r="G37" i="22"/>
  <c r="G35" i="22"/>
  <c r="G40" i="22"/>
  <c r="G36" i="22"/>
  <c r="G38" i="22"/>
  <c r="G41" i="22"/>
  <c r="G43" i="22"/>
  <c r="G42" i="22"/>
  <c r="G47" i="22"/>
  <c r="G48" i="22"/>
  <c r="G49" i="22"/>
  <c r="G44" i="22"/>
  <c r="G45" i="22"/>
  <c r="G46" i="22"/>
  <c r="G51" i="22"/>
  <c r="G52" i="22"/>
  <c r="G54" i="22"/>
  <c r="G53" i="22"/>
  <c r="G56" i="22"/>
  <c r="G55" i="22"/>
  <c r="G57" i="22"/>
  <c r="G60" i="22"/>
  <c r="G58" i="22"/>
  <c r="G59" i="22"/>
  <c r="G61" i="22"/>
  <c r="G62" i="22"/>
  <c r="G63" i="22"/>
  <c r="G64" i="22"/>
  <c r="G65" i="22"/>
  <c r="G66" i="22"/>
  <c r="G67" i="22"/>
  <c r="G69" i="22"/>
  <c r="G68" i="22"/>
  <c r="G74" i="22"/>
  <c r="G71" i="22"/>
  <c r="G72" i="22"/>
  <c r="G73" i="22"/>
  <c r="G70" i="22"/>
  <c r="G75" i="22"/>
  <c r="G80" i="22"/>
  <c r="G78" i="22"/>
  <c r="G79" i="22"/>
  <c r="G76" i="22"/>
  <c r="G77" i="22"/>
  <c r="G84" i="22"/>
  <c r="G85" i="22"/>
  <c r="G83" i="22"/>
  <c r="G82" i="22"/>
  <c r="G81" i="22"/>
  <c r="G86" i="22"/>
  <c r="G87" i="22"/>
  <c r="G89" i="22"/>
  <c r="G88" i="22"/>
  <c r="G90" i="22"/>
  <c r="G91" i="22"/>
  <c r="G92" i="22"/>
  <c r="G93" i="22"/>
  <c r="G96" i="22"/>
  <c r="G94" i="22"/>
  <c r="G95" i="22"/>
  <c r="G98" i="22"/>
  <c r="G97" i="22"/>
  <c r="G99" i="22"/>
  <c r="G101" i="22"/>
  <c r="G100" i="22"/>
  <c r="G102" i="22"/>
  <c r="G103" i="22"/>
  <c r="G104" i="22"/>
  <c r="G105" i="22"/>
  <c r="G106" i="22"/>
  <c r="G107" i="22"/>
  <c r="G108" i="22"/>
  <c r="G109" i="22"/>
  <c r="G110" i="22"/>
  <c r="G111" i="22"/>
  <c r="G112" i="22"/>
  <c r="G113" i="22"/>
  <c r="G117" i="22"/>
  <c r="G115" i="22"/>
  <c r="G116" i="22"/>
  <c r="G118" i="22"/>
  <c r="G119" i="22"/>
  <c r="G120" i="22"/>
  <c r="G121" i="22"/>
  <c r="G122" i="22"/>
  <c r="G123" i="22"/>
  <c r="G124" i="22"/>
  <c r="G126" i="22"/>
  <c r="G125" i="22"/>
  <c r="G128" i="22"/>
  <c r="G127" i="22"/>
  <c r="G129" i="22"/>
  <c r="G130" i="22"/>
  <c r="G131" i="22"/>
  <c r="G132" i="22"/>
  <c r="G133" i="22"/>
  <c r="G134" i="22"/>
  <c r="G135" i="22"/>
  <c r="G136" i="22"/>
  <c r="G138" i="22"/>
  <c r="G137" i="22"/>
  <c r="G140" i="22"/>
  <c r="G139" i="22"/>
  <c r="G141" i="22"/>
  <c r="G142" i="22"/>
  <c r="G143" i="22"/>
  <c r="G144" i="22"/>
  <c r="G145" i="22"/>
  <c r="G146" i="22"/>
  <c r="G148" i="22"/>
  <c r="G151" i="22"/>
  <c r="G147" i="22"/>
  <c r="G149" i="22"/>
  <c r="G150" i="22"/>
  <c r="G154" i="22"/>
  <c r="G155" i="22"/>
  <c r="G156" i="22"/>
  <c r="G157" i="22"/>
  <c r="G159" i="22"/>
  <c r="G158" i="22"/>
  <c r="G163" i="22"/>
  <c r="G355" i="22"/>
  <c r="G356" i="22"/>
  <c r="G359" i="22"/>
  <c r="G362" i="22"/>
  <c r="G363" i="22"/>
  <c r="G364" i="22"/>
  <c r="G376" i="22"/>
  <c r="G377" i="22"/>
  <c r="G379" i="22"/>
  <c r="G380" i="22"/>
  <c r="G378" i="22"/>
  <c r="G381" i="22"/>
  <c r="G383" i="22"/>
  <c r="G384" i="22"/>
  <c r="G389" i="22"/>
  <c r="G387" i="22"/>
  <c r="G386" i="22"/>
  <c r="G388" i="22"/>
  <c r="G385" i="22"/>
  <c r="G390" i="22"/>
  <c r="G395" i="22"/>
  <c r="G392" i="22"/>
  <c r="G393" i="22"/>
  <c r="G394" i="22"/>
  <c r="G391" i="22"/>
  <c r="G396" i="22"/>
  <c r="G397" i="22"/>
  <c r="G398" i="22"/>
  <c r="G399" i="22"/>
  <c r="G400" i="22"/>
  <c r="G402" i="22"/>
  <c r="G403" i="22"/>
  <c r="G405" i="22"/>
  <c r="G404" i="22"/>
  <c r="G406" i="22"/>
  <c r="G407" i="22"/>
  <c r="G408" i="22"/>
  <c r="G409" i="22"/>
  <c r="G410" i="22"/>
  <c r="G411" i="22"/>
  <c r="G414" i="22"/>
  <c r="G412" i="22"/>
  <c r="G413" i="22"/>
  <c r="G415" i="22"/>
  <c r="G416" i="22"/>
  <c r="G417" i="22"/>
  <c r="G418" i="22"/>
  <c r="G420" i="22"/>
  <c r="G422" i="22"/>
  <c r="G421" i="22"/>
  <c r="G423" i="22"/>
  <c r="G424" i="22"/>
  <c r="G425" i="22"/>
  <c r="G426" i="22"/>
  <c r="G427" i="22"/>
  <c r="G428" i="22"/>
  <c r="G429" i="22"/>
  <c r="G431" i="22"/>
  <c r="G430" i="22"/>
  <c r="G438" i="22"/>
  <c r="G439" i="22"/>
  <c r="G433" i="22"/>
  <c r="G434" i="22"/>
  <c r="G435" i="22"/>
  <c r="G436" i="22"/>
  <c r="G437" i="22"/>
  <c r="G432" i="22"/>
  <c r="G440" i="22"/>
  <c r="G445" i="22"/>
  <c r="G446" i="22"/>
  <c r="G441" i="22"/>
  <c r="G442" i="22"/>
  <c r="G443" i="22"/>
  <c r="G444" i="22"/>
  <c r="G449" i="22"/>
  <c r="G450" i="22"/>
  <c r="G448" i="22"/>
  <c r="G447" i="22"/>
  <c r="G451" i="22"/>
  <c r="G453" i="22"/>
  <c r="G452" i="22"/>
  <c r="G455" i="22"/>
  <c r="G456" i="22"/>
  <c r="G454" i="22"/>
  <c r="G457" i="22"/>
  <c r="G459" i="22"/>
  <c r="G458" i="22"/>
  <c r="G460" i="22"/>
  <c r="G462" i="22"/>
  <c r="G461" i="22"/>
  <c r="G466" i="22"/>
  <c r="G472" i="22"/>
  <c r="G464" i="22"/>
  <c r="G465" i="22"/>
  <c r="G463" i="22"/>
  <c r="G468" i="22"/>
  <c r="G469" i="22"/>
  <c r="G470" i="22"/>
  <c r="G467" i="22"/>
  <c r="G471" i="22"/>
  <c r="G476" i="22"/>
  <c r="G474" i="22"/>
  <c r="G475" i="22"/>
  <c r="G477" i="22"/>
  <c r="G478" i="22"/>
  <c r="G479" i="22"/>
  <c r="G480" i="22"/>
  <c r="G481" i="22"/>
  <c r="G482" i="22"/>
  <c r="G483" i="22"/>
  <c r="G665" i="22"/>
  <c r="G666" i="22"/>
  <c r="G688" i="22"/>
  <c r="G689" i="22"/>
  <c r="G685" i="22"/>
  <c r="G686" i="22"/>
  <c r="G684" i="22"/>
  <c r="G683" i="22"/>
  <c r="G681" i="22"/>
  <c r="G682" i="22"/>
  <c r="G680" i="22"/>
  <c r="G679" i="22"/>
  <c r="G677" i="22"/>
  <c r="G678" i="22"/>
  <c r="G676" i="22"/>
  <c r="G674" i="22"/>
  <c r="G675" i="22"/>
  <c r="G673" i="22"/>
  <c r="G672" i="22"/>
  <c r="G670" i="22"/>
  <c r="G671" i="22"/>
  <c r="G668" i="22"/>
  <c r="G809" i="22"/>
  <c r="G810" i="22"/>
  <c r="G811" i="22"/>
  <c r="G814" i="22"/>
  <c r="G815" i="22"/>
  <c r="G812" i="22"/>
  <c r="G813" i="22"/>
  <c r="G816" i="22"/>
  <c r="G818" i="22"/>
  <c r="G817" i="22"/>
  <c r="G819" i="22"/>
  <c r="G820" i="22"/>
  <c r="G821" i="22"/>
  <c r="G822" i="22"/>
  <c r="G824" i="22"/>
  <c r="G823" i="22"/>
  <c r="G825" i="22"/>
  <c r="G826" i="22"/>
  <c r="G827" i="22"/>
  <c r="G829" i="22"/>
  <c r="G830" i="22"/>
  <c r="G828" i="22"/>
  <c r="G831" i="22"/>
  <c r="G832" i="22"/>
  <c r="G833" i="22"/>
  <c r="G835" i="22"/>
  <c r="G834" i="22"/>
  <c r="G836" i="22"/>
  <c r="G837" i="22"/>
  <c r="G838" i="22"/>
  <c r="G839" i="22"/>
  <c r="G840" i="22"/>
  <c r="G841" i="22"/>
  <c r="G842" i="22"/>
  <c r="G843" i="22"/>
  <c r="G844" i="22"/>
  <c r="G845" i="22"/>
  <c r="G846" i="22"/>
  <c r="G847" i="22"/>
  <c r="G848" i="22"/>
  <c r="G849" i="22"/>
  <c r="G850" i="22"/>
  <c r="G851" i="22"/>
  <c r="G852" i="22"/>
  <c r="G853" i="22"/>
  <c r="G854" i="22"/>
  <c r="G855" i="22"/>
  <c r="G856" i="22"/>
  <c r="G858" i="22"/>
  <c r="G857" i="22"/>
  <c r="G859" i="22"/>
  <c r="G861" i="22"/>
  <c r="G862" i="22"/>
  <c r="G863" i="22"/>
  <c r="G864" i="22"/>
  <c r="G860" i="22"/>
  <c r="G865" i="22"/>
  <c r="G866" i="22"/>
  <c r="G869" i="22"/>
  <c r="G867" i="22"/>
  <c r="G868" i="22"/>
  <c r="G870" i="22"/>
  <c r="G871" i="22"/>
  <c r="G872" i="22"/>
  <c r="G873" i="22"/>
  <c r="G874" i="22"/>
  <c r="G875" i="22"/>
  <c r="G876" i="22"/>
  <c r="G877" i="22"/>
  <c r="G749" i="22"/>
  <c r="G750" i="22"/>
  <c r="G751" i="22"/>
  <c r="G752" i="22"/>
  <c r="G753" i="22"/>
  <c r="G755" i="22"/>
  <c r="G756" i="22"/>
  <c r="G757" i="22"/>
  <c r="G758" i="22"/>
  <c r="G760" i="22"/>
  <c r="G761" i="22"/>
  <c r="G762" i="22"/>
  <c r="G763" i="22"/>
  <c r="G764" i="22"/>
  <c r="G765" i="22"/>
  <c r="G766" i="22"/>
  <c r="G768" i="22"/>
  <c r="G769" i="22"/>
  <c r="G770" i="22"/>
  <c r="G771" i="22"/>
  <c r="G2" i="22"/>
  <c r="AM29" i="17"/>
  <c r="F134" i="18"/>
  <c r="B134" i="18"/>
  <c r="B133" i="18"/>
  <c r="B132" i="18"/>
  <c r="B768" i="22"/>
  <c r="E768" i="22" s="1"/>
  <c r="B769" i="22"/>
  <c r="E769" i="22" s="1"/>
  <c r="B771" i="22"/>
  <c r="E771" i="22" s="1"/>
  <c r="B770" i="22"/>
  <c r="E770" i="22" s="1"/>
  <c r="B761" i="22"/>
  <c r="E761" i="22" s="1"/>
  <c r="B766" i="22"/>
  <c r="E766" i="22" s="1"/>
  <c r="B764" i="22"/>
  <c r="E764" i="22" s="1"/>
  <c r="B760" i="22"/>
  <c r="E760" i="22" s="1"/>
  <c r="B762" i="22"/>
  <c r="E762" i="22" s="1"/>
  <c r="B765" i="22"/>
  <c r="E765" i="22" s="1"/>
  <c r="B763" i="22"/>
  <c r="E763" i="22" s="1"/>
  <c r="B755" i="22"/>
  <c r="E755" i="22" s="1"/>
  <c r="B756" i="22"/>
  <c r="E756" i="22" s="1"/>
  <c r="B758" i="22"/>
  <c r="E758" i="22" s="1"/>
  <c r="B757" i="22"/>
  <c r="E757" i="22" s="1"/>
  <c r="B22" i="14"/>
  <c r="B21" i="14"/>
  <c r="B20" i="14"/>
  <c r="B19" i="14"/>
  <c r="B18" i="14"/>
  <c r="B17" i="14"/>
  <c r="B16" i="14"/>
  <c r="B15" i="14"/>
  <c r="B14" i="14"/>
  <c r="B13" i="14"/>
  <c r="B12" i="14"/>
  <c r="B11" i="14"/>
  <c r="B10" i="14"/>
  <c r="B9" i="14"/>
  <c r="B8" i="14"/>
  <c r="B7" i="14"/>
  <c r="F22" i="14"/>
  <c r="F21" i="14"/>
  <c r="F20" i="14"/>
  <c r="F19" i="14"/>
  <c r="F14" i="14"/>
  <c r="F13" i="14"/>
  <c r="F12" i="14"/>
  <c r="F11" i="14"/>
  <c r="F18" i="14"/>
  <c r="F17" i="14"/>
  <c r="F16" i="14"/>
  <c r="F15" i="14"/>
  <c r="F10" i="14"/>
  <c r="F9" i="14"/>
  <c r="F8" i="14"/>
  <c r="F7" i="14"/>
  <c r="F6" i="14"/>
  <c r="F5" i="14"/>
  <c r="F4" i="14"/>
  <c r="F3" i="14"/>
  <c r="B356" i="22" l="1"/>
  <c r="E356" i="22" s="1"/>
  <c r="B359" i="22"/>
  <c r="E359" i="22" s="1"/>
  <c r="B362" i="22"/>
  <c r="B363" i="22"/>
  <c r="E363" i="22" s="1"/>
  <c r="B364" i="22"/>
  <c r="E364" i="22" s="1"/>
  <c r="B871" i="22"/>
  <c r="E871" i="22" s="1"/>
  <c r="B840" i="22"/>
  <c r="E840" i="22" s="1"/>
  <c r="B833" i="22"/>
  <c r="E833" i="22" s="1"/>
  <c r="B822" i="22"/>
  <c r="E822" i="22" s="1"/>
  <c r="B834" i="22"/>
  <c r="E834" i="22" s="1"/>
  <c r="B865" i="22"/>
  <c r="E865" i="22" s="1"/>
  <c r="B852" i="22"/>
  <c r="E852" i="22" s="1"/>
  <c r="B838" i="22"/>
  <c r="E838" i="22" s="1"/>
  <c r="B825" i="22"/>
  <c r="E825" i="22" s="1"/>
  <c r="B845" i="22"/>
  <c r="E845" i="22" s="1"/>
  <c r="B816" i="22"/>
  <c r="E816" i="22" s="1"/>
  <c r="B810" i="22"/>
  <c r="E810" i="22" s="1"/>
  <c r="B809" i="22"/>
  <c r="E809" i="22" s="1"/>
  <c r="B857" i="22"/>
  <c r="E857" i="22" s="1"/>
  <c r="B817" i="22"/>
  <c r="E817" i="22" s="1"/>
  <c r="B811" i="22"/>
  <c r="E811" i="22" s="1"/>
  <c r="B873" i="22"/>
  <c r="E873" i="22" s="1"/>
  <c r="B859" i="22"/>
  <c r="E859" i="22" s="1"/>
  <c r="B847" i="22"/>
  <c r="E847" i="22" s="1"/>
  <c r="B870" i="22"/>
  <c r="E870" i="22" s="1"/>
  <c r="B867" i="22"/>
  <c r="E867" i="22" s="1"/>
  <c r="B868" i="22"/>
  <c r="E868" i="22" s="1"/>
  <c r="B860" i="22"/>
  <c r="E860" i="22" s="1"/>
  <c r="B858" i="22"/>
  <c r="E858" i="22" s="1"/>
  <c r="B848" i="22"/>
  <c r="E848" i="22" s="1"/>
  <c r="B849" i="22"/>
  <c r="E849" i="22" s="1"/>
  <c r="B835" i="22"/>
  <c r="E835" i="22" s="1"/>
  <c r="B812" i="22"/>
  <c r="E812" i="22" s="1"/>
  <c r="B874" i="22"/>
  <c r="E874" i="22" s="1"/>
  <c r="B869" i="22"/>
  <c r="E869" i="22" s="1"/>
  <c r="B853" i="22"/>
  <c r="E853" i="22" s="1"/>
  <c r="B836" i="22"/>
  <c r="E836" i="22" s="1"/>
  <c r="B854" i="22"/>
  <c r="E854" i="22" s="1"/>
  <c r="B855" i="22"/>
  <c r="E855" i="22" s="1"/>
  <c r="B851" i="22"/>
  <c r="E851" i="22" s="1"/>
  <c r="B842" i="22"/>
  <c r="E842" i="22" s="1"/>
  <c r="B831" i="22"/>
  <c r="E831" i="22" s="1"/>
  <c r="B828" i="22"/>
  <c r="E828" i="22" s="1"/>
  <c r="B813" i="22"/>
  <c r="E813" i="22" s="1"/>
  <c r="B861" i="22"/>
  <c r="E861" i="22" s="1"/>
  <c r="B843" i="22"/>
  <c r="E843" i="22" s="1"/>
  <c r="B844" i="22"/>
  <c r="E844" i="22" s="1"/>
  <c r="B846" i="22"/>
  <c r="E846" i="22" s="1"/>
  <c r="B821" i="22"/>
  <c r="E821" i="22" s="1"/>
  <c r="B866" i="22"/>
  <c r="E866" i="22" s="1"/>
  <c r="B829" i="22"/>
  <c r="E829" i="22" s="1"/>
  <c r="B830" i="22"/>
  <c r="E830" i="22" s="1"/>
  <c r="B862" i="22"/>
  <c r="E862" i="22" s="1"/>
  <c r="B863" i="22"/>
  <c r="E863" i="22" s="1"/>
  <c r="B864" i="22"/>
  <c r="E864" i="22" s="1"/>
  <c r="B832" i="22"/>
  <c r="E832" i="22" s="1"/>
  <c r="B875" i="22"/>
  <c r="E875" i="22" s="1"/>
  <c r="B841" i="22"/>
  <c r="E841" i="22" s="1"/>
  <c r="B877" i="22"/>
  <c r="E877" i="22" s="1"/>
  <c r="B823" i="22"/>
  <c r="E823" i="22" s="1"/>
  <c r="B839" i="22"/>
  <c r="E839" i="22" s="1"/>
  <c r="B827" i="22"/>
  <c r="E827" i="22" s="1"/>
  <c r="B824" i="22"/>
  <c r="E824" i="22" s="1"/>
  <c r="B818" i="22"/>
  <c r="E818" i="22" s="1"/>
  <c r="B856" i="22"/>
  <c r="E856" i="22" s="1"/>
  <c r="B850" i="22"/>
  <c r="E850" i="22" s="1"/>
  <c r="B876" i="22"/>
  <c r="E876" i="22" s="1"/>
  <c r="B872" i="22"/>
  <c r="E872" i="22" s="1"/>
  <c r="B819" i="22"/>
  <c r="E819" i="22" s="1"/>
  <c r="B820" i="22"/>
  <c r="E820" i="22" s="1"/>
  <c r="B837" i="22"/>
  <c r="E837" i="22" s="1"/>
  <c r="B826" i="22"/>
  <c r="E826" i="22" s="1"/>
  <c r="B814" i="22"/>
  <c r="E814" i="22" s="1"/>
  <c r="B815" i="22"/>
  <c r="E815" i="22" s="1"/>
  <c r="B668" i="22"/>
  <c r="E668" i="22" s="1"/>
  <c r="B671" i="22"/>
  <c r="E671" i="22" s="1"/>
  <c r="B670" i="22"/>
  <c r="E670" i="22" s="1"/>
  <c r="B672" i="22"/>
  <c r="E672" i="22" s="1"/>
  <c r="B673" i="22"/>
  <c r="E673" i="22" s="1"/>
  <c r="B675" i="22"/>
  <c r="E675" i="22" s="1"/>
  <c r="B674" i="22"/>
  <c r="E674" i="22" s="1"/>
  <c r="B676" i="22"/>
  <c r="E676" i="22" s="1"/>
  <c r="B678" i="22"/>
  <c r="B677" i="22"/>
  <c r="E677" i="22" s="1"/>
  <c r="B679" i="22"/>
  <c r="E679" i="22" s="1"/>
  <c r="B680" i="22"/>
  <c r="E680" i="22" s="1"/>
  <c r="B682" i="22"/>
  <c r="E682" i="22" s="1"/>
  <c r="B681" i="22"/>
  <c r="E681" i="22" s="1"/>
  <c r="B683" i="22"/>
  <c r="E683" i="22" s="1"/>
  <c r="B684" i="22"/>
  <c r="E684" i="22" s="1"/>
  <c r="B686" i="22"/>
  <c r="E686" i="22" s="1"/>
  <c r="B685" i="22"/>
  <c r="E685" i="22" s="1"/>
  <c r="B689" i="22"/>
  <c r="E689" i="22" s="1"/>
  <c r="B688" i="22"/>
  <c r="E688" i="22" s="1"/>
  <c r="H685" i="22"/>
  <c r="B83" i="22"/>
  <c r="E83" i="22" s="1"/>
  <c r="B74" i="22"/>
  <c r="E74" i="22" s="1"/>
  <c r="B85" i="22"/>
  <c r="E85" i="22" s="1"/>
  <c r="B84" i="22"/>
  <c r="E84" i="22" s="1"/>
  <c r="B30" i="22"/>
  <c r="E30" i="22" s="1"/>
  <c r="B120" i="22"/>
  <c r="E120" i="22" s="1"/>
  <c r="B128" i="22"/>
  <c r="E128" i="22" s="1"/>
  <c r="B73" i="22"/>
  <c r="E73" i="22" s="1"/>
  <c r="B105" i="22"/>
  <c r="E105" i="22" s="1"/>
  <c r="B124" i="22"/>
  <c r="E124" i="22" s="1"/>
  <c r="B56" i="22"/>
  <c r="E56" i="22" s="1"/>
  <c r="B107" i="22"/>
  <c r="E107" i="22" s="1"/>
  <c r="B55" i="22"/>
  <c r="E55" i="22" s="1"/>
  <c r="B82" i="22"/>
  <c r="E82" i="22" s="1"/>
  <c r="B49" i="22"/>
  <c r="E49" i="22" s="1"/>
  <c r="B48" i="22"/>
  <c r="E48" i="22" s="1"/>
  <c r="B47" i="22"/>
  <c r="E47" i="22" s="1"/>
  <c r="B39" i="22"/>
  <c r="E39" i="22" s="1"/>
  <c r="B148" i="22"/>
  <c r="E148" i="22" s="1"/>
  <c r="B126" i="22"/>
  <c r="E126" i="22" s="1"/>
  <c r="B163" i="22"/>
  <c r="E163" i="22" s="1"/>
  <c r="B63" i="22"/>
  <c r="E63" i="22" s="1"/>
  <c r="B61" i="22"/>
  <c r="E61" i="22" s="1"/>
  <c r="B127" i="22"/>
  <c r="E127" i="22" s="1"/>
  <c r="B154" i="22"/>
  <c r="E154" i="22" s="1"/>
  <c r="B72" i="22"/>
  <c r="E72" i="22" s="1"/>
  <c r="B62" i="22"/>
  <c r="E62" i="22" s="1"/>
  <c r="B108" i="22"/>
  <c r="E108" i="22" s="1"/>
  <c r="B140" i="22"/>
  <c r="E140" i="22" s="1"/>
  <c r="B104" i="22"/>
  <c r="E104" i="22" s="1"/>
  <c r="B92" i="22"/>
  <c r="E92" i="22" s="1"/>
  <c r="B59" i="22"/>
  <c r="E59" i="22" s="1"/>
  <c r="B11" i="22"/>
  <c r="E11" i="22" s="1"/>
  <c r="B69" i="22"/>
  <c r="E69" i="22" s="1"/>
  <c r="B96" i="22"/>
  <c r="E96" i="22" s="1"/>
  <c r="B95" i="22"/>
  <c r="E95" i="22" s="1"/>
  <c r="B94" i="22"/>
  <c r="E94" i="22" s="1"/>
  <c r="B71" i="22"/>
  <c r="E71" i="22" s="1"/>
  <c r="B98" i="22"/>
  <c r="E98" i="22" s="1"/>
  <c r="B101" i="22"/>
  <c r="E101" i="22" s="1"/>
  <c r="B106" i="22"/>
  <c r="E106" i="22" s="1"/>
  <c r="B155" i="22"/>
  <c r="E155" i="22" s="1"/>
  <c r="B93" i="22"/>
  <c r="E93" i="22" s="1"/>
  <c r="B138" i="22"/>
  <c r="E138" i="22" s="1"/>
  <c r="B91" i="22"/>
  <c r="E91" i="22" s="1"/>
  <c r="B103" i="22"/>
  <c r="E103" i="22" s="1"/>
  <c r="B54" i="22"/>
  <c r="E54" i="22" s="1"/>
  <c r="B80" i="22"/>
  <c r="E80" i="22" s="1"/>
  <c r="B89" i="22"/>
  <c r="E89" i="22" s="1"/>
  <c r="B81" i="22"/>
  <c r="E81" i="22" s="1"/>
  <c r="B68" i="22"/>
  <c r="E68" i="22" s="1"/>
  <c r="B67" i="22"/>
  <c r="E67" i="22" s="1"/>
  <c r="B66" i="22"/>
  <c r="E66" i="22" s="1"/>
  <c r="B52" i="22"/>
  <c r="E52" i="22" s="1"/>
  <c r="B146" i="22"/>
  <c r="E146" i="22" s="1"/>
  <c r="B97" i="22"/>
  <c r="E97" i="22" s="1"/>
  <c r="B113" i="22"/>
  <c r="E113" i="22" s="1"/>
  <c r="B122" i="22"/>
  <c r="E122" i="22" s="1"/>
  <c r="B125" i="22"/>
  <c r="E125" i="22" s="1"/>
  <c r="B137" i="22"/>
  <c r="E137" i="22" s="1"/>
  <c r="B149" i="22"/>
  <c r="E149" i="22" s="1"/>
  <c r="B100" i="22"/>
  <c r="E100" i="22" s="1"/>
  <c r="B102" i="22"/>
  <c r="E102" i="22" s="1"/>
  <c r="B88" i="22"/>
  <c r="E88" i="22" s="1"/>
  <c r="B134" i="22"/>
  <c r="E134" i="22" s="1"/>
  <c r="B78" i="22"/>
  <c r="E78" i="22" s="1"/>
  <c r="B79" i="22"/>
  <c r="E79" i="22" s="1"/>
  <c r="B109" i="22"/>
  <c r="E109" i="22" s="1"/>
  <c r="B141" i="22"/>
  <c r="E141" i="22" s="1"/>
  <c r="B111" i="22"/>
  <c r="E111" i="22" s="1"/>
  <c r="B142" i="22"/>
  <c r="E142" i="22" s="1"/>
  <c r="B17" i="22"/>
  <c r="E17" i="22" s="1"/>
  <c r="B119" i="22"/>
  <c r="E119" i="22" s="1"/>
  <c r="B145" i="22"/>
  <c r="E145" i="22" s="1"/>
  <c r="B87" i="22"/>
  <c r="E87" i="22" s="1"/>
  <c r="B86" i="22"/>
  <c r="E86" i="22" s="1"/>
  <c r="B64" i="22"/>
  <c r="E64" i="22" s="1"/>
  <c r="B90" i="22"/>
  <c r="E90" i="22" s="1"/>
  <c r="B99" i="22"/>
  <c r="E99" i="22" s="1"/>
  <c r="B51" i="22"/>
  <c r="E51" i="22" s="1"/>
  <c r="B58" i="22"/>
  <c r="E58" i="22" s="1"/>
  <c r="B121" i="22"/>
  <c r="E121" i="22" s="1"/>
  <c r="B147" i="22"/>
  <c r="E147" i="22" s="1"/>
  <c r="B159" i="22"/>
  <c r="E159" i="22" s="1"/>
  <c r="B150" i="22"/>
  <c r="E150" i="22" s="1"/>
  <c r="B158" i="22"/>
  <c r="E158" i="22" s="1"/>
  <c r="B157" i="22"/>
  <c r="E157" i="22" s="1"/>
  <c r="B156" i="22"/>
  <c r="E156" i="22" s="1"/>
  <c r="B53" i="22"/>
  <c r="E53" i="22" s="1"/>
  <c r="B77" i="22"/>
  <c r="E77" i="22" s="1"/>
  <c r="B118" i="22"/>
  <c r="E118" i="22" s="1"/>
  <c r="B123" i="22"/>
  <c r="E123" i="22" s="1"/>
  <c r="B133" i="22"/>
  <c r="E133" i="22" s="1"/>
  <c r="B36" i="22"/>
  <c r="E36" i="22" s="1"/>
  <c r="B144" i="22"/>
  <c r="E144" i="22" s="1"/>
  <c r="B132" i="22"/>
  <c r="E132" i="22" s="1"/>
  <c r="B117" i="22"/>
  <c r="E117" i="22" s="1"/>
  <c r="B110" i="22"/>
  <c r="E110" i="22" s="1"/>
  <c r="B116" i="22"/>
  <c r="E116" i="22" s="1"/>
  <c r="B112" i="22"/>
  <c r="E112" i="22" s="1"/>
  <c r="B143" i="22"/>
  <c r="E143" i="22" s="1"/>
  <c r="H76" i="22"/>
  <c r="B76" i="22"/>
  <c r="E76" i="22" s="1"/>
  <c r="H75" i="22"/>
  <c r="B75" i="22"/>
  <c r="E75" i="22" s="1"/>
  <c r="B139" i="22"/>
  <c r="E139" i="22" s="1"/>
  <c r="B70" i="22"/>
  <c r="E70" i="22" s="1"/>
  <c r="H131" i="22"/>
  <c r="B131" i="22"/>
  <c r="E131" i="22" s="1"/>
  <c r="H136" i="22"/>
  <c r="B136" i="22"/>
  <c r="E136" i="22" s="1"/>
  <c r="H130" i="22"/>
  <c r="B130" i="22"/>
  <c r="E130" i="22" s="1"/>
  <c r="H135" i="22"/>
  <c r="B135" i="22"/>
  <c r="E135" i="22" s="1"/>
  <c r="B129" i="22"/>
  <c r="E129" i="22" s="1"/>
  <c r="B115" i="22"/>
  <c r="E115" i="22" s="1"/>
  <c r="B114" i="22"/>
  <c r="E114" i="22" s="1"/>
  <c r="B50" i="22"/>
  <c r="E50" i="22" s="1"/>
  <c r="B65" i="22"/>
  <c r="E65" i="22" s="1"/>
  <c r="B151" i="22"/>
  <c r="E151" i="22" s="1"/>
  <c r="E678" i="22" l="1"/>
  <c r="E358" i="22"/>
  <c r="E362" i="22"/>
  <c r="E483" i="22"/>
  <c r="B482" i="22"/>
  <c r="E482" i="22" s="1"/>
  <c r="B481" i="22"/>
  <c r="E481" i="22" s="1"/>
  <c r="B480" i="22"/>
  <c r="E480" i="22" s="1"/>
  <c r="B479" i="22"/>
  <c r="E479" i="22" s="1"/>
  <c r="B478" i="22"/>
  <c r="E478" i="22" s="1"/>
  <c r="B477" i="22"/>
  <c r="E477" i="22" s="1"/>
  <c r="B475" i="22"/>
  <c r="E475" i="22" s="1"/>
  <c r="B474" i="22"/>
  <c r="E474" i="22" s="1"/>
  <c r="B476" i="22"/>
  <c r="E476" i="22" s="1"/>
  <c r="B463" i="22"/>
  <c r="E463" i="22" s="1"/>
  <c r="B467" i="22"/>
  <c r="E467" i="22" s="1"/>
  <c r="B470" i="22"/>
  <c r="E470" i="22" s="1"/>
  <c r="B469" i="22"/>
  <c r="E469" i="22" s="1"/>
  <c r="B468" i="22"/>
  <c r="E468" i="22" s="1"/>
  <c r="B466" i="22"/>
  <c r="E466" i="22" s="1"/>
  <c r="B465" i="22"/>
  <c r="E465" i="22" s="1"/>
  <c r="B464" i="22"/>
  <c r="E464" i="22" s="1"/>
  <c r="B472" i="22"/>
  <c r="E472" i="22" s="1"/>
  <c r="B471" i="22"/>
  <c r="E471" i="22" s="1"/>
  <c r="B462" i="22"/>
  <c r="E462" i="22" s="1"/>
  <c r="B461" i="22"/>
  <c r="E461" i="22" s="1"/>
  <c r="B460" i="22"/>
  <c r="E460" i="22" s="1"/>
  <c r="B459" i="22"/>
  <c r="E459" i="22" s="1"/>
  <c r="B458" i="22"/>
  <c r="E458" i="22" s="1"/>
  <c r="B457" i="22"/>
  <c r="E457" i="22" s="1"/>
  <c r="B455" i="22"/>
  <c r="E455" i="22" s="1"/>
  <c r="B454" i="22"/>
  <c r="E454" i="22" s="1"/>
  <c r="B456" i="22"/>
  <c r="E456" i="22" s="1"/>
  <c r="B453" i="22"/>
  <c r="E453" i="22" s="1"/>
  <c r="B452" i="22"/>
  <c r="E452" i="22" s="1"/>
  <c r="B451" i="22"/>
  <c r="E451" i="22" s="1"/>
  <c r="B448" i="22"/>
  <c r="E448" i="22" s="1"/>
  <c r="B447" i="22"/>
  <c r="E447" i="22" s="1"/>
  <c r="B449" i="22"/>
  <c r="E449" i="22" s="1"/>
  <c r="B450" i="22"/>
  <c r="E450" i="22" s="1"/>
  <c r="B443" i="22"/>
  <c r="E443" i="22" s="1"/>
  <c r="B442" i="22"/>
  <c r="E442" i="22" s="1"/>
  <c r="B441" i="22"/>
  <c r="E441" i="22" s="1"/>
  <c r="B440" i="22"/>
  <c r="E440" i="22" s="1"/>
  <c r="B446" i="22"/>
  <c r="E446" i="22" s="1"/>
  <c r="B445" i="22"/>
  <c r="E445" i="22" s="1"/>
  <c r="B444" i="22"/>
  <c r="E444" i="22" s="1"/>
  <c r="B437" i="22"/>
  <c r="E437" i="22" s="1"/>
  <c r="B436" i="22"/>
  <c r="E436" i="22" s="1"/>
  <c r="B435" i="22"/>
  <c r="E435" i="22" s="1"/>
  <c r="B434" i="22"/>
  <c r="E434" i="22" s="1"/>
  <c r="B433" i="22"/>
  <c r="E433" i="22" s="1"/>
  <c r="B432" i="22"/>
  <c r="E432" i="22" s="1"/>
  <c r="B439" i="22"/>
  <c r="E439" i="22" s="1"/>
  <c r="B438" i="22"/>
  <c r="E438" i="22" s="1"/>
  <c r="B430" i="22"/>
  <c r="E430" i="22" s="1"/>
  <c r="B429" i="22"/>
  <c r="E429" i="22" s="1"/>
  <c r="B431" i="22"/>
  <c r="E431" i="22" s="1"/>
  <c r="B428" i="22"/>
  <c r="E428" i="22" s="1"/>
  <c r="B427" i="22"/>
  <c r="E427" i="22" s="1"/>
  <c r="B426" i="22"/>
  <c r="E426" i="22" s="1"/>
  <c r="B425" i="22"/>
  <c r="E425" i="22" s="1"/>
  <c r="B424" i="22"/>
  <c r="E424" i="22" s="1"/>
  <c r="B423" i="22"/>
  <c r="E423" i="22" s="1"/>
  <c r="B422" i="22"/>
  <c r="E422" i="22" s="1"/>
  <c r="B421" i="22"/>
  <c r="E421" i="22" s="1"/>
  <c r="B420" i="22"/>
  <c r="E420" i="22" s="1"/>
  <c r="B417" i="22"/>
  <c r="E417" i="22" s="1"/>
  <c r="B418" i="22"/>
  <c r="E418" i="22" s="1"/>
  <c r="B416" i="22"/>
  <c r="E416" i="22" s="1"/>
  <c r="B415" i="22"/>
  <c r="E415" i="22" s="1"/>
  <c r="B412" i="22"/>
  <c r="E412" i="22" s="1"/>
  <c r="B414" i="22"/>
  <c r="E414" i="22" s="1"/>
  <c r="B413" i="22"/>
  <c r="E413" i="22" s="1"/>
  <c r="B411" i="22"/>
  <c r="E411" i="22" s="1"/>
  <c r="B410" i="22"/>
  <c r="E410" i="22" s="1"/>
  <c r="B409" i="22"/>
  <c r="E409" i="22" s="1"/>
  <c r="B408" i="22"/>
  <c r="E408" i="22" s="1"/>
  <c r="B407" i="22"/>
  <c r="E407" i="22" s="1"/>
  <c r="B406" i="22"/>
  <c r="E406" i="22" s="1"/>
  <c r="B403" i="22"/>
  <c r="E403" i="22" s="1"/>
  <c r="B405" i="22"/>
  <c r="E405" i="22" s="1"/>
  <c r="B404" i="22"/>
  <c r="E404" i="22" s="1"/>
  <c r="B130" i="18" l="1"/>
  <c r="B129" i="18"/>
  <c r="B128" i="18"/>
  <c r="B127" i="18"/>
  <c r="B126" i="18"/>
  <c r="B125" i="18"/>
  <c r="B124" i="18"/>
  <c r="B123" i="18"/>
  <c r="F130" i="18"/>
  <c r="B122" i="18" l="1"/>
  <c r="B121" i="18" l="1"/>
  <c r="F120" i="18"/>
  <c r="B119" i="18"/>
  <c r="B120" i="18"/>
  <c r="B57" i="22" l="1"/>
  <c r="E57" i="22" s="1"/>
  <c r="B60" i="22"/>
  <c r="E60" i="22" s="1"/>
  <c r="AM156" i="17"/>
  <c r="AM155" i="17"/>
  <c r="AM154" i="17"/>
  <c r="AM150" i="17"/>
  <c r="AM148" i="17"/>
  <c r="AM147" i="17"/>
  <c r="AM146" i="17"/>
  <c r="AM145" i="17"/>
  <c r="AM141" i="17"/>
  <c r="AM140" i="17"/>
  <c r="AM139" i="17"/>
  <c r="AM137" i="17"/>
  <c r="AM136" i="17"/>
  <c r="AM132" i="17"/>
  <c r="AM131" i="17"/>
  <c r="AM130" i="17"/>
  <c r="AM129" i="17"/>
  <c r="AM128" i="17"/>
  <c r="AM124" i="17"/>
  <c r="AM123" i="17"/>
  <c r="AM122" i="17"/>
  <c r="AM121" i="17"/>
  <c r="AM118" i="17"/>
  <c r="AM117" i="17"/>
  <c r="AM116" i="17"/>
  <c r="AM115" i="17"/>
  <c r="AM114" i="17"/>
  <c r="AM113" i="17"/>
  <c r="AM112" i="17"/>
  <c r="AM106" i="17"/>
  <c r="AM105" i="17"/>
  <c r="AM104" i="17"/>
  <c r="AM101" i="17"/>
  <c r="AM100" i="17"/>
  <c r="AM99" i="17"/>
  <c r="AM98" i="17"/>
  <c r="AM97" i="17"/>
  <c r="AM96" i="17"/>
  <c r="AM95" i="17"/>
  <c r="AM94" i="17"/>
  <c r="AM91" i="17"/>
  <c r="AM90" i="17"/>
  <c r="AM89" i="17"/>
  <c r="AM88" i="17"/>
  <c r="AM85" i="17"/>
  <c r="AM83" i="17"/>
  <c r="AM82" i="17"/>
  <c r="AM81" i="17"/>
  <c r="AM80" i="17"/>
  <c r="AM77" i="17"/>
  <c r="AM76" i="17"/>
  <c r="AM75" i="17"/>
  <c r="AM74" i="17"/>
  <c r="AM32" i="17" s="1"/>
  <c r="AM73" i="17"/>
  <c r="AM84" i="17"/>
  <c r="AM70" i="17"/>
  <c r="AM69" i="17"/>
  <c r="AM68" i="17"/>
  <c r="AM67" i="17"/>
  <c r="AM66" i="17"/>
  <c r="AM65" i="17"/>
  <c r="AM64" i="17"/>
  <c r="AM63" i="17"/>
  <c r="AM62" i="17"/>
  <c r="AM61" i="17"/>
  <c r="AM60" i="17"/>
  <c r="AM59" i="17"/>
  <c r="AM58" i="17"/>
  <c r="AM55" i="17"/>
  <c r="AM42" i="17"/>
  <c r="AM41" i="17"/>
  <c r="AM34" i="17"/>
  <c r="AM26" i="17"/>
  <c r="AM31" i="17"/>
  <c r="AM25" i="17"/>
  <c r="AM30" i="17"/>
  <c r="AM28" i="17"/>
  <c r="AM24" i="17"/>
  <c r="AM20" i="17"/>
  <c r="AM19" i="17"/>
  <c r="AM18" i="17"/>
  <c r="AM22" i="17"/>
  <c r="AM15" i="17"/>
  <c r="AM14" i="17"/>
  <c r="AM12" i="17"/>
  <c r="AM11" i="17"/>
  <c r="AM10" i="17"/>
  <c r="AM9" i="17"/>
  <c r="AM7" i="17"/>
  <c r="AM6" i="17"/>
  <c r="AM5" i="17"/>
  <c r="Z113" i="17"/>
  <c r="W113" i="17"/>
  <c r="T113" i="17"/>
  <c r="AJ48" i="17"/>
  <c r="AP48" i="17"/>
  <c r="AG48" i="17"/>
  <c r="AD48" i="17"/>
  <c r="AA48" i="17"/>
  <c r="X48" i="17"/>
  <c r="U48" i="17"/>
  <c r="R48" i="17"/>
  <c r="O48" i="17"/>
  <c r="L48" i="17"/>
  <c r="I48" i="17"/>
  <c r="F48" i="17"/>
  <c r="AJ71" i="17"/>
  <c r="AG71" i="17"/>
  <c r="AD71" i="17"/>
  <c r="AA71" i="17"/>
  <c r="X71" i="17"/>
  <c r="U71" i="17"/>
  <c r="R71" i="17"/>
  <c r="O71" i="17"/>
  <c r="L71" i="17"/>
  <c r="I71" i="17"/>
  <c r="AJ78" i="17"/>
  <c r="AG78" i="17"/>
  <c r="AD78" i="17"/>
  <c r="AA78" i="17"/>
  <c r="X78" i="17"/>
  <c r="U78" i="17"/>
  <c r="R78" i="17"/>
  <c r="O78" i="17"/>
  <c r="L78" i="17"/>
  <c r="I78" i="17"/>
  <c r="F78" i="17"/>
  <c r="AJ86" i="17"/>
  <c r="AG86" i="17"/>
  <c r="AD86" i="17"/>
  <c r="AA86" i="17"/>
  <c r="X86" i="17"/>
  <c r="U86" i="17"/>
  <c r="R86" i="17"/>
  <c r="O86" i="17"/>
  <c r="L86" i="17"/>
  <c r="I86" i="17"/>
  <c r="F86" i="17"/>
  <c r="AJ92" i="17"/>
  <c r="AG92" i="17"/>
  <c r="AD92" i="17"/>
  <c r="AA92" i="17"/>
  <c r="X92" i="17"/>
  <c r="U92" i="17"/>
  <c r="R92" i="17"/>
  <c r="O92" i="17"/>
  <c r="L92" i="17"/>
  <c r="I92" i="17"/>
  <c r="F92" i="17"/>
  <c r="AJ102" i="17"/>
  <c r="AG102" i="17"/>
  <c r="AD102" i="17"/>
  <c r="AA102" i="17"/>
  <c r="X102" i="17"/>
  <c r="U102" i="17"/>
  <c r="R102" i="17"/>
  <c r="O102" i="17"/>
  <c r="L102" i="17"/>
  <c r="I102" i="17"/>
  <c r="F102" i="17"/>
  <c r="C102" i="17"/>
  <c r="AJ119" i="17"/>
  <c r="AG119" i="17"/>
  <c r="AD119" i="17"/>
  <c r="AA119" i="17"/>
  <c r="X119" i="17"/>
  <c r="U119" i="17"/>
  <c r="R119" i="17"/>
  <c r="O119" i="17"/>
  <c r="L119" i="17"/>
  <c r="I119" i="17"/>
  <c r="F119" i="17"/>
  <c r="AJ126" i="17"/>
  <c r="AG126" i="17"/>
  <c r="AD126" i="17"/>
  <c r="AA126" i="17"/>
  <c r="X126" i="17"/>
  <c r="U126" i="17"/>
  <c r="R126" i="17"/>
  <c r="O126" i="17"/>
  <c r="L126" i="17"/>
  <c r="I126" i="17"/>
  <c r="F126" i="17"/>
  <c r="AJ134" i="17"/>
  <c r="AG134" i="17"/>
  <c r="AD134" i="17"/>
  <c r="AA134" i="17"/>
  <c r="X134" i="17"/>
  <c r="U134" i="17"/>
  <c r="R134" i="17"/>
  <c r="O134" i="17"/>
  <c r="L134" i="17"/>
  <c r="I134" i="17"/>
  <c r="F134" i="17"/>
  <c r="AJ143" i="17"/>
  <c r="AG143" i="17"/>
  <c r="AD143" i="17"/>
  <c r="AA143" i="17"/>
  <c r="X143" i="17"/>
  <c r="U143" i="17"/>
  <c r="R143" i="17"/>
  <c r="O143" i="17"/>
  <c r="L143" i="17"/>
  <c r="I143" i="17"/>
  <c r="F143" i="17"/>
  <c r="AJ152" i="17"/>
  <c r="AG152" i="17"/>
  <c r="AD152" i="17"/>
  <c r="AA152" i="17"/>
  <c r="X152" i="17"/>
  <c r="U152" i="17"/>
  <c r="R152" i="17"/>
  <c r="O152" i="17"/>
  <c r="L152" i="17"/>
  <c r="I152" i="17"/>
  <c r="F152" i="17"/>
  <c r="C48" i="17"/>
  <c r="H10" i="22"/>
  <c r="H8" i="22"/>
  <c r="H9" i="22"/>
  <c r="H7" i="22"/>
  <c r="B10" i="22"/>
  <c r="E10" i="22" s="1"/>
  <c r="B8" i="22"/>
  <c r="E8" i="22" s="1"/>
  <c r="C71" i="17"/>
  <c r="B376" i="22"/>
  <c r="E376" i="22" s="1"/>
  <c r="B380" i="22"/>
  <c r="E380" i="22" s="1"/>
  <c r="B402" i="22"/>
  <c r="E402" i="22" s="1"/>
  <c r="B399" i="22"/>
  <c r="E399" i="22" s="1"/>
  <c r="B400" i="22"/>
  <c r="E400" i="22" s="1"/>
  <c r="B398" i="22"/>
  <c r="E398" i="22" s="1"/>
  <c r="B397" i="22"/>
  <c r="E397" i="22" s="1"/>
  <c r="B396" i="22"/>
  <c r="E396" i="22" s="1"/>
  <c r="B391" i="22"/>
  <c r="E391" i="22" s="1"/>
  <c r="B394" i="22"/>
  <c r="E394" i="22" s="1"/>
  <c r="B393" i="22"/>
  <c r="E393" i="22" s="1"/>
  <c r="B395" i="22"/>
  <c r="E395" i="22" s="1"/>
  <c r="B392" i="22"/>
  <c r="E392" i="22" s="1"/>
  <c r="B390" i="22"/>
  <c r="E390" i="22" s="1"/>
  <c r="B388" i="22"/>
  <c r="E388" i="22" s="1"/>
  <c r="B387" i="22"/>
  <c r="E387" i="22" s="1"/>
  <c r="B386" i="22"/>
  <c r="E386" i="22" s="1"/>
  <c r="B389" i="22"/>
  <c r="E389" i="22" s="1"/>
  <c r="B385" i="22"/>
  <c r="E385" i="22" s="1"/>
  <c r="B382" i="22"/>
  <c r="E382" i="22" s="1"/>
  <c r="B379" i="22"/>
  <c r="E379" i="22" s="1"/>
  <c r="B383" i="22"/>
  <c r="E383" i="22" s="1"/>
  <c r="B384" i="22"/>
  <c r="E384" i="22" s="1"/>
  <c r="B377" i="22"/>
  <c r="E377" i="22" s="1"/>
  <c r="B378" i="22"/>
  <c r="E378" i="22" s="1"/>
  <c r="B381" i="22"/>
  <c r="E381" i="22" s="1"/>
  <c r="C16" i="17"/>
  <c r="AJ35" i="17"/>
  <c r="AJ16" i="17"/>
  <c r="AG35" i="17"/>
  <c r="AG16" i="17"/>
  <c r="AD35" i="17"/>
  <c r="AD16" i="17"/>
  <c r="AA35" i="17"/>
  <c r="AA16" i="17"/>
  <c r="X35" i="17"/>
  <c r="X16" i="17"/>
  <c r="U35" i="17"/>
  <c r="U16" i="17"/>
  <c r="R35" i="17"/>
  <c r="R16" i="17"/>
  <c r="O35" i="17"/>
  <c r="O16" i="17"/>
  <c r="L35" i="17"/>
  <c r="L16" i="17"/>
  <c r="I35" i="17"/>
  <c r="I16" i="17"/>
  <c r="F35" i="17"/>
  <c r="F16" i="17"/>
  <c r="AP24" i="17"/>
  <c r="AP17" i="17"/>
  <c r="AP31" i="17" s="1"/>
  <c r="AM110" i="17" l="1"/>
  <c r="AM126" i="17"/>
  <c r="AM71" i="17"/>
  <c r="AM78" i="17"/>
  <c r="AM119" i="17"/>
  <c r="AM48" i="17"/>
  <c r="L157" i="17"/>
  <c r="X157" i="17"/>
  <c r="O157" i="17"/>
  <c r="AA157" i="17"/>
  <c r="AJ157" i="17"/>
  <c r="R157" i="17"/>
  <c r="AD157" i="17"/>
  <c r="I157" i="17"/>
  <c r="U157" i="17"/>
  <c r="AG157" i="17"/>
  <c r="AM92" i="17"/>
  <c r="AM134" i="17"/>
  <c r="AM143" i="17"/>
  <c r="AM102" i="17"/>
  <c r="AM86" i="17"/>
  <c r="I36" i="17"/>
  <c r="O36" i="17"/>
  <c r="U36" i="17"/>
  <c r="AA36" i="17"/>
  <c r="AG36" i="17"/>
  <c r="F36" i="17"/>
  <c r="L36" i="17"/>
  <c r="R36" i="17"/>
  <c r="X36" i="17"/>
  <c r="AD36" i="17"/>
  <c r="AJ36" i="17"/>
  <c r="AM35" i="17"/>
  <c r="B750" i="22"/>
  <c r="E750" i="22" s="1"/>
  <c r="B751" i="22"/>
  <c r="E751" i="22" s="1"/>
  <c r="B753" i="22"/>
  <c r="E753" i="22" s="1"/>
  <c r="B752" i="22"/>
  <c r="E752" i="22" s="1"/>
  <c r="B749" i="22"/>
  <c r="E749" i="22" s="1"/>
  <c r="B6" i="14"/>
  <c r="B5" i="14"/>
  <c r="B4" i="14"/>
  <c r="B3" i="14"/>
  <c r="B2" i="14"/>
  <c r="H3" i="14"/>
  <c r="F2" i="14"/>
  <c r="C126" i="17"/>
  <c r="B46" i="22"/>
  <c r="E46" i="22" s="1"/>
  <c r="B45" i="22"/>
  <c r="E45" i="22" s="1"/>
  <c r="B44" i="22"/>
  <c r="E44" i="22" s="1"/>
  <c r="B43" i="22"/>
  <c r="E43" i="22" s="1"/>
  <c r="B42" i="22"/>
  <c r="E42" i="22" s="1"/>
  <c r="B41" i="22"/>
  <c r="E41" i="22" s="1"/>
  <c r="B40" i="22"/>
  <c r="E40" i="22" s="1"/>
  <c r="B38" i="22"/>
  <c r="E38" i="22" s="1"/>
  <c r="B37" i="22"/>
  <c r="E37" i="22" s="1"/>
  <c r="B35" i="22"/>
  <c r="E35" i="22" s="1"/>
  <c r="B34" i="22"/>
  <c r="E34" i="22" s="1"/>
  <c r="B33" i="22"/>
  <c r="E33" i="22" s="1"/>
  <c r="B32" i="22"/>
  <c r="E32" i="22" s="1"/>
  <c r="B31" i="22"/>
  <c r="E31" i="22" s="1"/>
  <c r="B29" i="22"/>
  <c r="E29" i="22" s="1"/>
  <c r="B28" i="22"/>
  <c r="E28" i="22" s="1"/>
  <c r="B27" i="22"/>
  <c r="E27" i="22" s="1"/>
  <c r="B26" i="22"/>
  <c r="E26" i="22" s="1"/>
  <c r="B25" i="22"/>
  <c r="E25" i="22" s="1"/>
  <c r="B24" i="22"/>
  <c r="E24" i="22" s="1"/>
  <c r="B23" i="22"/>
  <c r="E23" i="22" s="1"/>
  <c r="B22" i="22"/>
  <c r="E22" i="22" s="1"/>
  <c r="B21" i="22"/>
  <c r="E21" i="22" s="1"/>
  <c r="B20" i="22"/>
  <c r="E20" i="22" s="1"/>
  <c r="B19" i="22"/>
  <c r="E19" i="22" s="1"/>
  <c r="B18" i="22"/>
  <c r="E18" i="22" s="1"/>
  <c r="B15" i="22"/>
  <c r="E15" i="22" s="1"/>
  <c r="B14" i="22"/>
  <c r="E14" i="22" s="1"/>
  <c r="B13" i="22"/>
  <c r="E13" i="22" s="1"/>
  <c r="B12" i="22"/>
  <c r="E12" i="22" s="1"/>
  <c r="B9" i="22"/>
  <c r="E9" i="22" s="1"/>
  <c r="B7" i="22"/>
  <c r="E7" i="22" s="1"/>
  <c r="B6" i="22"/>
  <c r="E6" i="22" s="1"/>
  <c r="B5" i="22"/>
  <c r="E5" i="22" s="1"/>
  <c r="B3" i="22"/>
  <c r="E3" i="22" s="1"/>
  <c r="H4" i="14" l="1"/>
  <c r="H5" i="14" s="1"/>
  <c r="H6" i="14" s="1"/>
  <c r="C119" i="17"/>
  <c r="B666" i="22"/>
  <c r="E666" i="22" s="1"/>
  <c r="B665" i="22"/>
  <c r="E665" i="22" s="1"/>
  <c r="H666" i="22"/>
  <c r="B354" i="22"/>
  <c r="E355" i="22" l="1"/>
  <c r="E354" i="22"/>
  <c r="H7" i="14"/>
  <c r="H8" i="14" s="1"/>
  <c r="H9" i="14" s="1"/>
  <c r="H10" i="14" s="1"/>
  <c r="H15" i="14" s="1"/>
  <c r="H16" i="14" s="1"/>
  <c r="H17" i="14" s="1"/>
  <c r="H18" i="14" s="1"/>
  <c r="H11" i="14"/>
  <c r="H12" i="14" s="1"/>
  <c r="H13" i="14" s="1"/>
  <c r="H14" i="14" s="1"/>
  <c r="H19" i="14" s="1"/>
  <c r="H20" i="14" s="1"/>
  <c r="H21" i="14" s="1"/>
  <c r="H22" i="14" s="1"/>
  <c r="G118" i="18"/>
  <c r="G119" i="18" s="1"/>
  <c r="G120" i="18" s="1"/>
  <c r="G121" i="18" s="1"/>
  <c r="G122" i="18" s="1"/>
  <c r="G123" i="18" s="1"/>
  <c r="G124" i="18" s="1"/>
  <c r="G125" i="18" s="1"/>
  <c r="G126" i="18" s="1"/>
  <c r="G127" i="18" s="1"/>
  <c r="G128" i="18" s="1"/>
  <c r="G129" i="18" s="1"/>
  <c r="G130" i="18" s="1"/>
  <c r="G131" i="18" s="1"/>
  <c r="G132" i="18" s="1"/>
  <c r="G133" i="18" s="1"/>
  <c r="G134" i="18" s="1"/>
  <c r="G135" i="18" s="1"/>
  <c r="B118" i="18"/>
  <c r="B117" i="18"/>
  <c r="B2" i="18"/>
  <c r="C2" i="18"/>
  <c r="B3" i="18"/>
  <c r="C3" i="18"/>
  <c r="G3" i="18"/>
  <c r="G4" i="18" s="1"/>
  <c r="G5" i="18" s="1"/>
  <c r="G6" i="18" s="1"/>
  <c r="G7" i="18" s="1"/>
  <c r="G8" i="18" s="1"/>
  <c r="B4" i="18"/>
  <c r="C4" i="18"/>
  <c r="B5" i="18"/>
  <c r="C5" i="18"/>
  <c r="B6" i="18"/>
  <c r="C6" i="18"/>
  <c r="B7" i="18"/>
  <c r="C7" i="18"/>
  <c r="B8" i="18"/>
  <c r="C8" i="18"/>
  <c r="F8" i="18"/>
  <c r="B9" i="18"/>
  <c r="C9" i="18"/>
  <c r="F9" i="18"/>
  <c r="B10" i="18"/>
  <c r="C10" i="18"/>
  <c r="B11" i="18"/>
  <c r="C11" i="18"/>
  <c r="B12" i="18"/>
  <c r="C12" i="18"/>
  <c r="B13" i="18"/>
  <c r="C13" i="18"/>
  <c r="B14" i="18"/>
  <c r="C14" i="18"/>
  <c r="B15" i="18"/>
  <c r="C15" i="18"/>
  <c r="B16" i="18"/>
  <c r="C16" i="18"/>
  <c r="B17" i="18"/>
  <c r="C17" i="18"/>
  <c r="B18" i="18"/>
  <c r="C18" i="18"/>
  <c r="B19" i="18"/>
  <c r="C19" i="18"/>
  <c r="B20" i="18"/>
  <c r="C20" i="18"/>
  <c r="B21" i="18"/>
  <c r="C21" i="18"/>
  <c r="B22" i="18"/>
  <c r="C22" i="18"/>
  <c r="B23" i="18"/>
  <c r="C23" i="18"/>
  <c r="B24" i="18"/>
  <c r="C24" i="18"/>
  <c r="B25" i="18"/>
  <c r="C25" i="18"/>
  <c r="B26" i="18"/>
  <c r="C26" i="18"/>
  <c r="B28" i="18"/>
  <c r="C28" i="18"/>
  <c r="B29" i="18"/>
  <c r="C29" i="18"/>
  <c r="B30" i="18"/>
  <c r="C30" i="18"/>
  <c r="B31" i="18"/>
  <c r="C31" i="18"/>
  <c r="F31" i="18"/>
  <c r="B32" i="18"/>
  <c r="C32" i="18"/>
  <c r="B33" i="18"/>
  <c r="C33" i="18"/>
  <c r="B34" i="18"/>
  <c r="C34" i="18"/>
  <c r="F34" i="18"/>
  <c r="B35" i="18"/>
  <c r="C35" i="18"/>
  <c r="B36" i="18"/>
  <c r="C36" i="18"/>
  <c r="B37" i="18"/>
  <c r="C37" i="18"/>
  <c r="B38" i="18"/>
  <c r="C38" i="18"/>
  <c r="B39" i="18"/>
  <c r="C39" i="18"/>
  <c r="B40" i="18"/>
  <c r="C40" i="18"/>
  <c r="B41" i="18"/>
  <c r="C41" i="18"/>
  <c r="B42" i="18"/>
  <c r="C42" i="18"/>
  <c r="F42" i="18"/>
  <c r="B43" i="18"/>
  <c r="C43" i="18"/>
  <c r="F43" i="18"/>
  <c r="B44" i="18"/>
  <c r="C44" i="18"/>
  <c r="B45" i="18"/>
  <c r="C45" i="18"/>
  <c r="F45" i="18"/>
  <c r="B46" i="18"/>
  <c r="C46" i="18"/>
  <c r="B47" i="18"/>
  <c r="C47" i="18"/>
  <c r="B48" i="18"/>
  <c r="C48" i="18"/>
  <c r="B49" i="18"/>
  <c r="C49" i="18"/>
  <c r="F49" i="18"/>
  <c r="B50" i="18"/>
  <c r="C50" i="18"/>
  <c r="B51" i="18"/>
  <c r="C51" i="18"/>
  <c r="B52" i="18"/>
  <c r="C52" i="18"/>
  <c r="B53" i="18"/>
  <c r="C53" i="18"/>
  <c r="B54" i="18"/>
  <c r="C54" i="18"/>
  <c r="B55" i="18"/>
  <c r="C55" i="18"/>
  <c r="B56" i="18"/>
  <c r="C56" i="18"/>
  <c r="B57" i="18"/>
  <c r="C57" i="18"/>
  <c r="C134" i="17"/>
  <c r="AP9" i="17"/>
  <c r="B16" i="22"/>
  <c r="E16" i="22" s="1"/>
  <c r="F71" i="17" l="1"/>
  <c r="F157" i="17" s="1"/>
  <c r="G9" i="18"/>
  <c r="G10" i="18" s="1"/>
  <c r="G11" i="18" s="1"/>
  <c r="G12" i="18" s="1"/>
  <c r="G13" i="18" s="1"/>
  <c r="G14" i="18" s="1"/>
  <c r="G15" i="18" s="1"/>
  <c r="G16" i="18" s="1"/>
  <c r="G17" i="18" s="1"/>
  <c r="G18" i="18" s="1"/>
  <c r="G19" i="18" s="1"/>
  <c r="G20" i="18" s="1"/>
  <c r="G21" i="18" s="1"/>
  <c r="G22" i="18" s="1"/>
  <c r="G23" i="18" s="1"/>
  <c r="G24" i="18" s="1"/>
  <c r="G25" i="18" s="1"/>
  <c r="G26" i="18" s="1"/>
  <c r="G28" i="18" s="1"/>
  <c r="G29" i="18" s="1"/>
  <c r="G30" i="18" s="1"/>
  <c r="G31" i="18" s="1"/>
  <c r="G32" i="18" s="1"/>
  <c r="G33" i="18" s="1"/>
  <c r="G34" i="18" s="1"/>
  <c r="G35" i="18" s="1"/>
  <c r="G36" i="18" s="1"/>
  <c r="G37" i="18" s="1"/>
  <c r="G38" i="18" s="1"/>
  <c r="B4" i="22"/>
  <c r="E4" i="22" s="1"/>
  <c r="B2" i="22"/>
  <c r="E2" i="22" s="1"/>
  <c r="AK50" i="17" l="1"/>
  <c r="AL50" i="17" s="1"/>
  <c r="AB50" i="17"/>
  <c r="AC50" i="17" s="1"/>
  <c r="P50" i="17"/>
  <c r="Q50" i="17" s="1"/>
  <c r="G50" i="17"/>
  <c r="H50" i="17" s="1"/>
  <c r="M52" i="17"/>
  <c r="N52" i="17" s="1"/>
  <c r="D52" i="17"/>
  <c r="AB52" i="17"/>
  <c r="AC52" i="17" s="1"/>
  <c r="M51" i="17"/>
  <c r="N51" i="17" s="1"/>
  <c r="D51" i="17"/>
  <c r="Y51" i="17"/>
  <c r="Z51" i="17" s="1"/>
  <c r="AE52" i="17"/>
  <c r="AF52" i="17" s="1"/>
  <c r="V52" i="17"/>
  <c r="W52" i="17" s="1"/>
  <c r="V50" i="17"/>
  <c r="W50" i="17" s="1"/>
  <c r="S51" i="17"/>
  <c r="T51" i="17" s="1"/>
  <c r="V51" i="17"/>
  <c r="W51" i="17" s="1"/>
  <c r="AH50" i="17"/>
  <c r="AI50" i="17" s="1"/>
  <c r="Y50" i="17"/>
  <c r="Z50" i="17" s="1"/>
  <c r="S50" i="17"/>
  <c r="T50" i="17" s="1"/>
  <c r="J52" i="17"/>
  <c r="K52" i="17" s="1"/>
  <c r="AB51" i="17"/>
  <c r="AC51" i="17" s="1"/>
  <c r="S52" i="17"/>
  <c r="T52" i="17" s="1"/>
  <c r="AK51" i="17"/>
  <c r="AL51" i="17" s="1"/>
  <c r="AK52" i="17"/>
  <c r="AL52" i="17" s="1"/>
  <c r="AE51" i="17"/>
  <c r="AF51" i="17" s="1"/>
  <c r="AE50" i="17"/>
  <c r="AF50" i="17" s="1"/>
  <c r="J50" i="17"/>
  <c r="K50" i="17" s="1"/>
  <c r="M50" i="17"/>
  <c r="N50" i="17" s="1"/>
  <c r="AH51" i="17"/>
  <c r="AI51" i="17" s="1"/>
  <c r="Y52" i="17"/>
  <c r="Z52" i="17" s="1"/>
  <c r="G51" i="17"/>
  <c r="H51" i="17" s="1"/>
  <c r="G52" i="17"/>
  <c r="H52" i="17" s="1"/>
  <c r="AH52" i="17"/>
  <c r="AI52" i="17" s="1"/>
  <c r="P52" i="17"/>
  <c r="Q52" i="17" s="1"/>
  <c r="D50" i="17"/>
  <c r="J51" i="17"/>
  <c r="K51" i="17" s="1"/>
  <c r="P51" i="17"/>
  <c r="Q51" i="17" s="1"/>
  <c r="Y105" i="17"/>
  <c r="AK138" i="17"/>
  <c r="AL138" i="17" s="1"/>
  <c r="AE138" i="17"/>
  <c r="AF138" i="17" s="1"/>
  <c r="Y138" i="17"/>
  <c r="Z138" i="17" s="1"/>
  <c r="D138" i="17"/>
  <c r="M138" i="17"/>
  <c r="N138" i="17" s="1"/>
  <c r="G138" i="17"/>
  <c r="H138" i="17" s="1"/>
  <c r="AH138" i="17"/>
  <c r="AI138" i="17" s="1"/>
  <c r="AB138" i="17"/>
  <c r="AC138" i="17" s="1"/>
  <c r="V138" i="17"/>
  <c r="W138" i="17" s="1"/>
  <c r="P138" i="17"/>
  <c r="Q138" i="17" s="1"/>
  <c r="S138" i="17"/>
  <c r="T138" i="17" s="1"/>
  <c r="J138" i="17"/>
  <c r="K138" i="17" s="1"/>
  <c r="Y32" i="17"/>
  <c r="Z32" i="17" s="1"/>
  <c r="AB32" i="17"/>
  <c r="AC32" i="17" s="1"/>
  <c r="S32" i="17"/>
  <c r="T32" i="17" s="1"/>
  <c r="P32" i="17"/>
  <c r="Q32" i="17" s="1"/>
  <c r="M32" i="17"/>
  <c r="N32" i="17" s="1"/>
  <c r="J32" i="17"/>
  <c r="K32" i="17" s="1"/>
  <c r="D32" i="17"/>
  <c r="AE32" i="17"/>
  <c r="AF32" i="17" s="1"/>
  <c r="V32" i="17"/>
  <c r="W32" i="17" s="1"/>
  <c r="G32" i="17"/>
  <c r="H32" i="17" s="1"/>
  <c r="AH32" i="17"/>
  <c r="AI32" i="17" s="1"/>
  <c r="AK32" i="17"/>
  <c r="AL32" i="17" s="1"/>
  <c r="Z107" i="17"/>
  <c r="Q107" i="17"/>
  <c r="AK107" i="17"/>
  <c r="AL107" i="17" s="1"/>
  <c r="T107" i="17"/>
  <c r="M107" i="17"/>
  <c r="N107" i="17" s="1"/>
  <c r="AE107" i="17"/>
  <c r="AF107" i="17" s="1"/>
  <c r="G107" i="17"/>
  <c r="H107" i="17" s="1"/>
  <c r="AB107" i="17"/>
  <c r="AC107" i="17" s="1"/>
  <c r="W107" i="17"/>
  <c r="AH107" i="17"/>
  <c r="AI107" i="17" s="1"/>
  <c r="D107" i="17"/>
  <c r="J107" i="17"/>
  <c r="K107" i="17" s="1"/>
  <c r="AK54" i="17"/>
  <c r="AL54" i="17" s="1"/>
  <c r="M54" i="17"/>
  <c r="N54" i="17" s="1"/>
  <c r="D54" i="17"/>
  <c r="AE54" i="17"/>
  <c r="AF54" i="17" s="1"/>
  <c r="G54" i="17"/>
  <c r="H54" i="17" s="1"/>
  <c r="AH54" i="17"/>
  <c r="AI54" i="17" s="1"/>
  <c r="Y54" i="17"/>
  <c r="Z54" i="17" s="1"/>
  <c r="P54" i="17"/>
  <c r="Q54" i="17" s="1"/>
  <c r="AB54" i="17"/>
  <c r="AC54" i="17" s="1"/>
  <c r="S54" i="17"/>
  <c r="T54" i="17" s="1"/>
  <c r="J54" i="17"/>
  <c r="K54" i="17" s="1"/>
  <c r="V54" i="17"/>
  <c r="W54" i="17" s="1"/>
  <c r="Y133" i="17"/>
  <c r="Z133" i="17" s="1"/>
  <c r="P133" i="17"/>
  <c r="Q133" i="17" s="1"/>
  <c r="S133" i="17"/>
  <c r="T133" i="17" s="1"/>
  <c r="M133" i="17"/>
  <c r="N133" i="17" s="1"/>
  <c r="AB133" i="17"/>
  <c r="AC133" i="17" s="1"/>
  <c r="V133" i="17"/>
  <c r="W133" i="17" s="1"/>
  <c r="G133" i="17"/>
  <c r="H133" i="17" s="1"/>
  <c r="AE133" i="17"/>
  <c r="AF133" i="17" s="1"/>
  <c r="D133" i="17"/>
  <c r="J133" i="17"/>
  <c r="K133" i="17" s="1"/>
  <c r="AH133" i="17"/>
  <c r="AI133" i="17" s="1"/>
  <c r="AK133" i="17"/>
  <c r="AL133" i="17" s="1"/>
  <c r="D44" i="17"/>
  <c r="AH151" i="17"/>
  <c r="AI151" i="17" s="1"/>
  <c r="V151" i="17"/>
  <c r="W151" i="17" s="1"/>
  <c r="J151" i="17"/>
  <c r="K151" i="17" s="1"/>
  <c r="P151" i="17"/>
  <c r="Q151" i="17" s="1"/>
  <c r="M151" i="17"/>
  <c r="N151" i="17" s="1"/>
  <c r="AE151" i="17"/>
  <c r="AF151" i="17" s="1"/>
  <c r="S151" i="17"/>
  <c r="T151" i="17" s="1"/>
  <c r="G151" i="17"/>
  <c r="D149" i="17"/>
  <c r="E149" i="17" s="1"/>
  <c r="Y151" i="17"/>
  <c r="Z151" i="17" s="1"/>
  <c r="AB151" i="17"/>
  <c r="AC151" i="17" s="1"/>
  <c r="AK151" i="17"/>
  <c r="AL151" i="17" s="1"/>
  <c r="AK27" i="17"/>
  <c r="AL27" i="17" s="1"/>
  <c r="AE27" i="17"/>
  <c r="AF27" i="17" s="1"/>
  <c r="Y27" i="17"/>
  <c r="Z27" i="17" s="1"/>
  <c r="S27" i="17"/>
  <c r="T27" i="17" s="1"/>
  <c r="M27" i="17"/>
  <c r="N27" i="17" s="1"/>
  <c r="G27" i="17"/>
  <c r="H27" i="17" s="1"/>
  <c r="AH27" i="17"/>
  <c r="AI27" i="17" s="1"/>
  <c r="AB27" i="17"/>
  <c r="AC27" i="17" s="1"/>
  <c r="V27" i="17"/>
  <c r="W27" i="17" s="1"/>
  <c r="P27" i="17"/>
  <c r="Q27" i="17" s="1"/>
  <c r="J27" i="17"/>
  <c r="K27" i="17" s="1"/>
  <c r="D27" i="17"/>
  <c r="AK34" i="17"/>
  <c r="AL34" i="17" s="1"/>
  <c r="P24" i="17"/>
  <c r="Q24" i="17" s="1"/>
  <c r="AB24" i="17"/>
  <c r="AC24" i="17" s="1"/>
  <c r="M25" i="17"/>
  <c r="N25" i="17" s="1"/>
  <c r="S28" i="17"/>
  <c r="T28" i="17" s="1"/>
  <c r="S20" i="17"/>
  <c r="T20" i="17" s="1"/>
  <c r="M31" i="17"/>
  <c r="N31" i="17" s="1"/>
  <c r="M19" i="17"/>
  <c r="N19" i="17" s="1"/>
  <c r="Y19" i="17"/>
  <c r="Z19" i="17" s="1"/>
  <c r="AK19" i="17"/>
  <c r="AL19" i="17" s="1"/>
  <c r="S22" i="17"/>
  <c r="S26" i="17"/>
  <c r="T26" i="17" s="1"/>
  <c r="AE26" i="17"/>
  <c r="AF26" i="17" s="1"/>
  <c r="V22" i="17"/>
  <c r="J18" i="17"/>
  <c r="K18" i="17" s="1"/>
  <c r="M29" i="17"/>
  <c r="N29" i="17" s="1"/>
  <c r="Y29" i="17"/>
  <c r="Z29" i="17" s="1"/>
  <c r="AK29" i="17"/>
  <c r="AL29" i="17" s="1"/>
  <c r="P31" i="17"/>
  <c r="Q31" i="17" s="1"/>
  <c r="AB31" i="17"/>
  <c r="AC31" i="17" s="1"/>
  <c r="S25" i="17"/>
  <c r="T25" i="17" s="1"/>
  <c r="V18" i="17"/>
  <c r="W18" i="17" s="1"/>
  <c r="AH18" i="17"/>
  <c r="AI18" i="17" s="1"/>
  <c r="V20" i="17"/>
  <c r="W20" i="17" s="1"/>
  <c r="J28" i="17"/>
  <c r="K28" i="17" s="1"/>
  <c r="AB23" i="17"/>
  <c r="AC23" i="17" s="1"/>
  <c r="J25" i="17"/>
  <c r="K25" i="17" s="1"/>
  <c r="P26" i="17"/>
  <c r="Q26" i="17" s="1"/>
  <c r="AE28" i="17"/>
  <c r="AF28" i="17" s="1"/>
  <c r="P30" i="17"/>
  <c r="Q30" i="17" s="1"/>
  <c r="M24" i="17"/>
  <c r="N24" i="17" s="1"/>
  <c r="J34" i="17"/>
  <c r="K34" i="17" s="1"/>
  <c r="V34" i="17"/>
  <c r="W34" i="17" s="1"/>
  <c r="AH34" i="17"/>
  <c r="AI34" i="17" s="1"/>
  <c r="M22" i="17"/>
  <c r="S24" i="17"/>
  <c r="T24" i="17" s="1"/>
  <c r="AE24" i="17"/>
  <c r="AF24" i="17" s="1"/>
  <c r="Y30" i="17"/>
  <c r="Z30" i="17" s="1"/>
  <c r="Y20" i="17"/>
  <c r="Z20" i="17" s="1"/>
  <c r="M18" i="17"/>
  <c r="N18" i="17" s="1"/>
  <c r="P19" i="17"/>
  <c r="Q19" i="17" s="1"/>
  <c r="AB19" i="17"/>
  <c r="AC19" i="17" s="1"/>
  <c r="P22" i="17"/>
  <c r="AB30" i="17"/>
  <c r="AC30" i="17" s="1"/>
  <c r="V26" i="17"/>
  <c r="W26" i="17" s="1"/>
  <c r="AH26" i="17"/>
  <c r="AI26" i="17" s="1"/>
  <c r="AB22" i="17"/>
  <c r="P29" i="17"/>
  <c r="Q29" i="17" s="1"/>
  <c r="AB29" i="17"/>
  <c r="AC29" i="17" s="1"/>
  <c r="P25" i="17"/>
  <c r="Q25" i="17" s="1"/>
  <c r="S31" i="17"/>
  <c r="T31" i="17" s="1"/>
  <c r="AE31" i="17"/>
  <c r="AF31" i="17" s="1"/>
  <c r="AE20" i="17"/>
  <c r="AF20" i="17" s="1"/>
  <c r="Y18" i="17"/>
  <c r="Z18" i="17" s="1"/>
  <c r="AK18" i="17"/>
  <c r="AL18" i="17" s="1"/>
  <c r="AB20" i="17"/>
  <c r="AC20" i="17" s="1"/>
  <c r="M26" i="17"/>
  <c r="N26" i="17" s="1"/>
  <c r="J22" i="17"/>
  <c r="S23" i="17"/>
  <c r="T23" i="17" s="1"/>
  <c r="AE23" i="17"/>
  <c r="AF23" i="17" s="1"/>
  <c r="V25" i="17"/>
  <c r="W25" i="17" s="1"/>
  <c r="V28" i="17"/>
  <c r="W28" i="17" s="1"/>
  <c r="AH28" i="17"/>
  <c r="AI28" i="17" s="1"/>
  <c r="Y22" i="17"/>
  <c r="J26" i="17"/>
  <c r="K26" i="17" s="1"/>
  <c r="M34" i="17"/>
  <c r="N34" i="17" s="1"/>
  <c r="Y34" i="17"/>
  <c r="Z34" i="17" s="1"/>
  <c r="V30" i="17"/>
  <c r="W30" i="17" s="1"/>
  <c r="V24" i="17"/>
  <c r="W24" i="17" s="1"/>
  <c r="AH24" i="17"/>
  <c r="AI24" i="17" s="1"/>
  <c r="AK20" i="17"/>
  <c r="AL20" i="17" s="1"/>
  <c r="AE30" i="17"/>
  <c r="AF30" i="17" s="1"/>
  <c r="S19" i="17"/>
  <c r="T19" i="17" s="1"/>
  <c r="AE19" i="17"/>
  <c r="AF19" i="17" s="1"/>
  <c r="Y25" i="17"/>
  <c r="Z25" i="17" s="1"/>
  <c r="J24" i="17"/>
  <c r="K24" i="17" s="1"/>
  <c r="Y26" i="17"/>
  <c r="Z26" i="17" s="1"/>
  <c r="AK26" i="17"/>
  <c r="AL26" i="17" s="1"/>
  <c r="AH22" i="17"/>
  <c r="S18" i="17"/>
  <c r="T18" i="17" s="1"/>
  <c r="S29" i="17"/>
  <c r="T29" i="17" s="1"/>
  <c r="AE29" i="17"/>
  <c r="AF29" i="17" s="1"/>
  <c r="AB25" i="17"/>
  <c r="AC25" i="17" s="1"/>
  <c r="V31" i="17"/>
  <c r="W31" i="17" s="1"/>
  <c r="AH31" i="17"/>
  <c r="AI31" i="17" s="1"/>
  <c r="M23" i="17"/>
  <c r="N23" i="17" s="1"/>
  <c r="AB18" i="17"/>
  <c r="AC18" i="17" s="1"/>
  <c r="J20" i="17"/>
  <c r="K20" i="17" s="1"/>
  <c r="AH25" i="17"/>
  <c r="AI25" i="17" s="1"/>
  <c r="S30" i="17"/>
  <c r="T30" i="17" s="1"/>
  <c r="V23" i="17"/>
  <c r="W23" i="17" s="1"/>
  <c r="AH23" i="17"/>
  <c r="AI23" i="17" s="1"/>
  <c r="AH20" i="17"/>
  <c r="AI20" i="17" s="1"/>
  <c r="Y28" i="17"/>
  <c r="Z28" i="17" s="1"/>
  <c r="AK28" i="17"/>
  <c r="AL28" i="17" s="1"/>
  <c r="AE22" i="17"/>
  <c r="P28" i="17"/>
  <c r="Q28" i="17" s="1"/>
  <c r="P34" i="17"/>
  <c r="Q34" i="17" s="1"/>
  <c r="AB34" i="17"/>
  <c r="AC34" i="17" s="1"/>
  <c r="AH30" i="17"/>
  <c r="AI30" i="17" s="1"/>
  <c r="Y24" i="17"/>
  <c r="Z24" i="17" s="1"/>
  <c r="AK24" i="17"/>
  <c r="AL24" i="17" s="1"/>
  <c r="M20" i="17"/>
  <c r="N20" i="17" s="1"/>
  <c r="AK25" i="17"/>
  <c r="AL25" i="17" s="1"/>
  <c r="J19" i="17"/>
  <c r="K19" i="17" s="1"/>
  <c r="V19" i="17"/>
  <c r="W19" i="17" s="1"/>
  <c r="AH19" i="17"/>
  <c r="AI19" i="17" s="1"/>
  <c r="AK30" i="17"/>
  <c r="AL30" i="17" s="1"/>
  <c r="M28" i="17"/>
  <c r="N28" i="17" s="1"/>
  <c r="AB26" i="17"/>
  <c r="AC26" i="17" s="1"/>
  <c r="M30" i="17"/>
  <c r="N30" i="17" s="1"/>
  <c r="J23" i="17"/>
  <c r="K23" i="17" s="1"/>
  <c r="J29" i="17"/>
  <c r="K29" i="17" s="1"/>
  <c r="V29" i="17"/>
  <c r="W29" i="17" s="1"/>
  <c r="AH29" i="17"/>
  <c r="AI29" i="17" s="1"/>
  <c r="Y31" i="17"/>
  <c r="Z31" i="17" s="1"/>
  <c r="AK31" i="17"/>
  <c r="AL31" i="17" s="1"/>
  <c r="P18" i="17"/>
  <c r="Q18" i="17" s="1"/>
  <c r="AE18" i="17"/>
  <c r="AF18" i="17" s="1"/>
  <c r="P20" i="17"/>
  <c r="Q20" i="17" s="1"/>
  <c r="J31" i="17"/>
  <c r="K31" i="17" s="1"/>
  <c r="AE25" i="17"/>
  <c r="AF25" i="17" s="1"/>
  <c r="Y23" i="17"/>
  <c r="Z23" i="17" s="1"/>
  <c r="AK23" i="17"/>
  <c r="AL23" i="17" s="1"/>
  <c r="P23" i="17"/>
  <c r="Q23" i="17" s="1"/>
  <c r="AB28" i="17"/>
  <c r="AC28" i="17" s="1"/>
  <c r="J30" i="17"/>
  <c r="K30" i="17" s="1"/>
  <c r="AK22" i="17"/>
  <c r="D4" i="17"/>
  <c r="S34" i="17"/>
  <c r="T34" i="17" s="1"/>
  <c r="AE34" i="17"/>
  <c r="AF34" i="17" s="1"/>
  <c r="D13" i="17"/>
  <c r="AB140" i="17"/>
  <c r="AC140" i="17" s="1"/>
  <c r="D65" i="17"/>
  <c r="G88" i="17"/>
  <c r="G55" i="17"/>
  <c r="G10" i="17"/>
  <c r="H10" i="17" s="1"/>
  <c r="G101" i="17"/>
  <c r="H101" i="17" s="1"/>
  <c r="G65" i="17"/>
  <c r="H65" i="17" s="1"/>
  <c r="G155" i="17"/>
  <c r="H155" i="17" s="1"/>
  <c r="J94" i="17"/>
  <c r="K94" i="17" s="1"/>
  <c r="M132" i="17"/>
  <c r="N132" i="17" s="1"/>
  <c r="AB11" i="17"/>
  <c r="AC11" i="17" s="1"/>
  <c r="G137" i="17"/>
  <c r="H137" i="17" s="1"/>
  <c r="J76" i="17"/>
  <c r="K76" i="17" s="1"/>
  <c r="M15" i="17"/>
  <c r="N15" i="17" s="1"/>
  <c r="M112" i="17"/>
  <c r="N112" i="17" s="1"/>
  <c r="P99" i="17"/>
  <c r="Q99" i="17" s="1"/>
  <c r="G124" i="17"/>
  <c r="H124" i="17" s="1"/>
  <c r="J68" i="17"/>
  <c r="K68" i="17" s="1"/>
  <c r="M7" i="17"/>
  <c r="N7" i="17" s="1"/>
  <c r="M99" i="17"/>
  <c r="N99" i="17" s="1"/>
  <c r="P70" i="17"/>
  <c r="Q70" i="17" s="1"/>
  <c r="J123" i="17"/>
  <c r="K123" i="17" s="1"/>
  <c r="M67" i="17"/>
  <c r="N67" i="17" s="1"/>
  <c r="AB142" i="17"/>
  <c r="P5" i="17"/>
  <c r="Q5" i="17" s="1"/>
  <c r="P96" i="17"/>
  <c r="Q96" i="17" s="1"/>
  <c r="AB124" i="17"/>
  <c r="AC124" i="17" s="1"/>
  <c r="AE101" i="17"/>
  <c r="AF101" i="17" s="1"/>
  <c r="AB55" i="17"/>
  <c r="D69" i="17"/>
  <c r="G94" i="17"/>
  <c r="H94" i="17" s="1"/>
  <c r="G59" i="17"/>
  <c r="H59" i="17" s="1"/>
  <c r="G14" i="17"/>
  <c r="H14" i="17" s="1"/>
  <c r="G114" i="17"/>
  <c r="G69" i="17"/>
  <c r="H69" i="17" s="1"/>
  <c r="J7" i="17"/>
  <c r="K7" i="17" s="1"/>
  <c r="J98" i="17"/>
  <c r="K98" i="17" s="1"/>
  <c r="M141" i="17"/>
  <c r="N141" i="17" s="1"/>
  <c r="G142" i="17"/>
  <c r="J82" i="17"/>
  <c r="K82" i="17" s="1"/>
  <c r="M117" i="17"/>
  <c r="P121" i="17"/>
  <c r="G131" i="17"/>
  <c r="H131" i="17" s="1"/>
  <c r="J73" i="17"/>
  <c r="K73" i="17" s="1"/>
  <c r="M12" i="17"/>
  <c r="N12" i="17" s="1"/>
  <c r="M106" i="17"/>
  <c r="N106" i="17" s="1"/>
  <c r="P82" i="17"/>
  <c r="Q82" i="17" s="1"/>
  <c r="G99" i="17"/>
  <c r="H99" i="17" s="1"/>
  <c r="J41" i="17"/>
  <c r="J130" i="17"/>
  <c r="K130" i="17" s="1"/>
  <c r="M84" i="17"/>
  <c r="AE13" i="17"/>
  <c r="P10" i="17"/>
  <c r="Q10" i="17" s="1"/>
  <c r="P100" i="17"/>
  <c r="Q100" i="17" s="1"/>
  <c r="AB42" i="17"/>
  <c r="AC42" i="17" s="1"/>
  <c r="AB131" i="17"/>
  <c r="AC131" i="17" s="1"/>
  <c r="AE123" i="17"/>
  <c r="AF123" i="17" s="1"/>
  <c r="P113" i="17"/>
  <c r="Q113" i="17" s="1"/>
  <c r="AB59" i="17"/>
  <c r="AC59" i="17" s="1"/>
  <c r="AK141" i="17"/>
  <c r="AL141" i="17" s="1"/>
  <c r="AK56" i="17"/>
  <c r="AH108" i="17"/>
  <c r="AE77" i="17"/>
  <c r="AF77" i="17" s="1"/>
  <c r="AK84" i="17"/>
  <c r="AH130" i="17"/>
  <c r="AI130" i="17" s="1"/>
  <c r="AH41" i="17"/>
  <c r="AE99" i="17"/>
  <c r="AF99" i="17" s="1"/>
  <c r="AK94" i="17"/>
  <c r="AL94" i="17" s="1"/>
  <c r="AH155" i="17"/>
  <c r="AI155" i="17" s="1"/>
  <c r="AH64" i="17"/>
  <c r="AI64" i="17" s="1"/>
  <c r="AE118" i="17"/>
  <c r="AF118" i="17" s="1"/>
  <c r="AH99" i="17"/>
  <c r="AI99" i="17" s="1"/>
  <c r="AE12" i="17"/>
  <c r="AF12" i="17" s="1"/>
  <c r="AB73" i="17"/>
  <c r="AC73" i="17" s="1"/>
  <c r="P131" i="17"/>
  <c r="Q131" i="17" s="1"/>
  <c r="AH84" i="17"/>
  <c r="AB154" i="17"/>
  <c r="AC154" i="17" s="1"/>
  <c r="AB63" i="17"/>
  <c r="AC63" i="17" s="1"/>
  <c r="AK112" i="17"/>
  <c r="AL112" i="17" s="1"/>
  <c r="AH81" i="17"/>
  <c r="AI81" i="17" s="1"/>
  <c r="AE141" i="17"/>
  <c r="AF141" i="17" s="1"/>
  <c r="AK132" i="17"/>
  <c r="AL132" i="17" s="1"/>
  <c r="AK43" i="17"/>
  <c r="AH101" i="17"/>
  <c r="AI101" i="17" s="1"/>
  <c r="AH11" i="17"/>
  <c r="AI11" i="17" s="1"/>
  <c r="AE84" i="17"/>
  <c r="D29" i="17"/>
  <c r="AK66" i="17"/>
  <c r="AL66" i="17" s="1"/>
  <c r="AH122" i="17"/>
  <c r="AI122" i="17" s="1"/>
  <c r="AE94" i="17"/>
  <c r="AF94" i="17" s="1"/>
  <c r="AK80" i="17"/>
  <c r="AE137" i="17"/>
  <c r="AF137" i="17" s="1"/>
  <c r="AB136" i="17"/>
  <c r="AB44" i="17"/>
  <c r="P104" i="17"/>
  <c r="AK129" i="17"/>
  <c r="AL129" i="17" s="1"/>
  <c r="AH98" i="17"/>
  <c r="AI98" i="17" s="1"/>
  <c r="AH7" i="17"/>
  <c r="AI7" i="17" s="1"/>
  <c r="AK154" i="17"/>
  <c r="AL154" i="17" s="1"/>
  <c r="AK63" i="17"/>
  <c r="AL63" i="17" s="1"/>
  <c r="AH117" i="17"/>
  <c r="AE89" i="17"/>
  <c r="AF89" i="17" s="1"/>
  <c r="AK81" i="17"/>
  <c r="AL81" i="17" s="1"/>
  <c r="AH141" i="17"/>
  <c r="AI141" i="17" s="1"/>
  <c r="AH56" i="17"/>
  <c r="AE108" i="17"/>
  <c r="AK97" i="17"/>
  <c r="AH59" i="17"/>
  <c r="AI59" i="17" s="1"/>
  <c r="AB155" i="17"/>
  <c r="AC155" i="17" s="1"/>
  <c r="AB64" i="17"/>
  <c r="AC64" i="17" s="1"/>
  <c r="P118" i="17"/>
  <c r="Q118" i="17" s="1"/>
  <c r="AK77" i="17"/>
  <c r="AL77" i="17" s="1"/>
  <c r="AH139" i="17"/>
  <c r="AI139" i="17" s="1"/>
  <c r="AH46" i="17"/>
  <c r="AE106" i="17"/>
  <c r="AF106" i="17" s="1"/>
  <c r="AK99" i="17"/>
  <c r="AL99" i="17" s="1"/>
  <c r="AK9" i="17"/>
  <c r="AL9" i="17" s="1"/>
  <c r="AH69" i="17"/>
  <c r="AI69" i="17" s="1"/>
  <c r="AE128" i="17"/>
  <c r="AK118" i="17"/>
  <c r="AL118" i="17" s="1"/>
  <c r="AH90" i="17"/>
  <c r="AI90" i="17" s="1"/>
  <c r="AE150" i="17"/>
  <c r="AF150" i="17" s="1"/>
  <c r="AK137" i="17"/>
  <c r="AL137" i="17" s="1"/>
  <c r="AK45" i="17"/>
  <c r="AE56" i="17"/>
  <c r="AB100" i="17"/>
  <c r="AC100" i="17" s="1"/>
  <c r="AB10" i="17"/>
  <c r="AC10" i="17" s="1"/>
  <c r="AB89" i="17"/>
  <c r="AC89" i="17" s="1"/>
  <c r="G58" i="17"/>
  <c r="H58" i="17" s="1"/>
  <c r="G13" i="17"/>
  <c r="H13" i="17" s="1"/>
  <c r="G108" i="17"/>
  <c r="G68" i="17"/>
  <c r="H68" i="17" s="1"/>
  <c r="G30" i="17"/>
  <c r="H30" i="17" s="1"/>
  <c r="G116" i="17"/>
  <c r="J62" i="17"/>
  <c r="K62" i="17" s="1"/>
  <c r="J150" i="17"/>
  <c r="K150" i="17" s="1"/>
  <c r="M90" i="17"/>
  <c r="N90" i="17" s="1"/>
  <c r="P62" i="17"/>
  <c r="Q62" i="17" s="1"/>
  <c r="J43" i="17"/>
  <c r="J132" i="17"/>
  <c r="K132" i="17" s="1"/>
  <c r="M74" i="17"/>
  <c r="N74" i="17" s="1"/>
  <c r="D61" i="17"/>
  <c r="G22" i="17"/>
  <c r="D46" i="17"/>
  <c r="G84" i="17"/>
  <c r="D64" i="17"/>
  <c r="G85" i="17"/>
  <c r="H85" i="17" s="1"/>
  <c r="J114" i="17"/>
  <c r="K114" i="17" s="1"/>
  <c r="M60" i="17"/>
  <c r="N60" i="17" s="1"/>
  <c r="P12" i="17"/>
  <c r="Q12" i="17" s="1"/>
  <c r="AB101" i="17"/>
  <c r="AC101" i="17" s="1"/>
  <c r="J9" i="17"/>
  <c r="K9" i="17" s="1"/>
  <c r="J99" i="17"/>
  <c r="K99" i="17" s="1"/>
  <c r="M41" i="17"/>
  <c r="M142" i="17"/>
  <c r="AB41" i="17"/>
  <c r="G150" i="17"/>
  <c r="H150" i="17" s="1"/>
  <c r="J90" i="17"/>
  <c r="K90" i="17" s="1"/>
  <c r="M129" i="17"/>
  <c r="N129" i="17" s="1"/>
  <c r="P154" i="17"/>
  <c r="Q154" i="17" s="1"/>
  <c r="G115" i="17"/>
  <c r="H115" i="17" s="1"/>
  <c r="J61" i="17"/>
  <c r="K61" i="17" s="1"/>
  <c r="J148" i="17"/>
  <c r="K148" i="17" s="1"/>
  <c r="M89" i="17"/>
  <c r="N89" i="17" s="1"/>
  <c r="P61" i="17"/>
  <c r="Q61" i="17" s="1"/>
  <c r="AH13" i="17"/>
  <c r="P116" i="17"/>
  <c r="AB62" i="17"/>
  <c r="AC62" i="17" s="1"/>
  <c r="AB150" i="17"/>
  <c r="AC150" i="17" s="1"/>
  <c r="AH43" i="17"/>
  <c r="P130" i="17"/>
  <c r="Q130" i="17" s="1"/>
  <c r="AB76" i="17"/>
  <c r="AC76" i="17" s="1"/>
  <c r="G20" i="17"/>
  <c r="H20" i="17" s="1"/>
  <c r="D58" i="17"/>
  <c r="G76" i="17"/>
  <c r="H76" i="17" s="1"/>
  <c r="G34" i="17"/>
  <c r="H34" i="17" s="1"/>
  <c r="D68" i="17"/>
  <c r="G91" i="17"/>
  <c r="H91" i="17" s="1"/>
  <c r="J118" i="17"/>
  <c r="K118" i="17" s="1"/>
  <c r="M64" i="17"/>
  <c r="N64" i="17" s="1"/>
  <c r="AB123" i="17"/>
  <c r="AC123" i="17" s="1"/>
  <c r="J13" i="17"/>
  <c r="J105" i="17"/>
  <c r="K105" i="17" s="1"/>
  <c r="M45" i="17"/>
  <c r="M154" i="17"/>
  <c r="N154" i="17" s="1"/>
  <c r="AB65" i="17"/>
  <c r="AC65" i="17" s="1"/>
  <c r="J5" i="17"/>
  <c r="K5" i="17" s="1"/>
  <c r="J96" i="17"/>
  <c r="K96" i="17" s="1"/>
  <c r="M137" i="17"/>
  <c r="N137" i="17" s="1"/>
  <c r="G121" i="17"/>
  <c r="J65" i="17"/>
  <c r="K65" i="17" s="1"/>
  <c r="J156" i="17"/>
  <c r="K156" i="17" s="1"/>
  <c r="M95" i="17"/>
  <c r="N95" i="17" s="1"/>
  <c r="P66" i="17"/>
  <c r="Q66" i="17" s="1"/>
  <c r="AH105" i="17"/>
  <c r="AI105" i="17" s="1"/>
  <c r="P122" i="17"/>
  <c r="Q122" i="17" s="1"/>
  <c r="AB66" i="17"/>
  <c r="AC66" i="17" s="1"/>
  <c r="AE5" i="17"/>
  <c r="AF5" i="17" s="1"/>
  <c r="AH67" i="17"/>
  <c r="AI67" i="17" s="1"/>
  <c r="P137" i="17"/>
  <c r="Q137" i="17" s="1"/>
  <c r="AB95" i="17"/>
  <c r="AC95" i="17" s="1"/>
  <c r="AK116" i="17"/>
  <c r="AH88" i="17"/>
  <c r="AE147" i="17"/>
  <c r="AF147" i="17" s="1"/>
  <c r="AK140" i="17"/>
  <c r="AL140" i="17" s="1"/>
  <c r="AK55" i="17"/>
  <c r="AH15" i="17"/>
  <c r="AI15" i="17" s="1"/>
  <c r="AE76" i="17"/>
  <c r="AF76" i="17" s="1"/>
  <c r="AK70" i="17"/>
  <c r="AL70" i="17" s="1"/>
  <c r="AH129" i="17"/>
  <c r="AI129" i="17" s="1"/>
  <c r="AE98" i="17"/>
  <c r="AF98" i="17" s="1"/>
  <c r="AK85" i="17"/>
  <c r="AL85" i="17" s="1"/>
  <c r="AH9" i="17"/>
  <c r="AI9" i="17" s="1"/>
  <c r="AB141" i="17"/>
  <c r="AC141" i="17" s="1"/>
  <c r="AB56" i="17"/>
  <c r="P108" i="17"/>
  <c r="AE130" i="17"/>
  <c r="AF130" i="17" s="1"/>
  <c r="AB128" i="17"/>
  <c r="AK90" i="17"/>
  <c r="AL90" i="17" s="1"/>
  <c r="AH150" i="17"/>
  <c r="AI150" i="17" s="1"/>
  <c r="AH62" i="17"/>
  <c r="AI62" i="17" s="1"/>
  <c r="AE116" i="17"/>
  <c r="AK109" i="17"/>
  <c r="AH80" i="17"/>
  <c r="AE140" i="17"/>
  <c r="AF140" i="17" s="1"/>
  <c r="AE55" i="17"/>
  <c r="AK131" i="17"/>
  <c r="AL131" i="17" s="1"/>
  <c r="AK42" i="17"/>
  <c r="AL42" i="17" s="1"/>
  <c r="AH100" i="17"/>
  <c r="AI100" i="17" s="1"/>
  <c r="AH10" i="17"/>
  <c r="AI10" i="17" s="1"/>
  <c r="AK148" i="17"/>
  <c r="AL148" i="17" s="1"/>
  <c r="AK61" i="17"/>
  <c r="AL61" i="17" s="1"/>
  <c r="AE66" i="17"/>
  <c r="AF66" i="17" s="1"/>
  <c r="AB112" i="17"/>
  <c r="P81" i="17"/>
  <c r="Q81" i="17" s="1"/>
  <c r="AE60" i="17"/>
  <c r="AF60" i="17" s="1"/>
  <c r="AK106" i="17"/>
  <c r="AL106" i="17" s="1"/>
  <c r="AK14" i="17"/>
  <c r="AL14" i="17" s="1"/>
  <c r="AH75" i="17"/>
  <c r="AI75" i="17" s="1"/>
  <c r="AE136" i="17"/>
  <c r="AK128" i="17"/>
  <c r="AH97" i="17"/>
  <c r="AH6" i="17"/>
  <c r="AI6" i="17" s="1"/>
  <c r="AE67" i="17"/>
  <c r="AF67" i="17" s="1"/>
  <c r="AK150" i="17"/>
  <c r="AL150" i="17" s="1"/>
  <c r="AK62" i="17"/>
  <c r="AL62" i="17" s="1"/>
  <c r="AH116" i="17"/>
  <c r="AE88" i="17"/>
  <c r="AK74" i="17"/>
  <c r="AL74" i="17" s="1"/>
  <c r="AE113" i="17"/>
  <c r="AF113" i="17" s="1"/>
  <c r="AB129" i="17"/>
  <c r="AC129" i="17" s="1"/>
  <c r="P98" i="17"/>
  <c r="Q98" i="17" s="1"/>
  <c r="AE85" i="17"/>
  <c r="AF85" i="17" s="1"/>
  <c r="AK147" i="17"/>
  <c r="AL147" i="17" s="1"/>
  <c r="AK60" i="17"/>
  <c r="AL60" i="17" s="1"/>
  <c r="AH114" i="17"/>
  <c r="AI114" i="17" s="1"/>
  <c r="AE83" i="17"/>
  <c r="AF83" i="17" s="1"/>
  <c r="AK76" i="17"/>
  <c r="AL76" i="17" s="1"/>
  <c r="AH137" i="17"/>
  <c r="AI137" i="17" s="1"/>
  <c r="AH45" i="17"/>
  <c r="AE105" i="17"/>
  <c r="AF105" i="17" s="1"/>
  <c r="AE14" i="17"/>
  <c r="AF14" i="17" s="1"/>
  <c r="AK98" i="17"/>
  <c r="AL98" i="17" s="1"/>
  <c r="AK7" i="17"/>
  <c r="AL7" i="17" s="1"/>
  <c r="AH68" i="17"/>
  <c r="AI68" i="17" s="1"/>
  <c r="AE124" i="17"/>
  <c r="AF124" i="17" s="1"/>
  <c r="AK113" i="17"/>
  <c r="AL113" i="17" s="1"/>
  <c r="AH121" i="17"/>
  <c r="AB77" i="17"/>
  <c r="AC77" i="17" s="1"/>
  <c r="P139" i="17"/>
  <c r="Q139" i="17" s="1"/>
  <c r="AH95" i="17"/>
  <c r="AI95" i="17" s="1"/>
  <c r="AE6" i="17"/>
  <c r="AF6" i="17" s="1"/>
  <c r="D57" i="17"/>
  <c r="G75" i="17"/>
  <c r="H75" i="17" s="1"/>
  <c r="G26" i="17"/>
  <c r="H26" i="17" s="1"/>
  <c r="D67" i="17"/>
  <c r="G90" i="17"/>
  <c r="H90" i="17" s="1"/>
  <c r="G57" i="17"/>
  <c r="G141" i="17"/>
  <c r="H141" i="17" s="1"/>
  <c r="J81" i="17"/>
  <c r="K81" i="17" s="1"/>
  <c r="M116" i="17"/>
  <c r="P115" i="17"/>
  <c r="Q115" i="17" s="1"/>
  <c r="G123" i="17"/>
  <c r="H123" i="17" s="1"/>
  <c r="J67" i="17"/>
  <c r="K67" i="17" s="1"/>
  <c r="M6" i="17"/>
  <c r="N6" i="17" s="1"/>
  <c r="M97" i="17"/>
  <c r="G31" i="17"/>
  <c r="H31" i="17" s="1"/>
  <c r="G42" i="17"/>
  <c r="H42" i="17" s="1"/>
  <c r="D70" i="17"/>
  <c r="G95" i="17"/>
  <c r="H95" i="17" s="1"/>
  <c r="G60" i="17"/>
  <c r="H60" i="17" s="1"/>
  <c r="G15" i="17"/>
  <c r="H15" i="17" s="1"/>
  <c r="G106" i="17"/>
  <c r="H106" i="17" s="1"/>
  <c r="J46" i="17"/>
  <c r="J139" i="17"/>
  <c r="K139" i="17" s="1"/>
  <c r="M77" i="17"/>
  <c r="N77" i="17" s="1"/>
  <c r="P43" i="17"/>
  <c r="AE57" i="17"/>
  <c r="J121" i="17"/>
  <c r="M65" i="17"/>
  <c r="N65" i="17" s="1"/>
  <c r="AB130" i="17"/>
  <c r="AC130" i="17" s="1"/>
  <c r="J112" i="17"/>
  <c r="M58" i="17"/>
  <c r="N58" i="17" s="1"/>
  <c r="P9" i="17"/>
  <c r="Q9" i="17" s="1"/>
  <c r="AB91" i="17"/>
  <c r="AC91" i="17" s="1"/>
  <c r="G140" i="17"/>
  <c r="H140" i="17" s="1"/>
  <c r="J80" i="17"/>
  <c r="M115" i="17"/>
  <c r="N115" i="17" s="1"/>
  <c r="P109" i="17"/>
  <c r="M108" i="17"/>
  <c r="P56" i="17"/>
  <c r="P141" i="17"/>
  <c r="Q141" i="17" s="1"/>
  <c r="AB81" i="17"/>
  <c r="AC81" i="17" s="1"/>
  <c r="AH132" i="17"/>
  <c r="AI132" i="17" s="1"/>
  <c r="P156" i="17"/>
  <c r="Q156" i="17" s="1"/>
  <c r="AB121" i="17"/>
  <c r="G46" i="17"/>
  <c r="G9" i="17"/>
  <c r="H9" i="17" s="1"/>
  <c r="G100" i="17"/>
  <c r="H100" i="17" s="1"/>
  <c r="G64" i="17"/>
  <c r="H64" i="17" s="1"/>
  <c r="G19" i="17"/>
  <c r="H19" i="17" s="1"/>
  <c r="G112" i="17"/>
  <c r="H112" i="17" s="1"/>
  <c r="J58" i="17"/>
  <c r="K58" i="17" s="1"/>
  <c r="J145" i="17"/>
  <c r="M83" i="17"/>
  <c r="N83" i="17" s="1"/>
  <c r="P57" i="17"/>
  <c r="AE97" i="17"/>
  <c r="J128" i="17"/>
  <c r="M69" i="17"/>
  <c r="N69" i="17" s="1"/>
  <c r="AB156" i="17"/>
  <c r="AC156" i="17" s="1"/>
  <c r="J116" i="17"/>
  <c r="M62" i="17"/>
  <c r="N62" i="17" s="1"/>
  <c r="P15" i="17"/>
  <c r="Q15" i="17" s="1"/>
  <c r="AB113" i="17"/>
  <c r="AC113" i="17" s="1"/>
  <c r="G146" i="17"/>
  <c r="H146" i="17" s="1"/>
  <c r="J85" i="17"/>
  <c r="K85" i="17" s="1"/>
  <c r="M122" i="17"/>
  <c r="N122" i="17" s="1"/>
  <c r="P132" i="17"/>
  <c r="Q132" i="17" s="1"/>
  <c r="M114" i="17"/>
  <c r="P60" i="17"/>
  <c r="Q60" i="17" s="1"/>
  <c r="P147" i="17"/>
  <c r="Q147" i="17" s="1"/>
  <c r="AB88" i="17"/>
  <c r="AK6" i="17"/>
  <c r="AL6" i="17" s="1"/>
  <c r="AB9" i="17"/>
  <c r="AC9" i="17" s="1"/>
  <c r="AK96" i="17"/>
  <c r="AL96" i="17" s="1"/>
  <c r="AK5" i="17"/>
  <c r="AL5" i="17" s="1"/>
  <c r="AH66" i="17"/>
  <c r="AI66" i="17" s="1"/>
  <c r="AE122" i="17"/>
  <c r="AF122" i="17" s="1"/>
  <c r="AK115" i="17"/>
  <c r="AL115" i="17" s="1"/>
  <c r="AH85" i="17"/>
  <c r="AI85" i="17" s="1"/>
  <c r="AE146" i="17"/>
  <c r="AF146" i="17" s="1"/>
  <c r="AE59" i="17"/>
  <c r="AF59" i="17" s="1"/>
  <c r="AK139" i="17"/>
  <c r="AL139" i="17" s="1"/>
  <c r="AK46" i="17"/>
  <c r="AH106" i="17"/>
  <c r="AI106" i="17" s="1"/>
  <c r="AH14" i="17"/>
  <c r="AI14" i="17" s="1"/>
  <c r="AK156" i="17"/>
  <c r="AL156" i="17" s="1"/>
  <c r="AK65" i="17"/>
  <c r="AL65" i="17" s="1"/>
  <c r="AE74" i="17"/>
  <c r="AF74" i="17" s="1"/>
  <c r="AB116" i="17"/>
  <c r="P88" i="17"/>
  <c r="AE65" i="17"/>
  <c r="AF65" i="17" s="1"/>
  <c r="AB105" i="17"/>
  <c r="AC105" i="17" s="1"/>
  <c r="G29" i="17"/>
  <c r="H29" i="17" s="1"/>
  <c r="AK68" i="17"/>
  <c r="AL68" i="17" s="1"/>
  <c r="AH124" i="17"/>
  <c r="AI124" i="17" s="1"/>
  <c r="AE96" i="17"/>
  <c r="AF96" i="17" s="1"/>
  <c r="AK89" i="17"/>
  <c r="AL89" i="17" s="1"/>
  <c r="AH148" i="17"/>
  <c r="AI148" i="17" s="1"/>
  <c r="AH61" i="17"/>
  <c r="AI61" i="17" s="1"/>
  <c r="AE115" i="17"/>
  <c r="AF115" i="17" s="1"/>
  <c r="AK108" i="17"/>
  <c r="AH77" i="17"/>
  <c r="AI77" i="17" s="1"/>
  <c r="AE139" i="17"/>
  <c r="AF139" i="17" s="1"/>
  <c r="AK123" i="17"/>
  <c r="AL123" i="17" s="1"/>
  <c r="AK15" i="17"/>
  <c r="AL15" i="17" s="1"/>
  <c r="AB90" i="17"/>
  <c r="AC90" i="17" s="1"/>
  <c r="P150" i="17"/>
  <c r="Q150" i="17" s="1"/>
  <c r="AH140" i="17"/>
  <c r="AI140" i="17" s="1"/>
  <c r="AK83" i="17"/>
  <c r="AL83" i="17" s="1"/>
  <c r="AH145" i="17"/>
  <c r="AH58" i="17"/>
  <c r="AI58" i="17" s="1"/>
  <c r="AE112" i="17"/>
  <c r="AF112" i="17" s="1"/>
  <c r="AK105" i="17"/>
  <c r="AL105" i="17" s="1"/>
  <c r="AK13" i="17"/>
  <c r="AH74" i="17"/>
  <c r="AI74" i="17" s="1"/>
  <c r="AE132" i="17"/>
  <c r="AF132" i="17" s="1"/>
  <c r="AE44" i="17"/>
  <c r="AK124" i="17"/>
  <c r="AL124" i="17" s="1"/>
  <c r="AH96" i="17"/>
  <c r="AI96" i="17" s="1"/>
  <c r="AH5" i="17"/>
  <c r="AI5" i="17" s="1"/>
  <c r="AK142" i="17"/>
  <c r="AK57" i="17"/>
  <c r="AE61" i="17"/>
  <c r="AF61" i="17" s="1"/>
  <c r="AB106" i="17"/>
  <c r="AC106" i="17" s="1"/>
  <c r="AB14" i="17"/>
  <c r="AC14" i="17" s="1"/>
  <c r="P75" i="17"/>
  <c r="Q75" i="17" s="1"/>
  <c r="AE42" i="17"/>
  <c r="AF42" i="17" s="1"/>
  <c r="AK122" i="17"/>
  <c r="AL122" i="17" s="1"/>
  <c r="AH94" i="17"/>
  <c r="AI94" i="17" s="1"/>
  <c r="AE155" i="17"/>
  <c r="AF155" i="17" s="1"/>
  <c r="AK146" i="17"/>
  <c r="AL146" i="17" s="1"/>
  <c r="AK59" i="17"/>
  <c r="AL59" i="17" s="1"/>
  <c r="AH113" i="17"/>
  <c r="AI113" i="17" s="1"/>
  <c r="AE82" i="17"/>
  <c r="AF82" i="17" s="1"/>
  <c r="AK75" i="17"/>
  <c r="AL75" i="17" s="1"/>
  <c r="AH136" i="17"/>
  <c r="AH44" i="17"/>
  <c r="AE104" i="17"/>
  <c r="AK91" i="17"/>
  <c r="AL91" i="17" s="1"/>
  <c r="AB147" i="17"/>
  <c r="AC147" i="17" s="1"/>
  <c r="AB60" i="17"/>
  <c r="AC60" i="17" s="1"/>
  <c r="P114" i="17"/>
  <c r="AE156" i="17"/>
  <c r="AF156" i="17" s="1"/>
  <c r="AB132" i="17"/>
  <c r="AC132" i="17" s="1"/>
  <c r="G7" i="17"/>
  <c r="H7" i="17" s="1"/>
  <c r="G98" i="17"/>
  <c r="H98" i="17" s="1"/>
  <c r="G63" i="17"/>
  <c r="H63" i="17" s="1"/>
  <c r="G18" i="17"/>
  <c r="H18" i="17" s="1"/>
  <c r="D56" i="17"/>
  <c r="G74" i="17"/>
  <c r="H74" i="17" s="1"/>
  <c r="J12" i="17"/>
  <c r="K12" i="17" s="1"/>
  <c r="J104" i="17"/>
  <c r="M44" i="17"/>
  <c r="M148" i="17"/>
  <c r="N148" i="17" s="1"/>
  <c r="AB61" i="17"/>
  <c r="AC61" i="17" s="1"/>
  <c r="G148" i="17"/>
  <c r="H148" i="17" s="1"/>
  <c r="J89" i="17"/>
  <c r="K89" i="17" s="1"/>
  <c r="M128" i="17"/>
  <c r="D66" i="17"/>
  <c r="G66" i="17"/>
  <c r="H66" i="17" s="1"/>
  <c r="G24" i="17"/>
  <c r="H24" i="17" s="1"/>
  <c r="D59" i="17"/>
  <c r="G77" i="17"/>
  <c r="H77" i="17" s="1"/>
  <c r="G41" i="17"/>
  <c r="G129" i="17"/>
  <c r="H129" i="17" s="1"/>
  <c r="J70" i="17"/>
  <c r="K70" i="17" s="1"/>
  <c r="M10" i="17"/>
  <c r="N10" i="17" s="1"/>
  <c r="M101" i="17"/>
  <c r="N101" i="17" s="1"/>
  <c r="P74" i="17"/>
  <c r="Q74" i="17" s="1"/>
  <c r="G113" i="17"/>
  <c r="H113" i="17" s="1"/>
  <c r="J59" i="17"/>
  <c r="K59" i="17" s="1"/>
  <c r="J146" i="17"/>
  <c r="K146" i="17" s="1"/>
  <c r="M85" i="17"/>
  <c r="N85" i="17" s="1"/>
  <c r="P58" i="17"/>
  <c r="Q58" i="17" s="1"/>
  <c r="AE117" i="17"/>
  <c r="J44" i="17"/>
  <c r="J136" i="17"/>
  <c r="M75" i="17"/>
  <c r="N75" i="17" s="1"/>
  <c r="P41" i="17"/>
  <c r="J11" i="17"/>
  <c r="K11" i="17" s="1"/>
  <c r="J101" i="17"/>
  <c r="K101" i="17" s="1"/>
  <c r="M43" i="17"/>
  <c r="M147" i="17"/>
  <c r="N147" i="17" s="1"/>
  <c r="AB57" i="17"/>
  <c r="M131" i="17"/>
  <c r="N131" i="17" s="1"/>
  <c r="P73" i="17"/>
  <c r="Q73" i="17" s="1"/>
  <c r="AB12" i="17"/>
  <c r="AC12" i="17" s="1"/>
  <c r="AB104" i="17"/>
  <c r="AE58" i="17"/>
  <c r="AF58" i="17" s="1"/>
  <c r="P85" i="17"/>
  <c r="Q85" i="17" s="1"/>
  <c r="D45" i="17"/>
  <c r="G70" i="17"/>
  <c r="H70" i="17" s="1"/>
  <c r="D63" i="17"/>
  <c r="G83" i="17"/>
  <c r="H83" i="17" s="1"/>
  <c r="G45" i="17"/>
  <c r="G136" i="17"/>
  <c r="J75" i="17"/>
  <c r="K75" i="17" s="1"/>
  <c r="M14" i="17"/>
  <c r="N14" i="17" s="1"/>
  <c r="M109" i="17"/>
  <c r="P95" i="17"/>
  <c r="Q95" i="17" s="1"/>
  <c r="G117" i="17"/>
  <c r="J63" i="17"/>
  <c r="K63" i="17" s="1"/>
  <c r="J154" i="17"/>
  <c r="K154" i="17" s="1"/>
  <c r="M91" i="17"/>
  <c r="N91" i="17" s="1"/>
  <c r="P63" i="17"/>
  <c r="Q63" i="17" s="1"/>
  <c r="AH63" i="17"/>
  <c r="AI63" i="17" s="1"/>
  <c r="J56" i="17"/>
  <c r="J141" i="17"/>
  <c r="K141" i="17" s="1"/>
  <c r="M81" i="17"/>
  <c r="N81" i="17" s="1"/>
  <c r="P46" i="17"/>
  <c r="AE68" i="17"/>
  <c r="AF68" i="17" s="1"/>
  <c r="J15" i="17"/>
  <c r="K15" i="17" s="1"/>
  <c r="M55" i="17"/>
  <c r="M156" i="17"/>
  <c r="N156" i="17" s="1"/>
  <c r="AB74" i="17"/>
  <c r="AC74" i="17" s="1"/>
  <c r="M139" i="17"/>
  <c r="N139" i="17" s="1"/>
  <c r="P77" i="17"/>
  <c r="Q77" i="17" s="1"/>
  <c r="AB108" i="17"/>
  <c r="AE64" i="17"/>
  <c r="AF64" i="17" s="1"/>
  <c r="P91" i="17"/>
  <c r="Q91" i="17" s="1"/>
  <c r="AK73" i="17"/>
  <c r="AL73" i="17" s="1"/>
  <c r="AH131" i="17"/>
  <c r="AI131" i="17" s="1"/>
  <c r="AH42" i="17"/>
  <c r="AI42" i="17" s="1"/>
  <c r="AE100" i="17"/>
  <c r="AF100" i="17" s="1"/>
  <c r="AK95" i="17"/>
  <c r="AL95" i="17" s="1"/>
  <c r="AH156" i="17"/>
  <c r="AI156" i="17" s="1"/>
  <c r="AH65" i="17"/>
  <c r="AI65" i="17" s="1"/>
  <c r="AE121" i="17"/>
  <c r="AK114" i="17"/>
  <c r="AH83" i="17"/>
  <c r="AI83" i="17" s="1"/>
  <c r="AE145" i="17"/>
  <c r="AK130" i="17"/>
  <c r="AL130" i="17" s="1"/>
  <c r="AK41" i="17"/>
  <c r="AE43" i="17"/>
  <c r="AB96" i="17"/>
  <c r="AC96" i="17" s="1"/>
  <c r="AB5" i="17"/>
  <c r="AC5" i="17" s="1"/>
  <c r="AK11" i="17"/>
  <c r="AL11" i="17" s="1"/>
  <c r="AB82" i="17"/>
  <c r="AC82" i="17" s="1"/>
  <c r="AK136" i="17"/>
  <c r="AK44" i="17"/>
  <c r="AH104" i="17"/>
  <c r="AH12" i="17"/>
  <c r="AI12" i="17" s="1"/>
  <c r="AE73" i="17"/>
  <c r="AF73" i="17" s="1"/>
  <c r="AK67" i="17"/>
  <c r="AL67" i="17" s="1"/>
  <c r="AH123" i="17"/>
  <c r="AI123" i="17" s="1"/>
  <c r="AE95" i="17"/>
  <c r="AF95" i="17" s="1"/>
  <c r="AK88" i="17"/>
  <c r="AH147" i="17"/>
  <c r="AI147" i="17" s="1"/>
  <c r="AH60" i="17"/>
  <c r="AI60" i="17" s="1"/>
  <c r="AE114" i="17"/>
  <c r="AK101" i="17"/>
  <c r="AL101" i="17" s="1"/>
  <c r="AH76" i="17"/>
  <c r="AI76" i="17" s="1"/>
  <c r="AE7" i="17"/>
  <c r="AF7" i="17" s="1"/>
  <c r="AB68" i="17"/>
  <c r="AC68" i="17" s="1"/>
  <c r="P124" i="17"/>
  <c r="Q124" i="17" s="1"/>
  <c r="AH55" i="17"/>
  <c r="AK155" i="17"/>
  <c r="AL155" i="17" s="1"/>
  <c r="AK64" i="17"/>
  <c r="AL64" i="17" s="1"/>
  <c r="AH118" i="17"/>
  <c r="AI118" i="17" s="1"/>
  <c r="AE90" i="17"/>
  <c r="AF90" i="17" s="1"/>
  <c r="AK82" i="17"/>
  <c r="AL82" i="17" s="1"/>
  <c r="AH142" i="17"/>
  <c r="AH57" i="17"/>
  <c r="AE109" i="17"/>
  <c r="AK104" i="17"/>
  <c r="AK12" i="17"/>
  <c r="AL12" i="17" s="1"/>
  <c r="AH73" i="17"/>
  <c r="AI73" i="17" s="1"/>
  <c r="AE131" i="17"/>
  <c r="AF131" i="17" s="1"/>
  <c r="AK117" i="17"/>
  <c r="AH146" i="17"/>
  <c r="AI146" i="17" s="1"/>
  <c r="AB83" i="17"/>
  <c r="AC83" i="17" s="1"/>
  <c r="P145" i="17"/>
  <c r="AH115" i="17"/>
  <c r="AI115" i="17" s="1"/>
  <c r="AE11" i="17"/>
  <c r="AF11" i="17" s="1"/>
  <c r="AK100" i="17"/>
  <c r="AL100" i="17" s="1"/>
  <c r="AK10" i="17"/>
  <c r="AL10" i="17" s="1"/>
  <c r="AH70" i="17"/>
  <c r="AI70" i="17" s="1"/>
  <c r="AE129" i="17"/>
  <c r="AF129" i="17" s="1"/>
  <c r="AK121" i="17"/>
  <c r="AH91" i="17"/>
  <c r="AI91" i="17" s="1"/>
  <c r="AE154" i="17"/>
  <c r="AF154" i="17" s="1"/>
  <c r="AE63" i="17"/>
  <c r="AF63" i="17" s="1"/>
  <c r="AK145" i="17"/>
  <c r="AK58" i="17"/>
  <c r="AL58" i="17" s="1"/>
  <c r="AH112" i="17"/>
  <c r="AE81" i="17"/>
  <c r="AF81" i="17" s="1"/>
  <c r="AK69" i="17"/>
  <c r="AL69" i="17" s="1"/>
  <c r="AE91" i="17"/>
  <c r="AF91" i="17" s="1"/>
  <c r="AB122" i="17"/>
  <c r="AC122" i="17" s="1"/>
  <c r="P94" i="17"/>
  <c r="Q94" i="17" s="1"/>
  <c r="AE70" i="17"/>
  <c r="AF70" i="17" s="1"/>
  <c r="AB109" i="17"/>
  <c r="D62" i="17"/>
  <c r="G82" i="17"/>
  <c r="H82" i="17" s="1"/>
  <c r="G44" i="17"/>
  <c r="G6" i="17"/>
  <c r="H6" i="17" s="1"/>
  <c r="G97" i="17"/>
  <c r="J124" i="17"/>
  <c r="K124" i="17" s="1"/>
  <c r="M68" i="17"/>
  <c r="N68" i="17" s="1"/>
  <c r="AB148" i="17"/>
  <c r="AC148" i="17" s="1"/>
  <c r="J109" i="17"/>
  <c r="M57" i="17"/>
  <c r="P7" i="17"/>
  <c r="Q7" i="17" s="1"/>
  <c r="AB85" i="17"/>
  <c r="AC85" i="17" s="1"/>
  <c r="J10" i="17"/>
  <c r="K10" i="17" s="1"/>
  <c r="J100" i="17"/>
  <c r="K100" i="17" s="1"/>
  <c r="P69" i="17"/>
  <c r="Q69" i="17" s="1"/>
  <c r="J60" i="17"/>
  <c r="K60" i="17" s="1"/>
  <c r="M113" i="17"/>
  <c r="N113" i="17" s="1"/>
  <c r="P105" i="17"/>
  <c r="Q105" i="17" s="1"/>
  <c r="G105" i="17"/>
  <c r="H105" i="17" s="1"/>
  <c r="J45" i="17"/>
  <c r="J137" i="17"/>
  <c r="K137" i="17" s="1"/>
  <c r="M76" i="17"/>
  <c r="N76" i="17" s="1"/>
  <c r="P42" i="17"/>
  <c r="Q42" i="17" s="1"/>
  <c r="AE45" i="17"/>
  <c r="P14" i="17"/>
  <c r="Q14" i="17" s="1"/>
  <c r="P106" i="17"/>
  <c r="Q106" i="17" s="1"/>
  <c r="AB46" i="17"/>
  <c r="AB139" i="17"/>
  <c r="AC139" i="17" s="1"/>
  <c r="AE148" i="17"/>
  <c r="AF148" i="17" s="1"/>
  <c r="P117" i="17"/>
  <c r="AB67" i="17"/>
  <c r="AC67" i="17" s="1"/>
  <c r="G62" i="17"/>
  <c r="H62" i="17" s="1"/>
  <c r="G43" i="17"/>
  <c r="G5" i="17"/>
  <c r="H5" i="17" s="1"/>
  <c r="G96" i="17"/>
  <c r="H96" i="17" s="1"/>
  <c r="G61" i="17"/>
  <c r="H61" i="17" s="1"/>
  <c r="G147" i="17"/>
  <c r="H147" i="17" s="1"/>
  <c r="J88" i="17"/>
  <c r="M123" i="17"/>
  <c r="N123" i="17" s="1"/>
  <c r="P140" i="17"/>
  <c r="Q140" i="17" s="1"/>
  <c r="G130" i="17"/>
  <c r="H130" i="17" s="1"/>
  <c r="J84" i="17"/>
  <c r="M11" i="17"/>
  <c r="N11" i="17" s="1"/>
  <c r="M105" i="17"/>
  <c r="N105" i="17" s="1"/>
  <c r="P76" i="17"/>
  <c r="Q76" i="17" s="1"/>
  <c r="G118" i="17"/>
  <c r="H118" i="17" s="1"/>
  <c r="J64" i="17"/>
  <c r="K64" i="17" s="1"/>
  <c r="J155" i="17"/>
  <c r="K155" i="17" s="1"/>
  <c r="M94" i="17"/>
  <c r="N94" i="17" s="1"/>
  <c r="P65" i="17"/>
  <c r="Q65" i="17" s="1"/>
  <c r="AH82" i="17"/>
  <c r="AI82" i="17" s="1"/>
  <c r="J117" i="17"/>
  <c r="M63" i="17"/>
  <c r="N63" i="17" s="1"/>
  <c r="AB117" i="17"/>
  <c r="M150" i="17"/>
  <c r="N150" i="17" s="1"/>
  <c r="P90" i="17"/>
  <c r="Q90" i="17" s="1"/>
  <c r="AB118" i="17"/>
  <c r="AC118" i="17" s="1"/>
  <c r="AE80" i="17"/>
  <c r="P101" i="17"/>
  <c r="Q101" i="17" s="1"/>
  <c r="AB43" i="17"/>
  <c r="AB7" i="17"/>
  <c r="AC7" i="17" s="1"/>
  <c r="P146" i="17"/>
  <c r="Q146" i="17" s="1"/>
  <c r="J77" i="17"/>
  <c r="K77" i="17" s="1"/>
  <c r="M42" i="17"/>
  <c r="N42" i="17" s="1"/>
  <c r="M146" i="17"/>
  <c r="N146" i="17" s="1"/>
  <c r="AB45" i="17"/>
  <c r="G128" i="17"/>
  <c r="J69" i="17"/>
  <c r="K69" i="17" s="1"/>
  <c r="M9" i="17"/>
  <c r="N9" i="17" s="1"/>
  <c r="M100" i="17"/>
  <c r="N100" i="17" s="1"/>
  <c r="P84" i="17"/>
  <c r="M98" i="17"/>
  <c r="N98" i="17" s="1"/>
  <c r="P129" i="17"/>
  <c r="Q129" i="17" s="1"/>
  <c r="AB70" i="17"/>
  <c r="AC70" i="17" s="1"/>
  <c r="AE10" i="17"/>
  <c r="AF10" i="17" s="1"/>
  <c r="AH89" i="17"/>
  <c r="AI89" i="17" s="1"/>
  <c r="P142" i="17"/>
  <c r="AB99" i="17"/>
  <c r="AC99" i="17" s="1"/>
  <c r="G81" i="17"/>
  <c r="H81" i="17" s="1"/>
  <c r="G67" i="17"/>
  <c r="H67" i="17" s="1"/>
  <c r="G28" i="17"/>
  <c r="H28" i="17" s="1"/>
  <c r="D60" i="17"/>
  <c r="G80" i="17"/>
  <c r="J108" i="17"/>
  <c r="M56" i="17"/>
  <c r="P6" i="17"/>
  <c r="Q6" i="17" s="1"/>
  <c r="AB80" i="17"/>
  <c r="G156" i="17"/>
  <c r="H156" i="17" s="1"/>
  <c r="J95" i="17"/>
  <c r="K95" i="17" s="1"/>
  <c r="M136" i="17"/>
  <c r="AB15" i="17"/>
  <c r="AC15" i="17" s="1"/>
  <c r="G145" i="17"/>
  <c r="J83" i="17"/>
  <c r="K83" i="17" s="1"/>
  <c r="M121" i="17"/>
  <c r="P128" i="17"/>
  <c r="G109" i="17"/>
  <c r="J57" i="17"/>
  <c r="J142" i="17"/>
  <c r="M82" i="17"/>
  <c r="N82" i="17" s="1"/>
  <c r="P55" i="17"/>
  <c r="AE75" i="17"/>
  <c r="AF75" i="17" s="1"/>
  <c r="P112" i="17"/>
  <c r="Q112" i="17" s="1"/>
  <c r="AB58" i="17"/>
  <c r="AC58" i="17" s="1"/>
  <c r="AB145" i="17"/>
  <c r="P123" i="17"/>
  <c r="Q123" i="17" s="1"/>
  <c r="AB84" i="17"/>
  <c r="M96" i="17"/>
  <c r="N96" i="17" s="1"/>
  <c r="J140" i="17"/>
  <c r="K140" i="17" s="1"/>
  <c r="AE62" i="17"/>
  <c r="AF62" i="17" s="1"/>
  <c r="M70" i="17"/>
  <c r="N70" i="17" s="1"/>
  <c r="J6" i="17"/>
  <c r="K6" i="17" s="1"/>
  <c r="AB98" i="17"/>
  <c r="AC98" i="17" s="1"/>
  <c r="AH154" i="17"/>
  <c r="AI154" i="17" s="1"/>
  <c r="J122" i="17"/>
  <c r="K122" i="17" s="1"/>
  <c r="M66" i="17"/>
  <c r="N66" i="17" s="1"/>
  <c r="AB137" i="17"/>
  <c r="AC137" i="17" s="1"/>
  <c r="G154" i="17"/>
  <c r="H154" i="17" s="1"/>
  <c r="J91" i="17"/>
  <c r="K91" i="17" s="1"/>
  <c r="M130" i="17"/>
  <c r="N130" i="17" s="1"/>
  <c r="AB6" i="17"/>
  <c r="AC6" i="17" s="1"/>
  <c r="M118" i="17"/>
  <c r="N118" i="17" s="1"/>
  <c r="P64" i="17"/>
  <c r="Q64" i="17" s="1"/>
  <c r="P155" i="17"/>
  <c r="Q155" i="17" s="1"/>
  <c r="AB94" i="17"/>
  <c r="AC94" i="17" s="1"/>
  <c r="AE41" i="17"/>
  <c r="AB13" i="17"/>
  <c r="AB146" i="17"/>
  <c r="AC146" i="17" s="1"/>
  <c r="G89" i="17"/>
  <c r="H89" i="17" s="1"/>
  <c r="G56" i="17"/>
  <c r="G11" i="17"/>
  <c r="H11" i="17" s="1"/>
  <c r="G104" i="17"/>
  <c r="J42" i="17"/>
  <c r="K42" i="17" s="1"/>
  <c r="J131" i="17"/>
  <c r="K131" i="17" s="1"/>
  <c r="M73" i="17"/>
  <c r="N73" i="17" s="1"/>
  <c r="J115" i="17"/>
  <c r="K115" i="17" s="1"/>
  <c r="M61" i="17"/>
  <c r="N61" i="17" s="1"/>
  <c r="P13" i="17"/>
  <c r="J14" i="17"/>
  <c r="K14" i="17" s="1"/>
  <c r="J106" i="17"/>
  <c r="K106" i="17" s="1"/>
  <c r="M46" i="17"/>
  <c r="M155" i="17"/>
  <c r="N155" i="17" s="1"/>
  <c r="AB69" i="17"/>
  <c r="AC69" i="17" s="1"/>
  <c r="G132" i="17"/>
  <c r="H132" i="17" s="1"/>
  <c r="J74" i="17"/>
  <c r="K74" i="17" s="1"/>
  <c r="M13" i="17"/>
  <c r="P89" i="17"/>
  <c r="Q89" i="17" s="1"/>
  <c r="M104" i="17"/>
  <c r="P44" i="17"/>
  <c r="P136" i="17"/>
  <c r="AB75" i="17"/>
  <c r="AC75" i="17" s="1"/>
  <c r="AE15" i="17"/>
  <c r="AF15" i="17" s="1"/>
  <c r="AH109" i="17"/>
  <c r="P148" i="17"/>
  <c r="Q148" i="17" s="1"/>
  <c r="AB115" i="17"/>
  <c r="AC115" i="17" s="1"/>
  <c r="G139" i="17"/>
  <c r="H139" i="17" s="1"/>
  <c r="J147" i="17"/>
  <c r="K147" i="17" s="1"/>
  <c r="M88" i="17"/>
  <c r="P59" i="17"/>
  <c r="Q59" i="17" s="1"/>
  <c r="AE142" i="17"/>
  <c r="J113" i="17"/>
  <c r="K113" i="17" s="1"/>
  <c r="M59" i="17"/>
  <c r="N59" i="17" s="1"/>
  <c r="P11" i="17"/>
  <c r="Q11" i="17" s="1"/>
  <c r="AB97" i="17"/>
  <c r="M145" i="17"/>
  <c r="P83" i="17"/>
  <c r="Q83" i="17" s="1"/>
  <c r="AB114" i="17"/>
  <c r="AC114" i="17" s="1"/>
  <c r="AE69" i="17"/>
  <c r="AF69" i="17" s="1"/>
  <c r="P97" i="17"/>
  <c r="G12" i="17"/>
  <c r="H12" i="17" s="1"/>
  <c r="G23" i="17"/>
  <c r="H23" i="17" s="1"/>
  <c r="D55" i="17"/>
  <c r="G73" i="17"/>
  <c r="H73" i="17" s="1"/>
  <c r="G25" i="17"/>
  <c r="H25" i="17" s="1"/>
  <c r="G122" i="17"/>
  <c r="H122" i="17" s="1"/>
  <c r="J66" i="17"/>
  <c r="K66" i="17" s="1"/>
  <c r="M5" i="17"/>
  <c r="N5" i="17" s="1"/>
  <c r="P67" i="17"/>
  <c r="Q67" i="17" s="1"/>
  <c r="AH128" i="17"/>
  <c r="J55" i="17"/>
  <c r="M80" i="17"/>
  <c r="P45" i="17"/>
  <c r="J129" i="17"/>
  <c r="K129" i="17" s="1"/>
  <c r="AE9" i="17"/>
  <c r="AF9" i="17" s="1"/>
  <c r="J97" i="17"/>
  <c r="M140" i="17"/>
  <c r="N140" i="17" s="1"/>
  <c r="M124" i="17"/>
  <c r="N124" i="17" s="1"/>
  <c r="P68" i="17"/>
  <c r="Q68" i="17" s="1"/>
  <c r="AE46" i="17"/>
  <c r="P80" i="17"/>
  <c r="D156" i="17"/>
  <c r="D150" i="17"/>
  <c r="D146" i="17"/>
  <c r="D140" i="17"/>
  <c r="D132" i="17"/>
  <c r="D128" i="17"/>
  <c r="D121" i="17"/>
  <c r="D115" i="17"/>
  <c r="D109" i="17"/>
  <c r="D105" i="17"/>
  <c r="D99" i="17"/>
  <c r="D95" i="17"/>
  <c r="D89" i="17"/>
  <c r="D82" i="17"/>
  <c r="D76" i="17"/>
  <c r="D84" i="17"/>
  <c r="D155" i="17"/>
  <c r="D148" i="17"/>
  <c r="D145" i="17"/>
  <c r="D139" i="17"/>
  <c r="D131" i="17"/>
  <c r="D124" i="17"/>
  <c r="D118" i="17"/>
  <c r="D114" i="17"/>
  <c r="D108" i="17"/>
  <c r="D104" i="17"/>
  <c r="D98" i="17"/>
  <c r="D94" i="17"/>
  <c r="D88" i="17"/>
  <c r="D81" i="17"/>
  <c r="D75" i="17"/>
  <c r="D154" i="17"/>
  <c r="D147" i="17"/>
  <c r="D142" i="17"/>
  <c r="D137" i="17"/>
  <c r="D130" i="17"/>
  <c r="D123" i="17"/>
  <c r="D117" i="17"/>
  <c r="D113" i="17"/>
  <c r="D101" i="17"/>
  <c r="D97" i="17"/>
  <c r="D91" i="17"/>
  <c r="D85" i="17"/>
  <c r="D80" i="17"/>
  <c r="D74" i="17"/>
  <c r="D43" i="17"/>
  <c r="D141" i="17"/>
  <c r="D136" i="17"/>
  <c r="D129" i="17"/>
  <c r="D122" i="17"/>
  <c r="D116" i="17"/>
  <c r="D112" i="17"/>
  <c r="D106" i="17"/>
  <c r="D100" i="17"/>
  <c r="D96" i="17"/>
  <c r="D90" i="17"/>
  <c r="D83" i="17"/>
  <c r="D77" i="17"/>
  <c r="D73" i="17"/>
  <c r="D42" i="17"/>
  <c r="D5" i="17"/>
  <c r="Y140" i="17"/>
  <c r="Z140" i="17" s="1"/>
  <c r="Y132" i="17"/>
  <c r="Z132" i="17" s="1"/>
  <c r="Y128" i="17"/>
  <c r="Y121" i="17"/>
  <c r="Y106" i="17"/>
  <c r="Z106" i="17" s="1"/>
  <c r="Y100" i="17"/>
  <c r="Z100" i="17" s="1"/>
  <c r="Y96" i="17"/>
  <c r="Z96" i="17" s="1"/>
  <c r="Y90" i="17"/>
  <c r="Z90" i="17" s="1"/>
  <c r="Y83" i="17"/>
  <c r="Z83" i="17" s="1"/>
  <c r="Y77" i="17"/>
  <c r="Z77" i="17" s="1"/>
  <c r="Y73" i="17"/>
  <c r="Z73" i="17" s="1"/>
  <c r="Y68" i="17"/>
  <c r="Z68" i="17" s="1"/>
  <c r="Y64" i="17"/>
  <c r="Z64" i="17" s="1"/>
  <c r="Y60" i="17"/>
  <c r="Z60" i="17" s="1"/>
  <c r="Y42" i="17"/>
  <c r="Z42" i="17" s="1"/>
  <c r="Y14" i="17"/>
  <c r="Z14" i="17" s="1"/>
  <c r="Y9" i="17"/>
  <c r="Z9" i="17" s="1"/>
  <c r="V140" i="17"/>
  <c r="W140" i="17" s="1"/>
  <c r="V132" i="17"/>
  <c r="W132" i="17" s="1"/>
  <c r="V128" i="17"/>
  <c r="V121" i="17"/>
  <c r="V106" i="17"/>
  <c r="W106" i="17" s="1"/>
  <c r="V100" i="17"/>
  <c r="W100" i="17" s="1"/>
  <c r="V96" i="17"/>
  <c r="W96" i="17" s="1"/>
  <c r="V90" i="17"/>
  <c r="W90" i="17" s="1"/>
  <c r="V83" i="17"/>
  <c r="W83" i="17" s="1"/>
  <c r="V77" i="17"/>
  <c r="W77" i="17" s="1"/>
  <c r="V73" i="17"/>
  <c r="W73" i="17" s="1"/>
  <c r="V68" i="17"/>
  <c r="W68" i="17" s="1"/>
  <c r="V64" i="17"/>
  <c r="W64" i="17" s="1"/>
  <c r="V60" i="17"/>
  <c r="W60" i="17" s="1"/>
  <c r="V42" i="17"/>
  <c r="W42" i="17" s="1"/>
  <c r="V14" i="17"/>
  <c r="W14" i="17" s="1"/>
  <c r="V9" i="17"/>
  <c r="W9" i="17" s="1"/>
  <c r="S140" i="17"/>
  <c r="T140" i="17" s="1"/>
  <c r="S132" i="17"/>
  <c r="T132" i="17" s="1"/>
  <c r="S128" i="17"/>
  <c r="S121" i="17"/>
  <c r="S106" i="17"/>
  <c r="T106" i="17" s="1"/>
  <c r="S100" i="17"/>
  <c r="T100" i="17" s="1"/>
  <c r="S96" i="17"/>
  <c r="T96" i="17" s="1"/>
  <c r="S90" i="17"/>
  <c r="T90" i="17" s="1"/>
  <c r="Y156" i="17"/>
  <c r="Z156" i="17" s="1"/>
  <c r="Y150" i="17"/>
  <c r="Z150" i="17" s="1"/>
  <c r="Y146" i="17"/>
  <c r="Z146" i="17" s="1"/>
  <c r="Y139" i="17"/>
  <c r="Z139" i="17" s="1"/>
  <c r="Y131" i="17"/>
  <c r="Z131" i="17" s="1"/>
  <c r="Y124" i="17"/>
  <c r="Z124" i="17" s="1"/>
  <c r="Y118" i="17"/>
  <c r="Z118" i="17" s="1"/>
  <c r="Z105" i="17"/>
  <c r="Y99" i="17"/>
  <c r="Z99" i="17" s="1"/>
  <c r="Y95" i="17"/>
  <c r="Z95" i="17" s="1"/>
  <c r="Y89" i="17"/>
  <c r="Z89" i="17" s="1"/>
  <c r="Y82" i="17"/>
  <c r="Z82" i="17" s="1"/>
  <c r="Y76" i="17"/>
  <c r="Z76" i="17" s="1"/>
  <c r="Y84" i="17"/>
  <c r="Y67" i="17"/>
  <c r="Z67" i="17" s="1"/>
  <c r="Y63" i="17"/>
  <c r="Z63" i="17" s="1"/>
  <c r="Y59" i="17"/>
  <c r="Z59" i="17" s="1"/>
  <c r="Y41" i="17"/>
  <c r="Y12" i="17"/>
  <c r="Z12" i="17" s="1"/>
  <c r="Y7" i="17"/>
  <c r="Z7" i="17" s="1"/>
  <c r="V156" i="17"/>
  <c r="W156" i="17" s="1"/>
  <c r="V150" i="17"/>
  <c r="W150" i="17" s="1"/>
  <c r="V146" i="17"/>
  <c r="W146" i="17" s="1"/>
  <c r="V139" i="17"/>
  <c r="W139" i="17" s="1"/>
  <c r="V131" i="17"/>
  <c r="W131" i="17" s="1"/>
  <c r="V124" i="17"/>
  <c r="W124" i="17" s="1"/>
  <c r="V118" i="17"/>
  <c r="W118" i="17" s="1"/>
  <c r="V105" i="17"/>
  <c r="W105" i="17" s="1"/>
  <c r="V99" i="17"/>
  <c r="W99" i="17" s="1"/>
  <c r="V95" i="17"/>
  <c r="W95" i="17" s="1"/>
  <c r="V89" i="17"/>
  <c r="W89" i="17" s="1"/>
  <c r="V82" i="17"/>
  <c r="W82" i="17" s="1"/>
  <c r="V76" i="17"/>
  <c r="W76" i="17" s="1"/>
  <c r="V84" i="17"/>
  <c r="V67" i="17"/>
  <c r="W67" i="17" s="1"/>
  <c r="V63" i="17"/>
  <c r="W63" i="17" s="1"/>
  <c r="V59" i="17"/>
  <c r="W59" i="17" s="1"/>
  <c r="V41" i="17"/>
  <c r="V12" i="17"/>
  <c r="W12" i="17" s="1"/>
  <c r="V7" i="17"/>
  <c r="W7" i="17" s="1"/>
  <c r="S156" i="17"/>
  <c r="T156" i="17" s="1"/>
  <c r="S150" i="17"/>
  <c r="T150" i="17" s="1"/>
  <c r="S146" i="17"/>
  <c r="T146" i="17" s="1"/>
  <c r="S139" i="17"/>
  <c r="T139" i="17" s="1"/>
  <c r="S131" i="17"/>
  <c r="T131" i="17" s="1"/>
  <c r="S124" i="17"/>
  <c r="T124" i="17" s="1"/>
  <c r="S118" i="17"/>
  <c r="T118" i="17" s="1"/>
  <c r="S105" i="17"/>
  <c r="T105" i="17" s="1"/>
  <c r="S99" i="17"/>
  <c r="T99" i="17" s="1"/>
  <c r="Y155" i="17"/>
  <c r="Z155" i="17" s="1"/>
  <c r="Y148" i="17"/>
  <c r="Z148" i="17" s="1"/>
  <c r="Y145" i="17"/>
  <c r="Y137" i="17"/>
  <c r="Z137" i="17" s="1"/>
  <c r="Y130" i="17"/>
  <c r="Z130" i="17" s="1"/>
  <c r="Y123" i="17"/>
  <c r="Z123" i="17" s="1"/>
  <c r="Y115" i="17"/>
  <c r="Z115" i="17" s="1"/>
  <c r="Y112" i="17"/>
  <c r="Z112" i="17" s="1"/>
  <c r="Y104" i="17"/>
  <c r="Y98" i="17"/>
  <c r="Z98" i="17" s="1"/>
  <c r="Y94" i="17"/>
  <c r="Z94" i="17" s="1"/>
  <c r="Y88" i="17"/>
  <c r="Y81" i="17"/>
  <c r="Z81" i="17" s="1"/>
  <c r="Y75" i="17"/>
  <c r="Z75" i="17" s="1"/>
  <c r="Y70" i="17"/>
  <c r="Z70" i="17" s="1"/>
  <c r="Y66" i="17"/>
  <c r="Z66" i="17" s="1"/>
  <c r="Y62" i="17"/>
  <c r="Z62" i="17" s="1"/>
  <c r="Y58" i="17"/>
  <c r="Z58" i="17" s="1"/>
  <c r="Y11" i="17"/>
  <c r="Z11" i="17" s="1"/>
  <c r="Y6" i="17"/>
  <c r="Z6" i="17" s="1"/>
  <c r="V155" i="17"/>
  <c r="W155" i="17" s="1"/>
  <c r="V148" i="17"/>
  <c r="W148" i="17" s="1"/>
  <c r="V145" i="17"/>
  <c r="V137" i="17"/>
  <c r="W137" i="17" s="1"/>
  <c r="V130" i="17"/>
  <c r="W130" i="17" s="1"/>
  <c r="V123" i="17"/>
  <c r="W123" i="17" s="1"/>
  <c r="V115" i="17"/>
  <c r="W115" i="17" s="1"/>
  <c r="V112" i="17"/>
  <c r="V104" i="17"/>
  <c r="V98" i="17"/>
  <c r="W98" i="17" s="1"/>
  <c r="V94" i="17"/>
  <c r="W94" i="17" s="1"/>
  <c r="V88" i="17"/>
  <c r="V81" i="17"/>
  <c r="W81" i="17" s="1"/>
  <c r="V75" i="17"/>
  <c r="W75" i="17" s="1"/>
  <c r="V70" i="17"/>
  <c r="W70" i="17" s="1"/>
  <c r="V66" i="17"/>
  <c r="W66" i="17" s="1"/>
  <c r="Y147" i="17"/>
  <c r="Z147" i="17" s="1"/>
  <c r="Y122" i="17"/>
  <c r="Z122" i="17" s="1"/>
  <c r="Y101" i="17"/>
  <c r="Z101" i="17" s="1"/>
  <c r="Y80" i="17"/>
  <c r="Y61" i="17"/>
  <c r="Z61" i="17" s="1"/>
  <c r="V154" i="17"/>
  <c r="W154" i="17" s="1"/>
  <c r="V129" i="17"/>
  <c r="W129" i="17" s="1"/>
  <c r="V85" i="17"/>
  <c r="W85" i="17" s="1"/>
  <c r="V65" i="17"/>
  <c r="W65" i="17" s="1"/>
  <c r="V55" i="17"/>
  <c r="V15" i="17"/>
  <c r="W15" i="17" s="1"/>
  <c r="V5" i="17"/>
  <c r="W5" i="17" s="1"/>
  <c r="S147" i="17"/>
  <c r="T147" i="17" s="1"/>
  <c r="S136" i="17"/>
  <c r="S122" i="17"/>
  <c r="T122" i="17" s="1"/>
  <c r="S112" i="17"/>
  <c r="T112" i="17" s="1"/>
  <c r="S98" i="17"/>
  <c r="T98" i="17" s="1"/>
  <c r="S91" i="17"/>
  <c r="T91" i="17" s="1"/>
  <c r="S83" i="17"/>
  <c r="T83" i="17" s="1"/>
  <c r="S77" i="17"/>
  <c r="T77" i="17" s="1"/>
  <c r="S73" i="17"/>
  <c r="T73" i="17" s="1"/>
  <c r="S68" i="17"/>
  <c r="T68" i="17" s="1"/>
  <c r="S64" i="17"/>
  <c r="T64" i="17" s="1"/>
  <c r="S60" i="17"/>
  <c r="T60" i="17" s="1"/>
  <c r="S42" i="17"/>
  <c r="T42" i="17" s="1"/>
  <c r="S14" i="17"/>
  <c r="T14" i="17" s="1"/>
  <c r="S9" i="17"/>
  <c r="T9" i="17" s="1"/>
  <c r="Y85" i="17"/>
  <c r="Z85" i="17" s="1"/>
  <c r="Y5" i="17"/>
  <c r="Z5" i="17" s="1"/>
  <c r="V69" i="17"/>
  <c r="W69" i="17" s="1"/>
  <c r="S148" i="17"/>
  <c r="T148" i="17" s="1"/>
  <c r="S101" i="17"/>
  <c r="T101" i="17" s="1"/>
  <c r="S80" i="17"/>
  <c r="S69" i="17"/>
  <c r="T69" i="17" s="1"/>
  <c r="S15" i="17"/>
  <c r="T15" i="17" s="1"/>
  <c r="Y141" i="17"/>
  <c r="Z141" i="17" s="1"/>
  <c r="Y114" i="17"/>
  <c r="Y97" i="17"/>
  <c r="Y74" i="17"/>
  <c r="Z74" i="17" s="1"/>
  <c r="Y55" i="17"/>
  <c r="Y15" i="17"/>
  <c r="Z15" i="17" s="1"/>
  <c r="V147" i="17"/>
  <c r="W147" i="17" s="1"/>
  <c r="V122" i="17"/>
  <c r="W122" i="17" s="1"/>
  <c r="V101" i="17"/>
  <c r="W101" i="17" s="1"/>
  <c r="V80" i="17"/>
  <c r="V62" i="17"/>
  <c r="W62" i="17" s="1"/>
  <c r="V11" i="17"/>
  <c r="W11" i="17" s="1"/>
  <c r="S155" i="17"/>
  <c r="T155" i="17" s="1"/>
  <c r="S145" i="17"/>
  <c r="S130" i="17"/>
  <c r="T130" i="17" s="1"/>
  <c r="S115" i="17"/>
  <c r="T115" i="17" s="1"/>
  <c r="S97" i="17"/>
  <c r="S89" i="17"/>
  <c r="T89" i="17" s="1"/>
  <c r="S82" i="17"/>
  <c r="T82" i="17" s="1"/>
  <c r="S76" i="17"/>
  <c r="T76" i="17" s="1"/>
  <c r="S84" i="17"/>
  <c r="S67" i="17"/>
  <c r="T67" i="17" s="1"/>
  <c r="S63" i="17"/>
  <c r="T63" i="17" s="1"/>
  <c r="S59" i="17"/>
  <c r="T59" i="17" s="1"/>
  <c r="S41" i="17"/>
  <c r="S12" i="17"/>
  <c r="T12" i="17" s="1"/>
  <c r="S7" i="17"/>
  <c r="T7" i="17" s="1"/>
  <c r="Y129" i="17"/>
  <c r="Z129" i="17" s="1"/>
  <c r="V91" i="17"/>
  <c r="W91" i="17" s="1"/>
  <c r="S137" i="17"/>
  <c r="T137" i="17" s="1"/>
  <c r="S123" i="17"/>
  <c r="T123" i="17" s="1"/>
  <c r="S85" i="17"/>
  <c r="T85" i="17" s="1"/>
  <c r="S65" i="17"/>
  <c r="T65" i="17" s="1"/>
  <c r="S55" i="17"/>
  <c r="S5" i="17"/>
  <c r="T5" i="17" s="1"/>
  <c r="Y136" i="17"/>
  <c r="Y91" i="17"/>
  <c r="Z91" i="17" s="1"/>
  <c r="Y69" i="17"/>
  <c r="Z69" i="17" s="1"/>
  <c r="Y10" i="17"/>
  <c r="Z10" i="17" s="1"/>
  <c r="V141" i="17"/>
  <c r="W141" i="17" s="1"/>
  <c r="V114" i="17"/>
  <c r="W114" i="17" s="1"/>
  <c r="V97" i="17"/>
  <c r="V74" i="17"/>
  <c r="W74" i="17" s="1"/>
  <c r="V61" i="17"/>
  <c r="W61" i="17" s="1"/>
  <c r="V10" i="17"/>
  <c r="W10" i="17" s="1"/>
  <c r="S154" i="17"/>
  <c r="T154" i="17" s="1"/>
  <c r="S141" i="17"/>
  <c r="T141" i="17" s="1"/>
  <c r="S129" i="17"/>
  <c r="T129" i="17" s="1"/>
  <c r="S114" i="17"/>
  <c r="S104" i="17"/>
  <c r="S95" i="17"/>
  <c r="T95" i="17" s="1"/>
  <c r="S88" i="17"/>
  <c r="S81" i="17"/>
  <c r="T81" i="17" s="1"/>
  <c r="S75" i="17"/>
  <c r="T75" i="17" s="1"/>
  <c r="S70" i="17"/>
  <c r="T70" i="17" s="1"/>
  <c r="S66" i="17"/>
  <c r="T66" i="17" s="1"/>
  <c r="S62" i="17"/>
  <c r="T62" i="17" s="1"/>
  <c r="S58" i="17"/>
  <c r="T58" i="17" s="1"/>
  <c r="S11" i="17"/>
  <c r="T11" i="17" s="1"/>
  <c r="S6" i="17"/>
  <c r="T6" i="17" s="1"/>
  <c r="Y154" i="17"/>
  <c r="Z154" i="17" s="1"/>
  <c r="Y65" i="17"/>
  <c r="Z65" i="17" s="1"/>
  <c r="V136" i="17"/>
  <c r="V58" i="17"/>
  <c r="W58" i="17" s="1"/>
  <c r="V6" i="17"/>
  <c r="W6" i="17" s="1"/>
  <c r="S94" i="17"/>
  <c r="T94" i="17" s="1"/>
  <c r="S74" i="17"/>
  <c r="T74" i="17" s="1"/>
  <c r="S61" i="17"/>
  <c r="T61" i="17" s="1"/>
  <c r="S10" i="17"/>
  <c r="T10" i="17" s="1"/>
  <c r="D22" i="17"/>
  <c r="AN50" i="17" l="1"/>
  <c r="AO50" i="17" s="1"/>
  <c r="E50" i="17"/>
  <c r="AN52" i="17"/>
  <c r="AO52" i="17" s="1"/>
  <c r="E52" i="17"/>
  <c r="E51" i="17"/>
  <c r="AN51" i="17"/>
  <c r="AO51" i="17" s="1"/>
  <c r="AN138" i="17"/>
  <c r="AO138" i="17" s="1"/>
  <c r="E138" i="17"/>
  <c r="Y110" i="17"/>
  <c r="D110" i="17"/>
  <c r="M110" i="17"/>
  <c r="G110" i="17"/>
  <c r="S110" i="17"/>
  <c r="V110" i="17"/>
  <c r="AE110" i="17"/>
  <c r="AK110" i="17"/>
  <c r="AH110" i="17"/>
  <c r="AB110" i="17"/>
  <c r="J110" i="17"/>
  <c r="P110" i="17"/>
  <c r="AN32" i="17"/>
  <c r="AO32" i="17" s="1"/>
  <c r="E32" i="17"/>
  <c r="AN107" i="17"/>
  <c r="E107" i="17"/>
  <c r="AN54" i="17"/>
  <c r="AO54" i="17" s="1"/>
  <c r="E54" i="17"/>
  <c r="E133" i="17"/>
  <c r="AN133" i="17"/>
  <c r="AO133" i="17" s="1"/>
  <c r="H151" i="17"/>
  <c r="AN151" i="17"/>
  <c r="AO151" i="17" s="1"/>
  <c r="AN27" i="17"/>
  <c r="AO27" i="17" s="1"/>
  <c r="E27" i="17"/>
  <c r="AE48" i="17"/>
  <c r="AB48" i="17"/>
  <c r="AH134" i="17"/>
  <c r="AK48" i="17"/>
  <c r="J102" i="17"/>
  <c r="M92" i="17"/>
  <c r="AE35" i="17"/>
  <c r="G152" i="17"/>
  <c r="AK92" i="17"/>
  <c r="G102" i="17"/>
  <c r="G48" i="17"/>
  <c r="AB86" i="17"/>
  <c r="M152" i="17"/>
  <c r="AK143" i="17"/>
  <c r="AN117" i="17"/>
  <c r="AK152" i="17"/>
  <c r="AK126" i="17"/>
  <c r="AE126" i="17"/>
  <c r="AH143" i="17"/>
  <c r="P143" i="17"/>
  <c r="M86" i="17"/>
  <c r="G86" i="17"/>
  <c r="P78" i="17"/>
  <c r="P86" i="17"/>
  <c r="P119" i="17"/>
  <c r="M16" i="17"/>
  <c r="J71" i="17"/>
  <c r="AB102" i="17"/>
  <c r="AE86" i="17"/>
  <c r="P134" i="17"/>
  <c r="AH102" i="17"/>
  <c r="AH119" i="17"/>
  <c r="AB152" i="17"/>
  <c r="M143" i="17"/>
  <c r="J35" i="17"/>
  <c r="J78" i="17"/>
  <c r="AB35" i="17"/>
  <c r="M134" i="17"/>
  <c r="AE119" i="17"/>
  <c r="AK16" i="17"/>
  <c r="J152" i="17"/>
  <c r="AB126" i="17"/>
  <c r="J119" i="17"/>
  <c r="AK102" i="17"/>
  <c r="P102" i="17"/>
  <c r="AH86" i="17"/>
  <c r="AB134" i="17"/>
  <c r="G35" i="17"/>
  <c r="AE134" i="17"/>
  <c r="AK119" i="17"/>
  <c r="M78" i="17"/>
  <c r="M119" i="17"/>
  <c r="G71" i="17"/>
  <c r="AB78" i="17"/>
  <c r="P71" i="17"/>
  <c r="M102" i="17"/>
  <c r="J92" i="17"/>
  <c r="G16" i="17"/>
  <c r="AE16" i="17"/>
  <c r="AB16" i="17"/>
  <c r="M71" i="17"/>
  <c r="J143" i="17"/>
  <c r="AK35" i="17"/>
  <c r="J126" i="17"/>
  <c r="AE92" i="17"/>
  <c r="G126" i="17"/>
  <c r="AK78" i="17"/>
  <c r="P126" i="17"/>
  <c r="AB71" i="17"/>
  <c r="G92" i="17"/>
  <c r="G134" i="17"/>
  <c r="AH71" i="17"/>
  <c r="AE152" i="17"/>
  <c r="AH152" i="17"/>
  <c r="AE78" i="17"/>
  <c r="AB92" i="17"/>
  <c r="G119" i="17"/>
  <c r="AK134" i="17"/>
  <c r="AB119" i="17"/>
  <c r="AE71" i="17"/>
  <c r="AH92" i="17"/>
  <c r="J16" i="17"/>
  <c r="G78" i="17"/>
  <c r="AK86" i="17"/>
  <c r="J48" i="17"/>
  <c r="M126" i="17"/>
  <c r="P35" i="17"/>
  <c r="AB143" i="17"/>
  <c r="M35" i="17"/>
  <c r="P152" i="17"/>
  <c r="G143" i="17"/>
  <c r="P48" i="17"/>
  <c r="AH16" i="17"/>
  <c r="P92" i="17"/>
  <c r="J134" i="17"/>
  <c r="J86" i="17"/>
  <c r="AH126" i="17"/>
  <c r="AE143" i="17"/>
  <c r="AE102" i="17"/>
  <c r="AK71" i="17"/>
  <c r="M48" i="17"/>
  <c r="AN29" i="17"/>
  <c r="AO29" i="17" s="1"/>
  <c r="E29" i="17"/>
  <c r="AH78" i="17"/>
  <c r="AH48" i="17"/>
  <c r="AH35" i="17"/>
  <c r="P16" i="17"/>
  <c r="AN116" i="17"/>
  <c r="AN113" i="17"/>
  <c r="AO113" i="17" s="1"/>
  <c r="E113" i="17"/>
  <c r="W16" i="17"/>
  <c r="AN22" i="17"/>
  <c r="AO22" i="17" s="1"/>
  <c r="K16" i="17"/>
  <c r="Q16" i="17"/>
  <c r="T16" i="17"/>
  <c r="H114" i="17"/>
  <c r="H119" i="17" s="1"/>
  <c r="K80" i="17"/>
  <c r="H16" i="17"/>
  <c r="K112" i="17"/>
  <c r="K119" i="17" s="1"/>
  <c r="T88" i="17"/>
  <c r="T92" i="17" s="1"/>
  <c r="S92" i="17"/>
  <c r="K41" i="17"/>
  <c r="K48" i="17" s="1"/>
  <c r="K84" i="17"/>
  <c r="K78" i="17" s="1"/>
  <c r="T145" i="17"/>
  <c r="T152" i="17" s="1"/>
  <c r="S152" i="17"/>
  <c r="V35" i="17"/>
  <c r="W22" i="17"/>
  <c r="W35" i="17" s="1"/>
  <c r="H128" i="17"/>
  <c r="H134" i="17" s="1"/>
  <c r="Q121" i="17"/>
  <c r="Q126" i="17" s="1"/>
  <c r="W55" i="17"/>
  <c r="W71" i="17" s="1"/>
  <c r="V71" i="17"/>
  <c r="W145" i="17"/>
  <c r="W152" i="17" s="1"/>
  <c r="V152" i="17"/>
  <c r="Z145" i="17"/>
  <c r="Z152" i="17" s="1"/>
  <c r="Y152" i="17"/>
  <c r="W41" i="17"/>
  <c r="W48" i="17" s="1"/>
  <c r="V48" i="17"/>
  <c r="W84" i="17"/>
  <c r="W78" i="17" s="1"/>
  <c r="V78" i="17"/>
  <c r="AI128" i="17"/>
  <c r="AI134" i="17" s="1"/>
  <c r="T128" i="17"/>
  <c r="T134" i="17" s="1"/>
  <c r="S134" i="17"/>
  <c r="Y16" i="17"/>
  <c r="AC97" i="17"/>
  <c r="AC102" i="17" s="1"/>
  <c r="AF55" i="17"/>
  <c r="AF71" i="17" s="1"/>
  <c r="AF97" i="17"/>
  <c r="AF102" i="17" s="1"/>
  <c r="AI80" i="17"/>
  <c r="AI136" i="17"/>
  <c r="AI143" i="17" s="1"/>
  <c r="AL84" i="17"/>
  <c r="AL78" i="17" s="1"/>
  <c r="AC16" i="17"/>
  <c r="AC88" i="17"/>
  <c r="AC92" i="17" s="1"/>
  <c r="AC112" i="17"/>
  <c r="AC119" i="17" s="1"/>
  <c r="AF16" i="17"/>
  <c r="AF88" i="17"/>
  <c r="AF92" i="17" s="1"/>
  <c r="AI16" i="17"/>
  <c r="AI88" i="17"/>
  <c r="AI92" i="17" s="1"/>
  <c r="AI112" i="17"/>
  <c r="AI119" i="17" s="1"/>
  <c r="AL16" i="17"/>
  <c r="AF41" i="17"/>
  <c r="AF48" i="17" s="1"/>
  <c r="AF84" i="17"/>
  <c r="AF78" i="17" s="1"/>
  <c r="AL121" i="17"/>
  <c r="AL126" i="17" s="1"/>
  <c r="AL80" i="17"/>
  <c r="AL136" i="17"/>
  <c r="AL143" i="17" s="1"/>
  <c r="AL145" i="17"/>
  <c r="AL152" i="17" s="1"/>
  <c r="N16" i="17"/>
  <c r="H55" i="17"/>
  <c r="H71" i="17" s="1"/>
  <c r="H80" i="17"/>
  <c r="N136" i="17"/>
  <c r="N143" i="17" s="1"/>
  <c r="H145" i="17"/>
  <c r="H152" i="17" s="1"/>
  <c r="K145" i="17"/>
  <c r="K152" i="17" s="1"/>
  <c r="N145" i="17"/>
  <c r="N152" i="17" s="1"/>
  <c r="Q145" i="17"/>
  <c r="Q152" i="17" s="1"/>
  <c r="AC41" i="17"/>
  <c r="AC48" i="17" s="1"/>
  <c r="N55" i="17"/>
  <c r="N71" i="17" s="1"/>
  <c r="Q55" i="17"/>
  <c r="Q71" i="17" s="1"/>
  <c r="Q114" i="17"/>
  <c r="Q119" i="17" s="1"/>
  <c r="T55" i="17"/>
  <c r="T71" i="17" s="1"/>
  <c r="S71" i="17"/>
  <c r="H41" i="17"/>
  <c r="H48" i="17" s="1"/>
  <c r="H84" i="17"/>
  <c r="H78" i="17" s="1"/>
  <c r="T41" i="17"/>
  <c r="T48" i="17" s="1"/>
  <c r="S48" i="17"/>
  <c r="T84" i="17"/>
  <c r="T78" i="17" s="1"/>
  <c r="S78" i="17"/>
  <c r="S102" i="17"/>
  <c r="T97" i="17"/>
  <c r="T102" i="17" s="1"/>
  <c r="Y102" i="17"/>
  <c r="Z97" i="17"/>
  <c r="Z102" i="17" s="1"/>
  <c r="AF121" i="17"/>
  <c r="AF126" i="17" s="1"/>
  <c r="N80" i="17"/>
  <c r="Q80" i="17"/>
  <c r="S86" i="17"/>
  <c r="T80" i="17"/>
  <c r="N121" i="17"/>
  <c r="N126" i="17" s="1"/>
  <c r="Q128" i="17"/>
  <c r="Q134" i="17" s="1"/>
  <c r="Y35" i="17"/>
  <c r="Z22" i="17"/>
  <c r="Z35" i="17" s="1"/>
  <c r="AF128" i="17"/>
  <c r="AF134" i="17" s="1"/>
  <c r="AC55" i="17"/>
  <c r="AC71" i="17" s="1"/>
  <c r="V16" i="17"/>
  <c r="Z121" i="17"/>
  <c r="Z126" i="17" s="1"/>
  <c r="Y126" i="17"/>
  <c r="AF80" i="17"/>
  <c r="AF136" i="17"/>
  <c r="AF143" i="17" s="1"/>
  <c r="AC145" i="17"/>
  <c r="AC152" i="17" s="1"/>
  <c r="AF145" i="17"/>
  <c r="AF152" i="17" s="1"/>
  <c r="AI145" i="17"/>
  <c r="AI152" i="17" s="1"/>
  <c r="AC84" i="17"/>
  <c r="AC78" i="17" s="1"/>
  <c r="AL128" i="17"/>
  <c r="AL134" i="17" s="1"/>
  <c r="AL114" i="17"/>
  <c r="AL119" i="17" s="1"/>
  <c r="N114" i="17"/>
  <c r="N119" i="17" s="1"/>
  <c r="W136" i="17"/>
  <c r="W143" i="17" s="1"/>
  <c r="V143" i="17"/>
  <c r="H88" i="17"/>
  <c r="H92" i="17" s="1"/>
  <c r="N88" i="17"/>
  <c r="N92" i="17" s="1"/>
  <c r="Q88" i="17"/>
  <c r="Q92" i="17" s="1"/>
  <c r="K55" i="17"/>
  <c r="K71" i="17" s="1"/>
  <c r="K136" i="17"/>
  <c r="K143" i="17" s="1"/>
  <c r="Q97" i="17"/>
  <c r="Q102" i="17" s="1"/>
  <c r="H22" i="17"/>
  <c r="H35" i="17" s="1"/>
  <c r="K22" i="17"/>
  <c r="K35" i="17" s="1"/>
  <c r="N22" i="17"/>
  <c r="N35" i="17" s="1"/>
  <c r="Q22" i="17"/>
  <c r="Q35" i="17" s="1"/>
  <c r="S35" i="17"/>
  <c r="T22" i="17"/>
  <c r="T35" i="17" s="1"/>
  <c r="T104" i="17"/>
  <c r="T110" i="17" s="1"/>
  <c r="Q136" i="17"/>
  <c r="Q143" i="17" s="1"/>
  <c r="Q41" i="17"/>
  <c r="Q48" i="17" s="1"/>
  <c r="Q84" i="17"/>
  <c r="Q78" i="17" s="1"/>
  <c r="W80" i="17"/>
  <c r="V86" i="17"/>
  <c r="Y119" i="17"/>
  <c r="Z114" i="17"/>
  <c r="Z119" i="17" s="1"/>
  <c r="N97" i="17"/>
  <c r="N102" i="17" s="1"/>
  <c r="K121" i="17"/>
  <c r="K126" i="17" s="1"/>
  <c r="N128" i="17"/>
  <c r="N134" i="17" s="1"/>
  <c r="S16" i="17"/>
  <c r="W104" i="17"/>
  <c r="W110" i="17" s="1"/>
  <c r="Z104" i="17"/>
  <c r="Z110" i="17" s="1"/>
  <c r="AC80" i="17"/>
  <c r="W121" i="17"/>
  <c r="W126" i="17" s="1"/>
  <c r="V126" i="17"/>
  <c r="Z128" i="17"/>
  <c r="Z134" i="17" s="1"/>
  <c r="Y134" i="17"/>
  <c r="AC136" i="17"/>
  <c r="AC143" i="17" s="1"/>
  <c r="AF114" i="17"/>
  <c r="AF119" i="17" s="1"/>
  <c r="AC22" i="17"/>
  <c r="AC35" i="17" s="1"/>
  <c r="AF22" i="17"/>
  <c r="AF35" i="17" s="1"/>
  <c r="AI22" i="17"/>
  <c r="AI35" i="17" s="1"/>
  <c r="AL22" i="17"/>
  <c r="AL35" i="17" s="1"/>
  <c r="AL104" i="17"/>
  <c r="AL110" i="17" s="1"/>
  <c r="K88" i="17"/>
  <c r="K92" i="17" s="1"/>
  <c r="W97" i="17"/>
  <c r="W102" i="17" s="1"/>
  <c r="V102" i="17"/>
  <c r="K97" i="17"/>
  <c r="K102" i="17" s="1"/>
  <c r="H136" i="17"/>
  <c r="H143" i="17" s="1"/>
  <c r="H97" i="17"/>
  <c r="H102" i="17" s="1"/>
  <c r="H104" i="17"/>
  <c r="H110" i="17" s="1"/>
  <c r="K104" i="17"/>
  <c r="K110" i="17" s="1"/>
  <c r="N104" i="17"/>
  <c r="N110" i="17" s="1"/>
  <c r="Q104" i="17"/>
  <c r="Q110" i="17" s="1"/>
  <c r="S119" i="17"/>
  <c r="T114" i="17"/>
  <c r="T119" i="17" s="1"/>
  <c r="Z136" i="17"/>
  <c r="Z143" i="17" s="1"/>
  <c r="Y143" i="17"/>
  <c r="AC128" i="17"/>
  <c r="AC134" i="17" s="1"/>
  <c r="N41" i="17"/>
  <c r="N48" i="17" s="1"/>
  <c r="N84" i="17"/>
  <c r="N78" i="17" s="1"/>
  <c r="Z55" i="17"/>
  <c r="Z71" i="17" s="1"/>
  <c r="Y71" i="17"/>
  <c r="H121" i="17"/>
  <c r="H126" i="17" s="1"/>
  <c r="K128" i="17"/>
  <c r="K134" i="17" s="1"/>
  <c r="T136" i="17"/>
  <c r="T143" i="17" s="1"/>
  <c r="S143" i="17"/>
  <c r="Y86" i="17"/>
  <c r="Z80" i="17"/>
  <c r="W88" i="17"/>
  <c r="W92" i="17" s="1"/>
  <c r="V92" i="17"/>
  <c r="W112" i="17"/>
  <c r="W119" i="17" s="1"/>
  <c r="V119" i="17"/>
  <c r="Z16" i="17"/>
  <c r="Z88" i="17"/>
  <c r="Z92" i="17" s="1"/>
  <c r="Y92" i="17"/>
  <c r="AI121" i="17"/>
  <c r="AI126" i="17" s="1"/>
  <c r="Z41" i="17"/>
  <c r="Z48" i="17" s="1"/>
  <c r="Y48" i="17"/>
  <c r="Z84" i="17"/>
  <c r="Z78" i="17" s="1"/>
  <c r="Y78" i="17"/>
  <c r="AC121" i="17"/>
  <c r="AC126" i="17" s="1"/>
  <c r="T121" i="17"/>
  <c r="T126" i="17" s="1"/>
  <c r="S126" i="17"/>
  <c r="W128" i="17"/>
  <c r="W134" i="17" s="1"/>
  <c r="V134" i="17"/>
  <c r="AI55" i="17"/>
  <c r="AI71" i="17" s="1"/>
  <c r="AI97" i="17"/>
  <c r="AI102" i="17" s="1"/>
  <c r="AL41" i="17"/>
  <c r="AL48" i="17" s="1"/>
  <c r="AC104" i="17"/>
  <c r="AC110" i="17" s="1"/>
  <c r="AF104" i="17"/>
  <c r="AF110" i="17" s="1"/>
  <c r="AI104" i="17"/>
  <c r="AI110" i="17" s="1"/>
  <c r="AI41" i="17"/>
  <c r="AI48" i="17" s="1"/>
  <c r="AI84" i="17"/>
  <c r="AI78" i="17" s="1"/>
  <c r="AL55" i="17"/>
  <c r="AL71" i="17" s="1"/>
  <c r="AL97" i="17"/>
  <c r="AL102" i="17" s="1"/>
  <c r="AL88" i="17"/>
  <c r="AL92" i="17" s="1"/>
  <c r="E5" i="17"/>
  <c r="AN5" i="17"/>
  <c r="AO5" i="17" s="1"/>
  <c r="AO107" i="17" l="1"/>
  <c r="W86" i="17"/>
  <c r="W157" i="17" s="1"/>
  <c r="Z86" i="17"/>
  <c r="Z157" i="17" s="1"/>
  <c r="Q86" i="17"/>
  <c r="Q157" i="17" s="1"/>
  <c r="AL86" i="17"/>
  <c r="AL157" i="17" s="1"/>
  <c r="AC86" i="17"/>
  <c r="AC157" i="17" s="1"/>
  <c r="N86" i="17"/>
  <c r="N157" i="17" s="1"/>
  <c r="AF86" i="17"/>
  <c r="AF157" i="17" s="1"/>
  <c r="H86" i="17"/>
  <c r="H157" i="17" s="1"/>
  <c r="AI86" i="17"/>
  <c r="AI157" i="17" s="1"/>
  <c r="T86" i="17"/>
  <c r="T157" i="17" s="1"/>
  <c r="K86" i="17"/>
  <c r="K157" i="17" s="1"/>
  <c r="K36" i="17"/>
  <c r="AE36" i="17"/>
  <c r="M36" i="17"/>
  <c r="AB36" i="17"/>
  <c r="J36" i="17"/>
  <c r="AH157" i="17"/>
  <c r="M157" i="17"/>
  <c r="AE157" i="17"/>
  <c r="G157" i="17"/>
  <c r="AK157" i="17"/>
  <c r="P36" i="17"/>
  <c r="AB157" i="17"/>
  <c r="G36" i="17"/>
  <c r="P157" i="17"/>
  <c r="AH36" i="17"/>
  <c r="J157" i="17"/>
  <c r="AK36" i="17"/>
  <c r="W36" i="17"/>
  <c r="T36" i="17"/>
  <c r="V36" i="17"/>
  <c r="Z36" i="17"/>
  <c r="S36" i="17"/>
  <c r="Q36" i="17"/>
  <c r="Y157" i="17"/>
  <c r="S157" i="17"/>
  <c r="V157" i="17"/>
  <c r="AL36" i="17"/>
  <c r="AF36" i="17"/>
  <c r="AI36" i="17"/>
  <c r="AC36" i="17"/>
  <c r="Y36" i="17"/>
  <c r="N36" i="17"/>
  <c r="H36" i="17"/>
  <c r="AP3" i="17"/>
  <c r="AP2" i="17"/>
  <c r="C143" i="17"/>
  <c r="C86" i="17"/>
  <c r="C92" i="17"/>
  <c r="C78" i="17"/>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G62"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D3" i="19"/>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F109" i="18"/>
  <c r="F105" i="18"/>
  <c r="F102" i="18"/>
  <c r="F99" i="18"/>
  <c r="F95" i="18"/>
  <c r="F93" i="18"/>
  <c r="F88" i="18"/>
  <c r="F84" i="18"/>
  <c r="F74" i="18"/>
  <c r="J72" i="18"/>
  <c r="F72" i="18" s="1"/>
  <c r="J68" i="18"/>
  <c r="F68" i="18" s="1"/>
  <c r="F64" i="18"/>
  <c r="J54" i="18"/>
  <c r="F54" i="18" s="1"/>
  <c r="J39" i="18"/>
  <c r="F39" i="18" s="1"/>
  <c r="G39" i="18" s="1"/>
  <c r="G40" i="18" s="1"/>
  <c r="G41" i="18" s="1"/>
  <c r="G42" i="18" s="1"/>
  <c r="G43" i="18" s="1"/>
  <c r="G44" i="18" s="1"/>
  <c r="G45" i="18" s="1"/>
  <c r="AP7" i="17" l="1"/>
  <c r="J47" i="18"/>
  <c r="F46" i="18" s="1"/>
  <c r="G46" i="18" s="1"/>
  <c r="G47" i="18" s="1"/>
  <c r="G48" i="18" s="1"/>
  <c r="G49" i="18" s="1"/>
  <c r="G50" i="18" s="1"/>
  <c r="G51" i="18" s="1"/>
  <c r="G52" i="18" s="1"/>
  <c r="G53" i="18" s="1"/>
  <c r="G54" i="18" s="1"/>
  <c r="G55" i="18" s="1"/>
  <c r="G56" i="18" s="1"/>
  <c r="G57" i="18" s="1"/>
  <c r="G64" i="18" l="1"/>
  <c r="G65" i="18" s="1"/>
  <c r="G63" i="18" l="1"/>
  <c r="G66" i="18"/>
  <c r="G67" i="18" s="1"/>
  <c r="G68" i="18" s="1"/>
  <c r="G69" i="18" s="1"/>
  <c r="G70" i="18" s="1"/>
  <c r="G71" i="18" s="1"/>
  <c r="G72" i="18" s="1"/>
  <c r="G73" i="18" s="1"/>
  <c r="G74" i="18" s="1"/>
  <c r="G75" i="18" s="1"/>
  <c r="G76" i="18" s="1"/>
  <c r="G77" i="18" s="1"/>
  <c r="G78" i="18" s="1"/>
  <c r="G79" i="18" s="1"/>
  <c r="G80" i="18" s="1"/>
  <c r="G81" i="18" s="1"/>
  <c r="G82" i="18" s="1"/>
  <c r="G83" i="18" s="1"/>
  <c r="G84" i="18" s="1"/>
  <c r="G85" i="18" s="1"/>
  <c r="G86" i="18" s="1"/>
  <c r="G87" i="18" s="1"/>
  <c r="G88" i="18" s="1"/>
  <c r="G89" i="18" s="1"/>
  <c r="G90" i="18" s="1"/>
  <c r="G91" i="18" s="1"/>
  <c r="G92" i="18" s="1"/>
  <c r="G93" i="18" s="1"/>
  <c r="G94" i="18" s="1"/>
  <c r="G95" i="18" s="1"/>
  <c r="G96" i="18" s="1"/>
  <c r="G97" i="18" s="1"/>
  <c r="G98" i="18" s="1"/>
  <c r="G99" i="18" s="1"/>
  <c r="G100" i="18" s="1"/>
  <c r="G101" i="18" s="1"/>
  <c r="G102" i="18" s="1"/>
  <c r="G103" i="18" s="1"/>
  <c r="G104" i="18" s="1"/>
  <c r="G105" i="18" s="1"/>
  <c r="G106" i="18" s="1"/>
  <c r="G107" i="18" s="1"/>
  <c r="G108" i="18" s="1"/>
  <c r="G109" i="18" s="1"/>
  <c r="G110" i="18" s="1"/>
  <c r="G111" i="18" s="1"/>
  <c r="G112" i="18" l="1"/>
  <c r="G113" i="18" s="1"/>
  <c r="AM152" i="17" l="1"/>
  <c r="AM157" i="17" s="1"/>
  <c r="C35" i="17"/>
  <c r="C36" i="17" s="1"/>
  <c r="AM16" i="17"/>
  <c r="AM36" i="17" s="1"/>
  <c r="C152" i="17"/>
  <c r="C157" i="17" s="1"/>
  <c r="I7" i="12" l="1"/>
  <c r="M72" i="12"/>
  <c r="L72" i="12"/>
  <c r="L12" i="12" s="1"/>
  <c r="K72" i="12"/>
  <c r="K12" i="12" s="1"/>
  <c r="J72" i="12"/>
  <c r="J12" i="12" s="1"/>
  <c r="I72" i="12"/>
  <c r="I12" i="12" s="1"/>
  <c r="M66" i="12"/>
  <c r="M11" i="12" s="1"/>
  <c r="L66" i="12"/>
  <c r="L11" i="12" s="1"/>
  <c r="K66" i="12"/>
  <c r="K11" i="12" s="1"/>
  <c r="J66" i="12"/>
  <c r="J11" i="12" s="1"/>
  <c r="I66" i="12"/>
  <c r="I11" i="12" s="1"/>
  <c r="M58" i="12"/>
  <c r="L58" i="12"/>
  <c r="K58" i="12"/>
  <c r="J58" i="12"/>
  <c r="I58" i="12"/>
  <c r="M49" i="12"/>
  <c r="L49" i="12"/>
  <c r="K49" i="12"/>
  <c r="J49" i="12"/>
  <c r="I49" i="12"/>
  <c r="M41" i="12"/>
  <c r="L41" i="12"/>
  <c r="K41" i="12"/>
  <c r="J41" i="12"/>
  <c r="I41" i="12"/>
  <c r="M32" i="12"/>
  <c r="L32" i="12"/>
  <c r="K32" i="12"/>
  <c r="J32" i="12"/>
  <c r="I32" i="12"/>
  <c r="M12" i="12"/>
  <c r="M9" i="12"/>
  <c r="L9" i="12"/>
  <c r="K9" i="12"/>
  <c r="J9" i="12"/>
  <c r="I9" i="12"/>
  <c r="M7" i="12"/>
  <c r="L7" i="12"/>
  <c r="K7" i="12"/>
  <c r="J7" i="12"/>
  <c r="H9" i="12"/>
  <c r="G9" i="12"/>
  <c r="F9" i="12"/>
  <c r="E9" i="12"/>
  <c r="C9" i="12"/>
  <c r="B9" i="12"/>
  <c r="D9" i="12"/>
  <c r="D8" i="12"/>
  <c r="D66" i="12"/>
  <c r="D11" i="12" s="1"/>
  <c r="B7" i="12"/>
  <c r="D4" i="12"/>
  <c r="D7" i="12" s="1"/>
  <c r="E12" i="12"/>
  <c r="H7" i="12"/>
  <c r="G7" i="12"/>
  <c r="F7" i="12"/>
  <c r="E7" i="12"/>
  <c r="C7" i="12"/>
  <c r="H72" i="12"/>
  <c r="H12" i="12" s="1"/>
  <c r="G72" i="12"/>
  <c r="G12" i="12" s="1"/>
  <c r="F72" i="12"/>
  <c r="F12" i="12" s="1"/>
  <c r="E72" i="12"/>
  <c r="D72" i="12"/>
  <c r="D12" i="12" s="1"/>
  <c r="C72" i="12"/>
  <c r="C12" i="12" s="1"/>
  <c r="H66" i="12"/>
  <c r="H11" i="12" s="1"/>
  <c r="G66" i="12"/>
  <c r="G11" i="12" s="1"/>
  <c r="F66" i="12"/>
  <c r="F11" i="12" s="1"/>
  <c r="E66" i="12"/>
  <c r="E11" i="12" s="1"/>
  <c r="C66" i="12"/>
  <c r="C11" i="12" s="1"/>
  <c r="B72" i="12"/>
  <c r="B12" i="12" s="1"/>
  <c r="B66" i="12"/>
  <c r="B11" i="12" s="1"/>
  <c r="I10" i="12" l="1"/>
  <c r="M10" i="12"/>
  <c r="M13" i="12" s="1"/>
  <c r="O58" i="12"/>
  <c r="O66" i="12"/>
  <c r="O72" i="12"/>
  <c r="L10" i="12"/>
  <c r="L13" i="12" s="1"/>
  <c r="K10" i="12"/>
  <c r="K13" i="12" s="1"/>
  <c r="J10" i="12"/>
  <c r="I13" i="12"/>
  <c r="J13" i="12"/>
  <c r="O73" i="12" l="1"/>
  <c r="B32" i="12"/>
  <c r="C32" i="12"/>
  <c r="D32" i="12"/>
  <c r="E32" i="12"/>
  <c r="F32" i="12"/>
  <c r="G32" i="12"/>
  <c r="H32" i="12"/>
  <c r="B41" i="12"/>
  <c r="C41" i="12"/>
  <c r="D41" i="12"/>
  <c r="E41" i="12"/>
  <c r="F41" i="12"/>
  <c r="G41" i="12"/>
  <c r="H41" i="12"/>
  <c r="B49" i="12"/>
  <c r="C49" i="12"/>
  <c r="D49" i="12"/>
  <c r="E49" i="12"/>
  <c r="F49" i="12"/>
  <c r="G49" i="12"/>
  <c r="H49" i="12"/>
  <c r="B58" i="12"/>
  <c r="C58" i="12"/>
  <c r="D58" i="12"/>
  <c r="E58" i="12"/>
  <c r="F58" i="12"/>
  <c r="G58" i="12"/>
  <c r="H58" i="12"/>
  <c r="H10" i="12" l="1"/>
  <c r="D10" i="12"/>
  <c r="D13" i="12" s="1"/>
  <c r="G10" i="12"/>
  <c r="G13" i="12" s="1"/>
  <c r="F10" i="12"/>
  <c r="F13" i="12" s="1"/>
  <c r="B10" i="12"/>
  <c r="B13" i="12" s="1"/>
  <c r="C10" i="12"/>
  <c r="C13" i="12" s="1"/>
  <c r="E10" i="12"/>
  <c r="E13" i="12" s="1"/>
  <c r="H13" i="12"/>
  <c r="D30" i="17" l="1"/>
  <c r="AN30" i="17" s="1"/>
  <c r="AO30" i="17" s="1"/>
  <c r="D28" i="17"/>
  <c r="AN28" i="17" s="1"/>
  <c r="AO28" i="17" s="1"/>
  <c r="D14" i="17"/>
  <c r="AN14" i="17" s="1"/>
  <c r="AO14" i="17" s="1"/>
  <c r="AQ10" i="17"/>
  <c r="AR10" i="17" s="1"/>
  <c r="D10" i="17"/>
  <c r="AN10" i="17" s="1"/>
  <c r="AO10" i="17" s="1"/>
  <c r="D25" i="17"/>
  <c r="AN94" i="17"/>
  <c r="AO94" i="17" s="1"/>
  <c r="AN7" i="17"/>
  <c r="AO7" i="17" s="1"/>
  <c r="AN128" i="17"/>
  <c r="AN60" i="17"/>
  <c r="AO60" i="17" s="1"/>
  <c r="AN73" i="17"/>
  <c r="AO73" i="17" s="1"/>
  <c r="AN76" i="17"/>
  <c r="AO76" i="17" s="1"/>
  <c r="AN55" i="17"/>
  <c r="AN66" i="17"/>
  <c r="AO66" i="17" s="1"/>
  <c r="D34" i="17"/>
  <c r="AN34" i="17" s="1"/>
  <c r="AO34" i="17" s="1"/>
  <c r="AN88" i="17"/>
  <c r="AN85" i="17"/>
  <c r="AO85" i="17" s="1"/>
  <c r="AN131" i="17"/>
  <c r="AO131" i="17" s="1"/>
  <c r="AN146" i="17"/>
  <c r="AO146" i="17" s="1"/>
  <c r="AN75" i="17"/>
  <c r="AO75" i="17" s="1"/>
  <c r="AN150" i="17"/>
  <c r="AO150" i="17" s="1"/>
  <c r="AN100" i="17"/>
  <c r="AO100" i="17" s="1"/>
  <c r="AN99" i="17"/>
  <c r="AO99" i="17" s="1"/>
  <c r="D15" i="17"/>
  <c r="AN15" i="17" s="1"/>
  <c r="AO15" i="17" s="1"/>
  <c r="AN64" i="17"/>
  <c r="AO64" i="17" s="1"/>
  <c r="AN63" i="17"/>
  <c r="AO63" i="17" s="1"/>
  <c r="AN98" i="17"/>
  <c r="AO98" i="17" s="1"/>
  <c r="AN84" i="17"/>
  <c r="AN67" i="17"/>
  <c r="AO67" i="17" s="1"/>
  <c r="AN80" i="17"/>
  <c r="D12" i="17"/>
  <c r="AN12" i="17" s="1"/>
  <c r="AO12" i="17" s="1"/>
  <c r="AN82" i="17"/>
  <c r="AO82" i="17" s="1"/>
  <c r="AN130" i="17"/>
  <c r="AO130" i="17" s="1"/>
  <c r="AN68" i="17"/>
  <c r="AO68" i="17" s="1"/>
  <c r="AN96" i="17"/>
  <c r="AO96" i="17" s="1"/>
  <c r="AN89" i="17"/>
  <c r="AO89" i="17" s="1"/>
  <c r="AN112" i="17"/>
  <c r="AN101" i="17"/>
  <c r="AO101" i="17" s="1"/>
  <c r="D6" i="17"/>
  <c r="AN6" i="17" s="1"/>
  <c r="AN139" i="17"/>
  <c r="AO139" i="17" s="1"/>
  <c r="AN104" i="17"/>
  <c r="AN42" i="17"/>
  <c r="AO42" i="17" s="1"/>
  <c r="AN118" i="17"/>
  <c r="AO118" i="17" s="1"/>
  <c r="D18" i="17"/>
  <c r="AN18" i="17" s="1"/>
  <c r="AO18" i="17" s="1"/>
  <c r="AN106" i="17"/>
  <c r="AO106" i="17" s="1"/>
  <c r="D9" i="17"/>
  <c r="AN9" i="17" s="1"/>
  <c r="AO9" i="17" s="1"/>
  <c r="AN70" i="17"/>
  <c r="AO70" i="17" s="1"/>
  <c r="AN77" i="17"/>
  <c r="AO77" i="17" s="1"/>
  <c r="AN65" i="17"/>
  <c r="AO65" i="17" s="1"/>
  <c r="AN137" i="17"/>
  <c r="AO137" i="17" s="1"/>
  <c r="AN122" i="17"/>
  <c r="AO122" i="17" s="1"/>
  <c r="AN105" i="17"/>
  <c r="AN74" i="17"/>
  <c r="AO74" i="17" s="1"/>
  <c r="AN121" i="17"/>
  <c r="AN141" i="17"/>
  <c r="AO141" i="17" s="1"/>
  <c r="D24" i="17"/>
  <c r="AN24" i="17" s="1"/>
  <c r="AO24" i="17" s="1"/>
  <c r="D20" i="17"/>
  <c r="AN20" i="17" s="1"/>
  <c r="AO20" i="17" s="1"/>
  <c r="D19" i="17"/>
  <c r="AN19" i="17" s="1"/>
  <c r="AO19" i="17" s="1"/>
  <c r="D11" i="17"/>
  <c r="AN11" i="17" s="1"/>
  <c r="AO11" i="17" s="1"/>
  <c r="AN61" i="17"/>
  <c r="AO61" i="17" s="1"/>
  <c r="AN81" i="17"/>
  <c r="AO81" i="17" s="1"/>
  <c r="D26" i="17"/>
  <c r="AN26" i="17" s="1"/>
  <c r="AO26" i="17" s="1"/>
  <c r="AN136" i="17"/>
  <c r="AN155" i="17"/>
  <c r="AO155" i="17" s="1"/>
  <c r="AN95" i="17"/>
  <c r="AO95" i="17" s="1"/>
  <c r="AN129" i="17"/>
  <c r="AO129" i="17" s="1"/>
  <c r="AN140" i="17"/>
  <c r="AO140" i="17" s="1"/>
  <c r="AN147" i="17"/>
  <c r="AO147" i="17" s="1"/>
  <c r="AN58" i="17"/>
  <c r="AO58" i="17" s="1"/>
  <c r="AN90" i="17"/>
  <c r="AO90" i="17" s="1"/>
  <c r="AN145" i="17"/>
  <c r="AN156" i="17"/>
  <c r="AO156" i="17" s="1"/>
  <c r="AN91" i="17"/>
  <c r="AO91" i="17" s="1"/>
  <c r="AN148" i="17"/>
  <c r="AO148" i="17" s="1"/>
  <c r="AN83" i="17"/>
  <c r="AO83" i="17" s="1"/>
  <c r="AN69" i="17"/>
  <c r="AO69" i="17" s="1"/>
  <c r="AN62" i="17"/>
  <c r="AO62" i="17" s="1"/>
  <c r="AN154" i="17"/>
  <c r="AO154" i="17" s="1"/>
  <c r="AN114" i="17"/>
  <c r="AO114" i="17" s="1"/>
  <c r="AN124" i="17"/>
  <c r="AO124" i="17" s="1"/>
  <c r="AN132" i="17"/>
  <c r="AO132" i="17" s="1"/>
  <c r="AN59" i="17"/>
  <c r="AO59" i="17" s="1"/>
  <c r="AN115" i="17"/>
  <c r="AO115" i="17" s="1"/>
  <c r="AN123" i="17"/>
  <c r="AO123" i="17" s="1"/>
  <c r="D31" i="17"/>
  <c r="AN31" i="17" s="1"/>
  <c r="AO31" i="17" s="1"/>
  <c r="D41" i="17"/>
  <c r="D23" i="17"/>
  <c r="AN23" i="17" s="1"/>
  <c r="AO105" i="17" l="1"/>
  <c r="AN110" i="17"/>
  <c r="AN78" i="17"/>
  <c r="AO84" i="17"/>
  <c r="AO78" i="17" s="1"/>
  <c r="AO88" i="17"/>
  <c r="AO92" i="17" s="1"/>
  <c r="AN92" i="17"/>
  <c r="AN143" i="17"/>
  <c r="AO136" i="17"/>
  <c r="AO143" i="17" s="1"/>
  <c r="AO6" i="17"/>
  <c r="AO16" i="17" s="1"/>
  <c r="AN16" i="17"/>
  <c r="AN97" i="17"/>
  <c r="D102" i="17"/>
  <c r="AO145" i="17"/>
  <c r="AO152" i="17" s="1"/>
  <c r="AN152" i="17"/>
  <c r="AO121" i="17"/>
  <c r="AO126" i="17" s="1"/>
  <c r="AN126" i="17"/>
  <c r="AN86" i="17"/>
  <c r="AO80" i="17"/>
  <c r="E25" i="17"/>
  <c r="AN25" i="17"/>
  <c r="AO25" i="17" s="1"/>
  <c r="AO23" i="17"/>
  <c r="D48" i="17"/>
  <c r="AN41" i="17"/>
  <c r="AO104" i="17"/>
  <c r="AO112" i="17"/>
  <c r="AO119" i="17" s="1"/>
  <c r="AN119" i="17"/>
  <c r="AO55" i="17"/>
  <c r="AO71" i="17" s="1"/>
  <c r="AN71" i="17"/>
  <c r="AO128" i="17"/>
  <c r="AO134" i="17" s="1"/>
  <c r="AN134" i="17"/>
  <c r="D86" i="17"/>
  <c r="D134" i="17"/>
  <c r="D71" i="17"/>
  <c r="D16" i="17"/>
  <c r="E30" i="17"/>
  <c r="E28" i="17"/>
  <c r="E14" i="17"/>
  <c r="E10" i="17"/>
  <c r="E23" i="17"/>
  <c r="E123" i="17"/>
  <c r="E124" i="17"/>
  <c r="E156" i="17"/>
  <c r="E58" i="17"/>
  <c r="E95" i="17"/>
  <c r="E155" i="17"/>
  <c r="E61" i="17"/>
  <c r="E11" i="17"/>
  <c r="E141" i="17"/>
  <c r="E121" i="17"/>
  <c r="D126" i="17"/>
  <c r="E74" i="17"/>
  <c r="E65" i="17"/>
  <c r="E106" i="17"/>
  <c r="E139" i="17"/>
  <c r="E82" i="17"/>
  <c r="E80" i="17"/>
  <c r="E98" i="17"/>
  <c r="E75" i="17"/>
  <c r="E66" i="17"/>
  <c r="E60" i="17"/>
  <c r="E7" i="17"/>
  <c r="E94" i="17"/>
  <c r="E41" i="17"/>
  <c r="E154" i="17"/>
  <c r="E62" i="17"/>
  <c r="D152" i="17"/>
  <c r="E145" i="17"/>
  <c r="E140" i="17"/>
  <c r="E97" i="17"/>
  <c r="E136" i="17"/>
  <c r="D143" i="17"/>
  <c r="E19" i="17"/>
  <c r="E122" i="17"/>
  <c r="E77" i="17"/>
  <c r="E18" i="17"/>
  <c r="E42" i="17"/>
  <c r="E6" i="17"/>
  <c r="E89" i="17"/>
  <c r="E68" i="17"/>
  <c r="E12" i="17"/>
  <c r="E63" i="17"/>
  <c r="E100" i="17"/>
  <c r="E55" i="17"/>
  <c r="E59" i="17"/>
  <c r="E69" i="17"/>
  <c r="E148" i="17"/>
  <c r="E22" i="17"/>
  <c r="E20" i="17"/>
  <c r="E105" i="17"/>
  <c r="E137" i="17"/>
  <c r="E70" i="17"/>
  <c r="E104" i="17"/>
  <c r="E130" i="17"/>
  <c r="E84" i="17"/>
  <c r="D78" i="17"/>
  <c r="E64" i="17"/>
  <c r="E150" i="17"/>
  <c r="E131" i="17"/>
  <c r="E88" i="17"/>
  <c r="D92" i="17"/>
  <c r="E76" i="17"/>
  <c r="E128" i="17"/>
  <c r="E31" i="17"/>
  <c r="D35" i="17"/>
  <c r="E115" i="17"/>
  <c r="E132" i="17"/>
  <c r="E114" i="17"/>
  <c r="E83" i="17"/>
  <c r="E91" i="17"/>
  <c r="E90" i="17"/>
  <c r="E147" i="17"/>
  <c r="E129" i="17"/>
  <c r="E26" i="17"/>
  <c r="E81" i="17"/>
  <c r="E24" i="17"/>
  <c r="E9" i="17"/>
  <c r="E118" i="17"/>
  <c r="E101" i="17"/>
  <c r="E112" i="17"/>
  <c r="D119" i="17"/>
  <c r="E96" i="17"/>
  <c r="E67" i="17"/>
  <c r="E15" i="17"/>
  <c r="E99" i="17"/>
  <c r="E146" i="17"/>
  <c r="E85" i="17"/>
  <c r="E34" i="17"/>
  <c r="E73" i="17"/>
  <c r="AO86" i="17" l="1"/>
  <c r="AO110" i="17"/>
  <c r="E110" i="17"/>
  <c r="E102" i="17"/>
  <c r="AO35" i="17"/>
  <c r="AO36" i="17" s="1"/>
  <c r="AN48" i="17"/>
  <c r="AO41" i="17"/>
  <c r="AO48" i="17" s="1"/>
  <c r="D157" i="17"/>
  <c r="AN35" i="17"/>
  <c r="AN36" i="17" s="1"/>
  <c r="AN102" i="17"/>
  <c r="AO97" i="17"/>
  <c r="AO102" i="17" s="1"/>
  <c r="E48" i="17"/>
  <c r="E71" i="17"/>
  <c r="E152" i="17"/>
  <c r="E78" i="17"/>
  <c r="D36" i="17"/>
  <c r="E134" i="17"/>
  <c r="E143" i="17"/>
  <c r="E86" i="17"/>
  <c r="E126" i="17"/>
  <c r="E35" i="17"/>
  <c r="E119" i="17"/>
  <c r="E92" i="17"/>
  <c r="E16" i="17"/>
  <c r="AN157" i="17" l="1"/>
  <c r="E157" i="17"/>
  <c r="AO157" i="17"/>
  <c r="E36" i="17"/>
  <c r="E151" i="23" l="1"/>
  <c r="E76" i="23"/>
  <c r="E13" i="23"/>
  <c r="E84" i="23"/>
  <c r="E48" i="23"/>
  <c r="E120" i="23"/>
  <c r="E2" i="23"/>
  <c r="E34" i="23"/>
  <c r="E88" i="23"/>
  <c r="E22" i="23"/>
  <c r="E66" i="23"/>
  <c r="E121" i="23"/>
  <c r="E46" i="23"/>
  <c r="E100" i="23"/>
  <c r="E79" i="23"/>
  <c r="E102" i="23"/>
  <c r="E131" i="23"/>
  <c r="E94" i="23"/>
  <c r="E28" i="23"/>
  <c r="E136" i="23"/>
  <c r="E122" i="23"/>
  <c r="E145" i="23"/>
  <c r="E9" i="23"/>
  <c r="E43" i="23"/>
  <c r="E18" i="23"/>
  <c r="E49" i="23"/>
  <c r="E62" i="23"/>
  <c r="E38" i="23"/>
  <c r="E128" i="23"/>
  <c r="E111" i="23"/>
  <c r="E85" i="23"/>
  <c r="E57" i="23"/>
  <c r="E47" i="23"/>
  <c r="E29" i="23"/>
  <c r="E5" i="23"/>
  <c r="E125" i="23"/>
  <c r="E105" i="23"/>
  <c r="E72" i="23"/>
  <c r="E68" i="23"/>
  <c r="E60" i="23"/>
  <c r="E36" i="23"/>
  <c r="E25" i="23"/>
  <c r="E141" i="23"/>
  <c r="E104" i="23"/>
  <c r="E90" i="23"/>
  <c r="E31" i="23"/>
  <c r="E129" i="23"/>
  <c r="E89" i="23"/>
  <c r="E65" i="23"/>
  <c r="E119" i="23"/>
  <c r="E143" i="23"/>
  <c r="E24" i="23"/>
  <c r="E98" i="23"/>
  <c r="E118" i="23"/>
  <c r="E135" i="23"/>
  <c r="E33" i="23"/>
  <c r="E44" i="23"/>
  <c r="E56" i="23"/>
  <c r="E71" i="23"/>
  <c r="E81" i="23"/>
  <c r="E103" i="23"/>
  <c r="E147" i="23"/>
  <c r="E10" i="23"/>
  <c r="E27" i="23"/>
  <c r="E55" i="23"/>
  <c r="E61" i="23"/>
  <c r="E82" i="23"/>
  <c r="E127" i="23"/>
  <c r="E146" i="23"/>
  <c r="E126" i="23"/>
  <c r="E54" i="23"/>
  <c r="E15" i="23"/>
  <c r="E137" i="23"/>
  <c r="E70" i="23"/>
  <c r="E52" i="23"/>
  <c r="E30" i="23"/>
  <c r="E93" i="23"/>
  <c r="E142" i="23"/>
  <c r="E12" i="23"/>
  <c r="E6" i="23"/>
  <c r="E91" i="23"/>
  <c r="E124" i="23"/>
  <c r="E51" i="23"/>
  <c r="E69" i="23"/>
  <c r="E96" i="23"/>
  <c r="E14" i="23"/>
  <c r="E50" i="23"/>
  <c r="E77" i="23"/>
  <c r="E130" i="23"/>
  <c r="E87" i="23"/>
  <c r="E58" i="23"/>
  <c r="E95" i="23"/>
  <c r="E59" i="23"/>
  <c r="E45" i="23"/>
  <c r="E116" i="23"/>
  <c r="E78" i="23"/>
  <c r="E67" i="23"/>
  <c r="E20" i="23"/>
  <c r="E110" i="23"/>
  <c r="E75" i="23"/>
  <c r="E101" i="23"/>
  <c r="E7" i="23"/>
  <c r="E134" i="23"/>
  <c r="E108" i="23"/>
  <c r="E17" i="23"/>
  <c r="E42" i="23"/>
  <c r="E73" i="23"/>
  <c r="E109" i="23"/>
  <c r="E8" i="23"/>
  <c r="I284" i="22"/>
  <c r="I285" i="22" s="1"/>
  <c r="I286" i="22" s="1"/>
  <c r="I287" i="22" s="1"/>
  <c r="I289" i="22" l="1"/>
  <c r="I290" i="22" s="1"/>
  <c r="I291" i="22" s="1"/>
  <c r="I292" i="22" s="1"/>
  <c r="I293" i="22" s="1"/>
  <c r="I294" i="22" s="1"/>
  <c r="I295" i="22" s="1"/>
  <c r="I296" i="22" s="1"/>
  <c r="I297" i="22" s="1"/>
  <c r="I298" i="22" s="1"/>
  <c r="I299" i="22" s="1"/>
  <c r="I300" i="22" s="1"/>
  <c r="I301" i="22" s="1"/>
  <c r="I302" i="22" s="1"/>
  <c r="I303" i="22" s="1"/>
  <c r="I304" i="22" s="1"/>
  <c r="I305" i="22" s="1"/>
  <c r="I306" i="22" s="1"/>
  <c r="I307" i="22" s="1"/>
  <c r="I308" i="22" s="1"/>
  <c r="I309" i="22" s="1"/>
  <c r="I310" i="22" s="1"/>
  <c r="I311" i="22" s="1"/>
  <c r="I312" i="22" s="1"/>
  <c r="I313" i="22" s="1"/>
  <c r="I314" i="22" s="1"/>
  <c r="I315" i="22" s="1"/>
  <c r="I316" i="22" s="1"/>
  <c r="I317" i="22" s="1"/>
  <c r="I318" i="22" s="1"/>
  <c r="I319" i="22" s="1"/>
  <c r="I320" i="22" s="1"/>
  <c r="I321" i="22" s="1"/>
  <c r="I322" i="22" s="1"/>
  <c r="I323" i="22" s="1"/>
  <c r="I324" i="22" s="1"/>
  <c r="I325" i="22" s="1"/>
  <c r="I326" i="22" s="1"/>
  <c r="I327" i="22" s="1"/>
  <c r="I328" i="22" s="1"/>
  <c r="I329" i="22" s="1"/>
  <c r="I330" i="22" s="1"/>
  <c r="I331" i="22" s="1"/>
  <c r="I332" i="22" s="1"/>
  <c r="I333" i="22" s="1"/>
  <c r="I334" i="22" s="1"/>
  <c r="I335" i="22" s="1"/>
  <c r="I336" i="22" s="1"/>
  <c r="I337" i="22" s="1"/>
  <c r="I338" i="22" s="1"/>
  <c r="I339" i="22" s="1"/>
  <c r="I340" i="22" s="1"/>
  <c r="I341" i="22" s="1"/>
  <c r="I342" i="22" s="1"/>
  <c r="I343" i="22" s="1"/>
  <c r="I344" i="22" s="1"/>
  <c r="I345" i="22" s="1"/>
  <c r="I346" i="22" s="1"/>
  <c r="I347" i="22" s="1"/>
  <c r="I348" i="22" s="1"/>
  <c r="I349" i="22" s="1"/>
  <c r="I350" i="22" s="1"/>
  <c r="I351" i="22" s="1"/>
  <c r="I352" i="22" s="1"/>
  <c r="I353" i="22" s="1"/>
  <c r="I288"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tc={DD3DCE22-A831-FD4C-A56D-68E18FD43E96}</author>
    <author>tc={2DF6FAF5-6228-CB4C-9A52-D3B2552A38DC}</author>
    <author>tc={44EB40E2-4243-7D4A-ADF3-FCF1376902E6}</author>
    <author>tc={B8790A08-C8DD-2543-BF5D-51D6A4E471FE}</author>
    <author>tc={37AFC0A4-ADAD-5243-B500-5A34F4A188F5}</author>
    <author>tc={E6BC2C7F-CCA3-784D-9823-320BBAFF3286}</author>
    <author>tc={6BCA505E-3C56-A44A-8F44-B1BAC192E9C9}</author>
    <author>tc={7C4DB7D6-AF81-4C42-B5AA-F80557710392}</author>
    <author>tc={3D37C886-F7E8-434D-B107-252693D32D90}</author>
    <author>tc={7688AC67-FA50-ED4B-85FE-37FC652FE813}</author>
    <author>tc={0ABFA075-489F-7347-930D-17DE83C2A890}</author>
    <author>tc={2B43C4E7-8008-074A-9933-18CDF2F13EB7}</author>
    <author>tc={0401DB05-7455-7F43-8304-EDB0D331F5FC}</author>
    <author>tc={32BF7363-CAB6-784E-9DDD-44F75CB8C808}</author>
    <author>tc={655B5589-0FBE-7B4F-97D0-75427B68FFF8}</author>
    <author>tc={38A38BD9-23DB-49B2-BCB8-4E1230BDB05A}</author>
    <author>tc={DDAD23A3-CD28-4733-AA6A-208BCF41BF3F}</author>
    <author>tc={4DBEFA22-9B21-480A-8331-4D00FFE3A5AD}</author>
    <author>tc={AEF16EBB-B110-4CFB-890B-DC38C4E45F92}</author>
    <author>tc={A8024574-87DB-47D4-862B-99462B1F5FAF}</author>
    <author>tc={C5EA1F25-C1E6-164C-8F49-D203CCD122BD}</author>
    <author>tc={D6A03584-7A3C-AD4C-8D16-84DA71F92F7A}</author>
    <author>tc={20EFAB50-2D5F-634D-B580-F1C2755AB160}</author>
    <author>tc={117F239E-35E7-A543-B934-89BA982603F1}</author>
    <author>tc={4E25E4D3-0A60-284A-AED4-C9E2F52ACE46}</author>
    <author>tc={64D00968-EE7D-5C4D-935F-E0ADBE33AEA8}</author>
    <author>tc={561BEC7C-7554-A04B-8812-3AF67A8AC642}</author>
    <author>tc={F2C81144-92FA-7E44-A8C0-6C4F0F990FBA}</author>
    <author>tc={93DDAA28-7C51-4D43-B10E-5FF4904F94B4}</author>
    <author>tc={4100875E-EEFE-9346-A126-3417BBC8F76A}</author>
    <author>tc={6C29D04E-9905-F14F-86FD-80B632F38F67}</author>
    <author>tc={1BB00621-C277-D445-89EA-0AD3211C9C95}</author>
    <author>tc={48BE3DFB-6190-E64E-ABE5-E3784DCBD048}</author>
    <author>tc={C1A11585-6E55-1241-A647-ADAF3BF640B2}</author>
    <author>tc={FD1A902F-FCB5-0442-8081-75BEAB0B3DAF}</author>
    <author>tc={A47E063C-9E72-8B4B-BE03-8335FEC72593}</author>
    <author>tc={08FBC8B5-BA7D-D543-9467-8E55CE38BE4A}</author>
    <author>tc={868A9549-0792-F745-B47F-6223A40F697D}</author>
    <author>tc={1414969B-C20E-0A42-99A2-20BB638EA574}</author>
    <author>tc={FEDD0A7E-4E46-4446-AC63-C65E743F2F72}</author>
    <author>tc={352874BE-9904-0048-8758-B69EDB2CD28B}</author>
    <author>tc={1F9256E3-3D57-2E42-8E33-DFAE24126605}</author>
    <author>tc={10410A3E-A533-FD46-B719-BAB8905E9BB9}</author>
    <author>tc={730C1A8B-E7EA-D94D-A893-084E56D6500D}</author>
    <author>tc={9F26A1EF-8766-554E-8B23-5D4BEAA08C0C}</author>
    <author>tc={4D6FB39B-B77E-EC4C-AAFE-7CA2DF2D3326}</author>
    <author>tc={251AA714-1D8E-504E-8FAB-C9FFA1190BE9}</author>
    <author>tc={6952A703-9F29-7A41-9D5F-A9713D750603}</author>
    <author>tc={052CAB75-E65D-2647-BF48-40D0B07DAF67}</author>
    <author>tc={F95E23B8-8889-264A-8196-40AC2BFA5D84}</author>
    <author>tc={2960A1F8-C509-154B-944A-9ECD2B539C06}</author>
    <author>tc={53550301-CAD4-FF48-9C08-BD553C71D2A9}</author>
    <author>tc={9824562C-45AC-0F49-A0EA-BFFE56F7BB45}</author>
    <author>tc={E509452A-A5C1-F540-8288-10EABEBADC5B}</author>
    <author>tc={3E643868-43E6-4DAC-903F-22151D48E206}</author>
    <author>tc={FF5884F1-143D-D849-9C98-CF54D6D6F35A}</author>
    <author>tc={04AF7C4E-575B-2440-B40F-DEE4380A062D}</author>
    <author>tc={665A898E-0619-DC43-9207-AD1830C848EF}</author>
    <author>tc={662A7CF5-5EC9-4348-B02F-C06872D875DB}</author>
    <author>tc={632F517A-5F88-984E-9036-6ECA68E76FEA}</author>
  </authors>
  <commentList>
    <comment ref="A6" authorId="0" shapeId="0" xr:uid="{DD3DCE22-A831-FD4C-A56D-68E18FD43E96}">
      <text>
        <t>[Threaded comment]
Your version of Excel allows you to read this threaded comment; however, any edits to it will get removed if the file is opened in a newer version of Excel. Learn more: https://go.microsoft.com/fwlink/?linkid=870924
Comment:
    $288 now, Currently working on increasing this amount.  2nd and 4th week each month</t>
      </text>
    </comment>
    <comment ref="A7" authorId="1" shapeId="0" xr:uid="{2DF6FAF5-6228-CB4C-9A52-D3B2552A38DC}">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A9" authorId="2" shapeId="0" xr:uid="{44EB40E2-4243-7D4A-ADF3-FCF1376902E6}">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A11" authorId="3" shapeId="0" xr:uid="{B8790A08-C8DD-2543-BF5D-51D6A4E471FE}">
      <text>
        <t>[Threaded comment]
Your version of Excel allows you to read this threaded comment; however, any edits to it will get removed if the file is opened in a newer version of Excel. Learn more: https://go.microsoft.com/fwlink/?linkid=870924
Comment:
    Reimbursement for expenses outlined in section 8</t>
      </text>
    </comment>
    <comment ref="A12" authorId="4" shapeId="0" xr:uid="{37AFC0A4-ADAD-5243-B500-5A34F4A188F5}">
      <text>
        <t>[Threaded comment]
Your version of Excel allows you to read this threaded comment; however, any edits to it will get removed if the file is opened in a newer version of Excel. Learn more: https://go.microsoft.com/fwlink/?linkid=870924
Comment:
    I don’t want to plan to spend any money here</t>
      </text>
    </comment>
    <comment ref="A15" authorId="5" shapeId="0" xr:uid="{E6BC2C7F-CCA3-784D-9823-320BBAFF3286}">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A18" authorId="6" shapeId="0" xr:uid="{6BCA505E-3C56-A44A-8F44-B1BAC192E9C9}">
      <text>
        <t xml:space="preserve">[Threaded comment]
Your version of Excel allows you to read this threaded comment; however, any edits to it will get removed if the file is opened in a newer version of Excel. Learn more: https://go.microsoft.com/fwlink/?linkid=870924
Comment:
    Easter For Phil
Paula’s Birthday
Mom’s Birthday
Ryan’s Birthday
Dennis’s Birthday
Lauren’s Birthday
Jack and Jill’s Birthday
Reily’s Birthday
Phil’s Birthday
Christmas for all
</t>
      </text>
    </comment>
    <comment ref="A19" authorId="7" shapeId="0" xr:uid="{7C4DB7D6-AF81-4C42-B5AA-F80557710392}">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A20" authorId="8" shapeId="0" xr:uid="{3D37C886-F7E8-434D-B107-252693D32D90}">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A22" authorId="9" shapeId="0" xr:uid="{7688AC67-FA50-ED4B-85FE-37FC652FE813}">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A24" authorId="10" shapeId="0" xr:uid="{0ABFA075-489F-7347-930D-17DE83C2A890}">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A26" authorId="11" shapeId="0" xr:uid="{2B43C4E7-8008-074A-9933-18CDF2F13EB7}">
      <text>
        <t>[Threaded comment]
Your version of Excel allows you to read this threaded comment; however, any edits to it will get removed if the file is opened in a newer version of Excel. Learn more: https://go.microsoft.com/fwlink/?linkid=870924
Comment:
    I don’t want to plan to spend any money here</t>
      </text>
    </comment>
    <comment ref="A28" authorId="12" shapeId="0" xr:uid="{0401DB05-7455-7F43-8304-EDB0D331F5FC}">
      <text>
        <t>[Threaded comment]
Your version of Excel allows you to read this threaded comment; however, any edits to it will get removed if the file is opened in a newer version of Excel. Learn more: https://go.microsoft.com/fwlink/?linkid=870924
Comment:
    Result of NSF costs</t>
      </text>
    </comment>
    <comment ref="A30" authorId="13" shapeId="0" xr:uid="{32BF7363-CAB6-784E-9DDD-44F75CB8C808}">
      <text>
        <t>[Threaded comment]
Your version of Excel allows you to read this threaded comment; however, any edits to it will get removed if the file is opened in a newer version of Excel. Learn more: https://go.microsoft.com/fwlink/?linkid=870924
Comment:
    Normally 100 / month for 8 months since don’t have car use profits from car to pay off purchase</t>
      </text>
    </comment>
    <comment ref="A31" authorId="14" shapeId="0" xr:uid="{655B5589-0FBE-7B4F-97D0-75427B68FFF8}">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A32" authorId="15" shapeId="0" xr:uid="{38A38BD9-23DB-49B2-BCB8-4E1230BDB05A}">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A50" authorId="16" shapeId="0" xr:uid="{DDAD23A3-CD28-4733-AA6A-208BCF41BF3F}">
      <text>
        <t xml:space="preserve">[Threaded comment]
Your version of Excel allows you to read this threaded comment; however, any edits to it will get removed if the file is opened in a newer version of Excel. Learn more: https://go.microsoft.com/fwlink/?linkid=870924
Comment:
    Easter For Phil
Paula’s Birthday
Mom’s Birthday
Ryan’s Birthday
Dennis’s Birthday
Lauren’s Birthday
Jack and Jill’s Birthday
Reily’s Birthday
Phil’s Birthday
Christmas for all
</t>
      </text>
    </comment>
    <comment ref="A51" authorId="17" shapeId="0" xr:uid="{4DBEFA22-9B21-480A-8331-4D00FFE3A5AD}">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A52" authorId="18" shapeId="0" xr:uid="{AEF16EBB-B110-4CFB-890B-DC38C4E45F92}">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A54" authorId="19" shapeId="0" xr:uid="{A8024574-87DB-47D4-862B-99462B1F5FAF}">
      <text>
        <t>[Threaded comment]
Your version of Excel allows you to read this threaded comment; however, any edits to it will get removed if the file is opened in a newer version of Excel. Learn more: https://go.microsoft.com/fwlink/?linkid=870924
Comment:
    $288 now, Currently working on increasing this amount.  2nd and 4th week each month</t>
      </text>
    </comment>
    <comment ref="A55" authorId="20" shapeId="0" xr:uid="{C5EA1F25-C1E6-164C-8F49-D203CCD122BD}">
      <text>
        <t>[Threaded comment]
Your version of Excel allows you to read this threaded comment; however, any edits to it will get removed if the file is opened in a newer version of Excel. Learn more: https://go.microsoft.com/fwlink/?linkid=870924
Comment:
    estimate $100 every 3 months for Phil</t>
      </text>
    </comment>
    <comment ref="A59" authorId="21" shapeId="0" xr:uid="{D6A03584-7A3C-AD4C-8D16-84DA71F92F7A}">
      <text>
        <t>[Threaded comment]
Your version of Excel allows you to read this threaded comment; however, any edits to it will get removed if the file is opened in a newer version of Excel. Learn more: https://go.microsoft.com/fwlink/?linkid=870924
Comment:
    $15/week=$60/month</t>
      </text>
    </comment>
    <comment ref="A60" authorId="22" shapeId="0" xr:uid="{20EFAB50-2D5F-634D-B580-F1C2755AB160}">
      <text>
        <t>[Threaded comment]
Your version of Excel allows you to read this threaded comment; however, any edits to it will get removed if the file is opened in a newer version of Excel. Learn more: https://go.microsoft.com/fwlink/?linkid=870924
Comment:
    Target breakfast 1x/week $10=$40
Going out for dinner 1x/2 weeks $20=$40, Total $80</t>
      </text>
    </comment>
    <comment ref="A61" authorId="23" shapeId="0" xr:uid="{117F239E-35E7-A543-B934-89BA982603F1}">
      <text>
        <t xml:space="preserve">[Threaded comment]
Your version of Excel allows you to read this threaded comment; however, any edits to it will get removed if the file is opened in a newer version of Excel. Learn more: https://go.microsoft.com/fwlink/?linkid=870924
Comment:
    Ice cream sundae 1x/month $8
icee 1x / 2 weeks $2
</t>
      </text>
    </comment>
    <comment ref="A62" authorId="24" shapeId="0" xr:uid="{4E25E4D3-0A60-284A-AED4-C9E2F52ACE46}">
      <text>
        <t>[Threaded comment]
Your version of Excel allows you to read this threaded comment; however, any edits to it will get removed if the file is opened in a newer version of Excel. Learn more: https://go.microsoft.com/fwlink/?linkid=870924
Comment:
    Movies, theature, etc</t>
      </text>
    </comment>
    <comment ref="A63" authorId="25" shapeId="0" xr:uid="{64D00968-EE7D-5C4D-935F-E0ADBE33AEA8}">
      <text>
        <t xml:space="preserve">[Threaded comment]
Your version of Excel allows you to read this threaded comment; however, any edits to it will get removed if the file is opened in a newer version of Excel. Learn more: https://go.microsoft.com/fwlink/?linkid=870924
Comment:
    Easter For Phil
Paula’s Birthday
Mom’s Birthday
Ryan’s Birthday
Dennis’s Birthday
Lauren’s Birthday
Jack and Jill’s Birthday
Reily’s Birthday
Phil’s Birthday
Christmas for all
</t>
      </text>
    </comment>
    <comment ref="A64" authorId="26" shapeId="0" xr:uid="{561BEC7C-7554-A04B-8812-3AF67A8AC642}">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A65" authorId="27" shapeId="0" xr:uid="{F2C81144-92FA-7E44-A8C0-6C4F0F990FBA}">
      <text>
        <t>[Threaded comment]
Your version of Excel allows you to read this threaded comment; however, any edits to it will get removed if the file is opened in a newer version of Excel. Learn more: https://go.microsoft.com/fwlink/?linkid=870924
Comment:
    Altrua $288/mo
Investigate getting rid of Altrua</t>
      </text>
    </comment>
    <comment ref="A66" authorId="28" shapeId="0" xr:uid="{93DDAA28-7C51-4D43-B10E-5FF4904F94B4}">
      <text>
        <t xml:space="preserve">[Threaded comment]
Your version of Excel allows you to read this threaded comment; however, any edits to it will get removed if the file is opened in a newer version of Excel. Learn more: https://go.microsoft.com/fwlink/?linkid=870924
Comment:
    Doctor, Dentist not covered by insurance
</t>
      </text>
    </comment>
    <comment ref="A67" authorId="29" shapeId="0" xr:uid="{4100875E-EEFE-9346-A126-3417BBC8F76A}">
      <text>
        <t xml:space="preserve">[Threaded comment]
Your version of Excel allows you to read this threaded comment; however, any edits to it will get removed if the file is opened in a newer version of Excel. Learn more: https://go.microsoft.com/fwlink/?linkid=870924
Comment:
    Doctor, Dentist not covered by insurance
</t>
      </text>
    </comment>
    <comment ref="A68" authorId="30" shapeId="0" xr:uid="{6C29D04E-9905-F14F-86FD-80B632F38F67}">
      <text>
        <t>[Threaded comment]
Your version of Excel allows you to read this threaded comment; however, any edits to it will get removed if the file is opened in a newer version of Excel. Learn more: https://go.microsoft.com/fwlink/?linkid=870924
Comment:
    Haircut every 2 months</t>
      </text>
    </comment>
    <comment ref="A70" authorId="31" shapeId="0" xr:uid="{1BB00621-C277-D445-89EA-0AD3211C9C95}">
      <text>
        <t>[Threaded comment]
Your version of Excel allows you to read this threaded comment; however, any edits to it will get removed if the file is opened in a newer version of Excel. Learn more: https://go.microsoft.com/fwlink/?linkid=870924
Comment:
    Religious education + field trips</t>
      </text>
    </comment>
    <comment ref="A73" authorId="32" shapeId="0" xr:uid="{48BE3DFB-6190-E64E-ABE5-E3784DCBD048}">
      <text>
        <t>[Threaded comment]
Your version of Excel allows you to read this threaded comment; however, any edits to it will get removed if the file is opened in a newer version of Excel. Learn more: https://go.microsoft.com/fwlink/?linkid=870924
Comment:
    don’t know what to project . . . Target 10% reduction each month</t>
      </text>
    </comment>
    <comment ref="A74" authorId="33" shapeId="0" xr:uid="{C1A11585-6E55-1241-A647-ADAF3BF640B2}">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A75" authorId="34" shapeId="0" xr:uid="{FD1A902F-FCB5-0442-8081-75BEAB0B3DAF}">
      <text>
        <t>[Threaded comment]
Your version of Excel allows you to read this threaded comment; however, any edits to it will get removed if the file is opened in a newer version of Excel. Learn more: https://go.microsoft.com/fwlink/?linkid=870924
Comment:
    School supplies before school starts about $100</t>
      </text>
    </comment>
    <comment ref="A76" authorId="35" shapeId="0" xr:uid="{A47E063C-9E72-8B4B-BE03-8335FEC72593}">
      <text>
        <t>[Threaded comment]
Your version of Excel allows you to read this threaded comment; however, any edits to it will get removed if the file is opened in a newer version of Excel. Learn more: https://go.microsoft.com/fwlink/?linkid=870924
Comment:
    This consists of home project costs.  It should be broken down by project</t>
      </text>
    </comment>
    <comment ref="A80" authorId="36" shapeId="0" xr:uid="{08FBC8B5-BA7D-D543-9467-8E55CE38BE4A}">
      <text>
        <t>[Threaded comment]
Your version of Excel allows you to read this threaded comment; however, any edits to it will get removed if the file is opened in a newer version of Excel. Learn more: https://go.microsoft.com/fwlink/?linkid=870924
Comment:
    $6/2 weeks for car wash, $30 premium oil change and rotation by self</t>
      </text>
    </comment>
    <comment ref="I80" authorId="37" shapeId="0" xr:uid="{868A9549-0792-F745-B47F-6223A40F697D}">
      <text>
        <t xml:space="preserve">[Threaded comment]
Your version of Excel allows you to read this threaded comment; however, any edits to it will get removed if the file is opened in a newer version of Excel. Learn more: https://go.microsoft.com/fwlink/?linkid=870924
Comment:
    New tires front brakes
</t>
      </text>
    </comment>
    <comment ref="A81" authorId="38" shapeId="0" xr:uid="{1414969B-C20E-0A42-99A2-20BB638EA574}">
      <text>
        <t>[Threaded comment]
Your version of Excel allows you to read this threaded comment; however, any edits to it will get removed if the file is opened in a newer version of Excel. Learn more: https://go.microsoft.com/fwlink/?linkid=870924
Comment:
    $30/week based on 2019 usage</t>
      </text>
    </comment>
    <comment ref="A82" authorId="39" shapeId="0" xr:uid="{FEDD0A7E-4E46-4446-AC63-C65E743F2F72}">
      <text>
        <t>[Threaded comment]
Your version of Excel allows you to read this threaded comment; however, any edits to it will get removed if the file is opened in a newer version of Excel. Learn more: https://go.microsoft.com/fwlink/?linkid=870924
Comment:
    1x amount identified for tax info</t>
      </text>
    </comment>
    <comment ref="A84" authorId="40" shapeId="0" xr:uid="{352874BE-9904-0048-8758-B69EDB2CD28B}">
      <text>
        <t>[Threaded comment]
Your version of Excel allows you to read this threaded comment; however, any edits to it will get removed if the file is opened in a newer version of Excel. Learn more: https://go.microsoft.com/fwlink/?linkid=870924
Comment:
    Reduced monthly premium from $1000 to $236 by getting Lauren off car and getting rid of it</t>
      </text>
    </comment>
    <comment ref="A88" authorId="41" shapeId="0" xr:uid="{1F9256E3-3D57-2E42-8E33-DFAE24126605}">
      <text>
        <t>[Threaded comment]
Your version of Excel allows you to read this threaded comment; however, any edits to it will get removed if the file is opened in a newer version of Excel. Learn more: https://go.microsoft.com/fwlink/?linkid=870924
Comment:
    Subscription 2 bags @ $30=$60/2 every odd month + 1 bag@$30/2 every even month</t>
      </text>
    </comment>
    <comment ref="A89" authorId="42" shapeId="0" xr:uid="{10410A3E-A533-FD46-B719-BAB8905E9BB9}">
      <text>
        <t>[Threaded comment]
Your version of Excel allows you to read this threaded comment; however, any edits to it will get removed if the file is opened in a newer version of Excel. Learn more: https://go.microsoft.com/fwlink/?linkid=870924
Comment:
    Interceptor flea, tick, heartworm medicine 1x/3 month $50 Jan Apr Jul Oct</t>
      </text>
    </comment>
    <comment ref="A90" authorId="43" shapeId="0" xr:uid="{730C1A8B-E7EA-D94D-A893-084E56D6500D}">
      <text>
        <t>[Threaded comment]
Your version of Excel allows you to read this threaded comment; however, any edits to it will get removed if the file is opened in a newer version of Excel. Learn more: https://go.microsoft.com/fwlink/?linkid=870924
Comment:
    haircuts $40 each dog x 2 dogs/4 months</t>
      </text>
    </comment>
    <comment ref="A94" authorId="44" shapeId="0" xr:uid="{9F26A1EF-8766-554E-8B23-5D4BEAA08C0C}">
      <text>
        <t xml:space="preserve">[Threaded comment]
Your version of Excel allows you to read this threaded comment; however, any edits to it will get removed if the file is opened in a newer version of Excel. Learn more: https://go.microsoft.com/fwlink/?linkid=870924
Comment:
    Remove Lauren $50/mo from service.  </t>
      </text>
    </comment>
    <comment ref="A95" authorId="45" shapeId="0" xr:uid="{4D6FB39B-B77E-EC4C-AAFE-7CA2DF2D3326}">
      <text>
        <t>[Threaded comment]
Your version of Excel allows you to read this threaded comment; however, any edits to it will get removed if the file is opened in a newer version of Excel. Learn more: https://go.microsoft.com/fwlink/?linkid=870924
Comment:
    $70 / mo to pay off Phil’s computer
$105 in October for MS Office subscription</t>
      </text>
    </comment>
    <comment ref="A96" authorId="46" shapeId="0" xr:uid="{251AA714-1D8E-504E-8FAB-C9FFA1190BE9}">
      <text>
        <t>[Threaded comment]
Your version of Excel allows you to read this threaded comment; however, any edits to it will get removed if the file is opened in a newer version of Excel. Learn more: https://go.microsoft.com/fwlink/?linkid=870924
Comment:
    McAfee Antivirus auto update $120/year</t>
      </text>
    </comment>
    <comment ref="A97" authorId="47" shapeId="0" xr:uid="{6952A703-9F29-7A41-9D5F-A9713D750603}">
      <text>
        <t>[Threaded comment]
Your version of Excel allows you to read this threaded comment; however, any edits to it will get removed if the file is opened in a newer version of Excel. Learn more: https://go.microsoft.com/fwlink/?linkid=870924
Comment:
    Cost is for Netflix each month.  Hulu is paid for by Sprint now</t>
      </text>
    </comment>
    <comment ref="A98" authorId="48" shapeId="0" xr:uid="{052CAB75-E65D-2647-BF48-40D0B07DAF67}">
      <text>
        <t xml:space="preserve">[Threaded comment]
Your version of Excel allows you to read this threaded comment; however, any edits to it will get removed if the file is opened in a newer version of Excel. Learn more: https://go.microsoft.com/fwlink/?linkid=870924
Comment:
    Upgrade Apple TV to Roku Express and remove need to rent Xfinity cable boxes $58.  Save $10/month payback in 6 months. </t>
      </text>
    </comment>
    <comment ref="A99" authorId="49" shapeId="0" xr:uid="{F95E23B8-8889-264A-8196-40AC2BFA5D84}">
      <text>
        <t>[Threaded comment]
Your version of Excel allows you to read this threaded comment; however, any edits to it will get removed if the file is opened in a newer version of Excel. Learn more: https://go.microsoft.com/fwlink/?linkid=870924
Comment:
    Replace Xfinity Cable Modem and Router $144.  Remove rental requirement.  Payback in 10 months.</t>
      </text>
    </comment>
    <comment ref="A100" authorId="50" shapeId="0" xr:uid="{2960A1F8-C509-154B-944A-9ECD2B539C06}">
      <text>
        <t>[Threaded comment]
Your version of Excel allows you to read this threaded comment; however, any edits to it will get removed if the file is opened in a newer version of Excel. Learn more: https://go.microsoft.com/fwlink/?linkid=870924
Comment:
    Get rid of regional sports bring it back for football in the fall, get rid of rented cable modem/router and cable boxes, start using Roku payoff in 4 months</t>
      </text>
    </comment>
    <comment ref="A104" authorId="51" shapeId="0" xr:uid="{53550301-CAD4-FF48-9C08-BD553C71D2A9}">
      <text>
        <t>[Threaded comment]
Your version of Excel allows you to read this threaded comment; however, any edits to it will get removed if the file is opened in a newer version of Excel. Learn more: https://go.microsoft.com/fwlink/?linkid=870924
Comment:
    $25 for phone, $25 for service</t>
      </text>
    </comment>
    <comment ref="A105" authorId="52" shapeId="0" xr:uid="{9824562C-45AC-0F49-A0EA-BFFE56F7BB45}">
      <text>
        <t>[Threaded comment]
Your version of Excel allows you to read this threaded comment; however, any edits to it will get removed if the file is opened in a newer version of Excel. Learn more: https://go.microsoft.com/fwlink/?linkid=870924
Comment:
    8 oz/day x 30.44 days/month=243.52oz/mo x 1lb/16oz=15.22lbs/mo x $31.26/29.1lbs=$16.35/mo</t>
      </text>
    </comment>
    <comment ref="A106" authorId="53" shapeId="0" xr:uid="{E509452A-A5C1-F540-8288-10EABEBADC5B}">
      <text>
        <t>[Threaded comment]
Your version of Excel allows you to read this threaded comment; however, any edits to it will get removed if the file is opened in a newer version of Excel. Learn more: https://go.microsoft.com/fwlink/?linkid=870924
Comment:
    $25 every 3 months</t>
      </text>
    </comment>
    <comment ref="A107" authorId="54" shapeId="0" xr:uid="{3E643868-43E6-4DAC-903F-22151D48E206}">
      <text>
        <t>[Threaded comment]
Your version of Excel allows you to read this threaded comment; however, any edits to it will get removed if the file is opened in a newer version of Excel. Learn more: https://go.microsoft.com/fwlink/?linkid=870924
Comment:
    Reimbursement for expenses outlined in section 8</t>
      </text>
    </comment>
    <comment ref="A128" authorId="55" shapeId="0" xr:uid="{FF5884F1-143D-D849-9C98-CF54D6D6F35A}">
      <text>
        <t xml:space="preserve">[Threaded comment]
Your version of Excel allows you to read this threaded comment; however, any edits to it will get removed if the file is opened in a newer version of Excel. Learn more: https://go.microsoft.com/fwlink/?linkid=870924
Comment:
    Amazon Prime March $169
Costco Membership $30 </t>
      </text>
    </comment>
    <comment ref="A137" authorId="56" shapeId="0" xr:uid="{04AF7C4E-575B-2440-B40F-DEE4380A062D}">
      <text>
        <t>[Threaded comment]
Your version of Excel allows you to read this threaded comment; however, any edits to it will get removed if the file is opened in a newer version of Excel. Learn more: https://go.microsoft.com/fwlink/?linkid=870924
Comment:
    Result of NSF costs</t>
      </text>
    </comment>
    <comment ref="A145" authorId="57" shapeId="0" xr:uid="{665A898E-0619-DC43-9207-AD1830C848EF}">
      <text>
        <t>[Threaded comment]
Your version of Excel allows you to read this threaded comment; however, any edits to it will get removed if the file is opened in a newer version of Excel. Learn more: https://go.microsoft.com/fwlink/?linkid=870924
Comment:
    $6/2 weeks for car wash, $30 premium oil change and rotation by self</t>
      </text>
    </comment>
    <comment ref="A146" authorId="58" shapeId="0" xr:uid="{662A7CF5-5EC9-4348-B02F-C06872D875DB}">
      <text>
        <t>[Threaded comment]
Your version of Excel allows you to read this threaded comment; however, any edits to it will get removed if the file is opened in a newer version of Excel. Learn more: https://go.microsoft.com/fwlink/?linkid=870924
Comment:
    $30/week based on 2019 usage</t>
      </text>
    </comment>
    <comment ref="A148" authorId="59" shapeId="0" xr:uid="{632F517A-5F88-984E-9036-6ECA68E76FEA}">
      <text>
        <t>[Threaded comment]
Your version of Excel allows you to read this threaded comment; however, any edits to it will get removed if the file is opened in a newer version of Excel. Learn more: https://go.microsoft.com/fwlink/?linkid=870924
Comment:
    Normally 100 / month for 8 months since don’t have car use profits from car to pay off purchase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tc={3FCFB99D-8D82-4E4F-9295-E36E3514754D}</author>
    <author>tc={D0017ADF-6773-4785-A038-2D4CEEB20947}</author>
    <author>tc={B3272B4D-DD4E-423F-B9E0-178939FA6A5D}</author>
    <author>tc={F52DFC52-A77A-4511-80B4-4389F18BBE5D}</author>
    <author>tc={D61FBF62-0697-4877-81E3-24A990252A14}</author>
    <author>tc={153BF292-AF44-4C0C-AFA8-8F7ACE5C5DD7}</author>
  </authors>
  <commentList>
    <comment ref="G63" authorId="0" shapeId="0" xr:uid="{3FCFB99D-8D82-4E4F-9295-E36E3514754D}">
      <text>
        <t>[Threaded comment]
Your version of Excel allows you to read this threaded comment; however, any edits to it will get removed if the file is opened in a newer version of Excel. Learn more: https://go.microsoft.com/fwlink/?linkid=870924
Comment:
    This consists of home project costs.  It should be broken down by project</t>
      </text>
    </comment>
    <comment ref="G77" authorId="1" shapeId="0" xr:uid="{D0017ADF-6773-4785-A038-2D4CEEB20947}">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G107" authorId="2" shapeId="0" xr:uid="{B3272B4D-DD4E-423F-B9E0-178939FA6A5D}">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G123" authorId="3" shapeId="0" xr:uid="{F52DFC52-A77A-4511-80B4-4389F18BBE5D}">
      <text>
        <t>[Threaded comment]
Your version of Excel allows you to read this threaded comment; however, any edits to it will get removed if the file is opened in a newer version of Excel. Learn more: https://go.microsoft.com/fwlink/?linkid=870924
Comment:
    I don’t want to plan to spend any money here</t>
      </text>
    </comment>
    <comment ref="G133" authorId="4" shapeId="0" xr:uid="{D61FBF62-0697-4877-81E3-24A990252A14}">
      <text>
        <t>[Threaded comment]
Your version of Excel allows you to read this threaded comment; however, any edits to it will get removed if the file is opened in a newer version of Excel. Learn more: https://go.microsoft.com/fwlink/?linkid=870924
Comment:
    I don’t want to plan to spend any money here</t>
      </text>
    </comment>
    <comment ref="G153" authorId="5" shapeId="0" xr:uid="{153BF292-AF44-4C0C-AFA8-8F7ACE5C5DD7}">
      <text>
        <t>[Threaded comment]
Your version of Excel allows you to read this threaded comment; however, any edits to it will get removed if the file is opened in a newer version of Excel. Learn more: https://go.microsoft.com/fwlink/?linkid=870924
Comment:
    $6/2 weeks for car wash, $30 premium oil change and rotation by self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tc={7A3E470A-5FD4-48EF-9209-81B4B11E5BFC}</author>
    <author>tc={FEADD1A5-EA9D-4765-8F3E-6E7BFD4B9EDC}</author>
    <author>tc={871931A3-9B1C-4D1E-BD4B-520BCE0548A9}</author>
    <author>tc={5EA00F32-60DE-42BE-9ADC-859FC0FA4886}</author>
    <author>tc={3FEEE301-B5F3-4313-ABDC-9FA077EEE8C0}</author>
    <author>tc={84B37241-D3B3-4315-B809-E6EA163E5600}</author>
    <author>tc={904E4CD9-9708-47E6-903F-7002EC43A050}</author>
    <author>tc={B7EDE037-5BEF-443D-875E-38E7B8F1A5A9}</author>
    <author>tc={E2B18C33-D780-43C8-A839-3A44D3DB030E}</author>
    <author>tc={7D2747A8-4E24-4702-8E34-761CD9271B3A}</author>
    <author>tc={A7F83B1E-CFEC-408D-8E1D-87B0277290D3}</author>
    <author>tc={CB830A4B-7882-4A8E-B57D-2C64B4F68A2A}</author>
    <author>tc={8C09CF5B-56B3-4BDE-A6F7-695D926BDAF2}</author>
    <author>tc={2504872D-B7EA-45A7-8342-1E18CA8C9772}</author>
    <author>tc={4F621046-C6F1-494E-96AF-CF81EE7DBDE2}</author>
    <author>tc={BAA24D06-1374-4B9B-9635-5CC2FB8B94CE}</author>
    <author>tc={247D47F4-4301-4B0D-97CA-0C4F5ED1A175}</author>
    <author>tc={C43B6BD7-7E6C-40A7-B51F-9FC4390516F9}</author>
    <author>tc={57E39674-3E92-4A03-A814-54A9AB62F952}</author>
    <author>tc={A289B19E-E5AA-4D14-8F0A-A59FE423C087}</author>
    <author>tc={17044BD1-19CF-4F1A-AFFA-63223ADA2A54}</author>
    <author>tc={8208F337-C1F8-4154-BAD6-C0437C36C37F}</author>
    <author>tc={AC7DFA17-EC46-44B5-A5B2-5C1754D91A72}</author>
    <author>tc={8BEABE0B-CA36-44E3-98DB-FEC7204E9CDB}</author>
    <author>tc={C25A51BD-07F5-4770-AD3F-EB82E5987474}</author>
    <author>tc={1D628EA2-2699-4C41-9B6D-4D5CC1528697}</author>
    <author>tc={4C9D975F-688F-4D6A-8B89-8B9FBF5D8A0E}</author>
    <author>tc={C5E50733-524D-462A-83A6-460E299A13BC}</author>
    <author>tc={CBEA97B4-56EF-4B94-9ECF-E28727A1F4BF}</author>
    <author>tc={E4063162-8F09-45BB-9744-83318B669409}</author>
    <author>tc={2F6C61DE-F317-45D4-BBD3-751F76A44C58}</author>
    <author>tc={178B7B00-A32C-448E-A307-B1AF46EEC37C}</author>
    <author>tc={F710F3C1-72FC-4A99-A595-F87EA8D1F04B}</author>
    <author>tc={364EB9F3-1C31-42BB-A702-EA4ED80627AA}</author>
    <author>tc={BA871A1E-DA3A-4348-A747-B4E2574E2FE5}</author>
    <author>tc={EDB53C26-D59B-4CA9-86FB-6F5DFA6AC3E9}</author>
    <author>tc={E6C33D7C-3CCF-41D2-B436-DA14E31DB525}</author>
    <author>tc={383D70A8-D555-4437-ACC2-31D4C23E79B8}</author>
    <author>tc={E40C86EC-9DBB-4B4D-9B29-75087D3CDADA}</author>
    <author>tc={07E53B00-9703-42D1-B043-598B824B85F9}</author>
    <author>tc={D719195A-5E58-48DE-AE97-259DFC159DF2}</author>
    <author>tc={FF7E2DA2-B5A8-4F9E-B615-99B19CC3913A}</author>
    <author>tc={91C13FB7-3FEB-4098-AEF2-0C120B304353}</author>
    <author>tc={5FBBD484-C511-455F-93FD-D1E1EB41C1D3}</author>
    <author>tc={2591754E-A742-4BE0-BA1C-D39D23297AC1}</author>
    <author>tc={106350EB-CA88-449C-84DA-F8E1038F8352}</author>
    <author>tc={046C9446-2B20-4412-93B0-2017BCF55543}</author>
    <author>tc={DDA2EA5B-3A93-495D-A1AE-9B735B08A904}</author>
    <author>tc={2B54E2DD-3886-4134-B7B8-696142DF09AB}</author>
    <author>tc={84AAB669-AB9F-47EB-BE3F-E82D14AEBB09}</author>
    <author>tc={ABAFA440-407F-4D8D-8590-26AFBE32F09C}</author>
    <author>tc={0EB6801D-8877-4B79-8B9F-2049DAECD71F}</author>
    <author>tc={2487AC8E-9390-4ACE-AEA8-49F16F5AE3E8}</author>
    <author>tc={E6589AE8-476E-44B9-9AD4-E7F1166EC21A}</author>
    <author>tc={3EA2D438-BBEA-4A09-B78E-037D81C24766}</author>
    <author>tc={CCCDEDF2-CF80-4C1E-AD8B-148A1B1985E7}</author>
    <author>tc={CC7D33BF-5746-4BA5-92A5-CC8044450BD5}</author>
    <author>tc={CAACDD02-6440-4A98-89D7-1CAD3DD2F739}</author>
    <author>tc={BDB98185-9E03-4C1C-BBB6-71823B7B58FA}</author>
    <author>tc={C5CCB023-976A-4876-9D18-F740C1412094}</author>
    <author>tc={99CB8615-F625-42AA-BD9A-6FCE0BEEFE36}</author>
    <author>tc={29C73A8D-33AB-49F7-9076-EE974473CD3F}</author>
    <author>tc={CB98F827-ECA2-48C9-8FED-33AAD1669D87}</author>
    <author>tc={07A16093-D108-41FC-B584-3B73A2F94F1B}</author>
    <author>tc={58073DEC-CCF7-4843-A888-92F497FAC803}</author>
    <author>tc={124C601E-D4ED-4E48-A499-B6EF39D7545C}</author>
    <author>tc={560E9D2F-00FB-4D53-B125-40A99F3AE411}</author>
    <author>tc={E6B18489-13CA-4153-8650-0F9CFB0F309E}</author>
    <author>tc={E5DB57FD-8EAC-4D43-9B72-9C63FCD0D3E9}</author>
    <author>tc={E45A8D49-AA18-4A51-B1EB-152F04F72444}</author>
    <author>tc={86803E32-AB20-48EB-8B30-6327D97BFEBC}</author>
    <author>tc={4BF36074-4D11-4AB2-8928-254908E80FEB}</author>
    <author>tc={84E600A0-3327-42FB-AC6F-875BFE675F2E}</author>
    <author>tc={8F94B58B-EB62-4B8F-8E94-3D5035F7CEE7}</author>
    <author>tc={B00D99D1-D6AC-472D-8083-30CCE4C6306E}</author>
    <author>tc={7D384BA5-FB8E-431F-89AD-A6F60DDF8FF4}</author>
    <author>tc={063A2BFF-E628-481F-9E00-F0F9DC3B2ABF}</author>
    <author>tc={97B56427-8C7C-4A88-BF98-C4A9F5EF23BC}</author>
    <author>tc={6C27DCAD-A11A-4449-9E31-3627266653BB}</author>
    <author>tc={3B342BEC-2B28-4B11-A114-7E67F69DDA6E}</author>
    <author>tc={4C34D5CD-E96D-4CC5-B15C-71910174F8F1}</author>
    <author>tc={3FE9BF50-B078-4054-8B48-A9D90D75D0FB}</author>
    <author>tc={B9EEFAC6-797E-4ECD-A2E7-DBC0530DD4E0}</author>
    <author>tc={4162EA3A-96A5-4301-A131-D49D59A94D1C}</author>
    <author>tc={A203D10F-02D6-4E5B-B2DA-9FE90E350F18}</author>
    <author>tc={E1FCA60D-2CF5-47F4-8A00-21673672E403}</author>
    <author>tc={4E5240AB-A1A4-4651-B12A-9178E9BAB835}</author>
    <author>tc={2D6BE74D-BC44-45CF-823A-241FBCCBCFD2}</author>
    <author>tc={45D4B311-C8FF-4D93-A2A0-FF8C9B761C3B}</author>
    <author>tc={2968E314-D1DA-4363-A48C-4B240B52958F}</author>
    <author>tc={C7FC4943-AF5D-436B-8C42-B69B35831E12}</author>
    <author>tc={332BBC0D-0CC0-469E-9B20-C102D51F6379}</author>
    <author>tc={045D6722-250E-4478-A3FF-8B6DAE1FBFB9}</author>
    <author>tc={5093449E-0C11-4597-BD9F-F3686E912EEE}</author>
    <author>tc={A3CEDB7D-8EC2-4A35-B8AA-875C7F9694EA}</author>
    <author>tc={867FAC8A-8910-4DA0-88C6-8948D11FD16B}</author>
    <author>tc={5ACE2C20-D5D1-48DB-B7A0-6AE5C1288E2A}</author>
    <author>tc={C0509B46-5FE7-4BCC-89C3-3A1E6FAE132A}</author>
    <author>tc={968C7EC7-380F-4F2F-919E-528E170D5875}</author>
    <author>tc={459AC8EF-4DEB-427B-BFF1-C2F4AB8D49F3}</author>
    <author>tc={1EAB416F-21CF-436A-ABA6-249CBD3E54F4}</author>
    <author>tc={0AFABFF6-E720-4C13-95EF-E9738ACB2170}</author>
    <author>tc={1DB30B22-8ABC-4243-9627-371A97E64123}</author>
    <author>tc={7D90C5C5-90F6-4EFE-ADF5-6C36D9EBA52E}</author>
    <author>tc={7AE89BEA-DAB0-4A40-92A7-8A92FD92DA48}</author>
    <author>tc={DF6626E1-CF32-4DB5-9B60-5AC6890ED36B}</author>
    <author>tc={F26F5244-547B-41E9-8FCC-EAB97371D399}</author>
    <author>tc={9C8BAB1E-2D21-4DB3-9AAB-27065382A6F1}</author>
    <author>tc={B8FE4DCD-CA86-475E-A8B5-3F52EE899534}</author>
    <author>tc={06370E05-3F87-497B-A8F7-F7C57DBD37BC}</author>
    <author>tc={31177DBB-0278-4D63-A555-5DAF0A058137}</author>
    <author>tc={476B0A91-90E3-426A-BD79-4D8F343611AE}</author>
    <author>tc={A1689C3A-8D7B-4147-B527-F8B1144D5ACE}</author>
    <author>tc={8A3C33DB-C721-4AA3-8813-70B20FBC1815}</author>
    <author>tc={13B28722-DCDC-4410-9BBD-257DE973F289}</author>
    <author>tc={AA080B17-DF24-4020-A232-31005CC0F3A3}</author>
  </authors>
  <commentList>
    <comment ref="F8" authorId="0" shapeId="0" xr:uid="{7A3E470A-5FD4-48EF-9209-81B4B11E5BFC}">
      <text>
        <t>[Threaded comment]
Your version of Excel allows you to read this threaded comment; however, any edits to it will get removed if the file is opened in a newer version of Excel. Learn more: https://go.microsoft.com/fwlink/?linkid=870924
Comment:
    8 oz/day x 30.44 days/month=243.52oz/mo x 1lb/16oz=15.22lbs/mo x $31.26/29.1lbs=$16.35/mo</t>
      </text>
    </comment>
    <comment ref="F10" authorId="1" shapeId="0" xr:uid="{FEADD1A5-EA9D-4765-8F3E-6E7BFD4B9EDC}">
      <text>
        <t>[Threaded comment]
Your version of Excel allows you to read this threaded comment; however, any edits to it will get removed if the file is opened in a newer version of Excel. Learn more: https://go.microsoft.com/fwlink/?linkid=870924
Comment:
    8 oz/day x 30.44 days/month=243.52oz/mo x 1lb/16oz=15.22lbs/mo x $31.26/29.1lbs=$16.35/mo</t>
      </text>
    </comment>
    <comment ref="F18" authorId="2" shapeId="0" xr:uid="{871931A3-9B1C-4D1E-BD4B-520BCE0548A9}">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25" authorId="3" shapeId="0" xr:uid="{5EA00F32-60DE-42BE-9ADC-859FC0FA4886}">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35" authorId="4" shapeId="0" xr:uid="{3FEEE301-B5F3-4313-ABDC-9FA077EEE8C0}">
      <text>
        <t>[Threaded comment]
Your version of Excel allows you to read this threaded comment; however, any edits to it will get removed if the file is opened in a newer version of Excel. Learn more: https://go.microsoft.com/fwlink/?linkid=870924
Comment:
    McAfee Antivirus auto update $120/year</t>
      </text>
    </comment>
    <comment ref="F76" authorId="5" shapeId="0" xr:uid="{84B37241-D3B3-4315-B809-E6EA163E5600}">
      <text>
        <t>[Threaded comment]
Your version of Excel allows you to read this threaded comment; however, any edits to it will get removed if the file is opened in a newer version of Excel. Learn more: https://go.microsoft.com/fwlink/?linkid=870924
Comment:
    8 oz/day x 30.44 days/month=243.52oz/mo x 1lb/16oz=15.22lbs/mo x $31.26/29.1lbs=$16.35/mo</t>
      </text>
    </comment>
    <comment ref="F169" authorId="6" shapeId="0" xr:uid="{904E4CD9-9708-47E6-903F-7002EC43A050}">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185" authorId="7" shapeId="0" xr:uid="{B7EDE037-5BEF-443D-875E-38E7B8F1A5A9}">
      <text>
        <t>[Threaded comment]
Your version of Excel allows you to read this threaded comment; however, any edits to it will get removed if the file is opened in a newer version of Excel. Learn more: https://go.microsoft.com/fwlink/?linkid=870924
Comment:
    1x amount identified for tax info</t>
      </text>
    </comment>
    <comment ref="F233" authorId="8" shapeId="0" xr:uid="{E2B18C33-D780-43C8-A839-3A44D3DB030E}">
      <text>
        <t>[Threaded comment]
Your version of Excel allows you to read this threaded comment; however, any edits to it will get removed if the file is opened in a newer version of Excel. Learn more: https://go.microsoft.com/fwlink/?linkid=870924
Comment:
    $6/2 weeks for car wash, $30 premium oil change and rotation by self</t>
      </text>
    </comment>
    <comment ref="F234" authorId="9" shapeId="0" xr:uid="{7D2747A8-4E24-4702-8E34-761CD9271B3A}">
      <text>
        <t>[Threaded comment]
Your version of Excel allows you to read this threaded comment; however, any edits to it will get removed if the file is opened in a newer version of Excel. Learn more: https://go.microsoft.com/fwlink/?linkid=870924
Comment:
    $6/2 weeks for car wash, $30 premium oil change and rotation by self</t>
      </text>
    </comment>
    <comment ref="F251" authorId="10" shapeId="0" xr:uid="{A7F83B1E-CFEC-408D-8E1D-87B0277290D3}">
      <text>
        <t>[Threaded comment]
Your version of Excel allows you to read this threaded comment; however, any edits to it will get removed if the file is opened in a newer version of Excel. Learn more: https://go.microsoft.com/fwlink/?linkid=870924
Comment:
    Result of NSF costs</t>
      </text>
    </comment>
    <comment ref="D382" authorId="11" shapeId="0" xr:uid="{CB830A4B-7882-4A8E-B57D-2C64B4F68A2A}">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382" authorId="12" shapeId="0" xr:uid="{8C09CF5B-56B3-4BDE-A6F7-695D926BDAF2}">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386" authorId="13" shapeId="0" xr:uid="{2504872D-B7EA-45A7-8342-1E18CA8C9772}">
      <text>
        <t>[Threaded comment]
Your version of Excel allows you to read this threaded comment; however, any edits to it will get removed if the file is opened in a newer version of Excel. Learn more: https://go.microsoft.com/fwlink/?linkid=870924
Comment:
    Normally 100 / month for 8 months since don’t have car use profits from car to pay off purchase</t>
      </text>
    </comment>
    <comment ref="F387" authorId="14" shapeId="0" xr:uid="{4F621046-C6F1-494E-96AF-CF81EE7DBDE2}">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393" authorId="15" shapeId="0" xr:uid="{BAA24D06-1374-4B9B-9635-5CC2FB8B94CE}">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F394" authorId="16" shapeId="0" xr:uid="{247D47F4-4301-4B0D-97CA-0C4F5ED1A175}">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D396" authorId="17" shapeId="0" xr:uid="{C43B6BD7-7E6C-40A7-B51F-9FC4390516F9}">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396" authorId="18" shapeId="0" xr:uid="{57E39674-3E92-4A03-A814-54A9AB62F952}">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397" authorId="19" shapeId="0" xr:uid="{A289B19E-E5AA-4D14-8F0A-A59FE423C087}">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02" authorId="20" shapeId="0" xr:uid="{17044BD1-19CF-4F1A-AFFA-63223ADA2A54}">
      <text>
        <t>[Threaded comment]
Your version of Excel allows you to read this threaded comment; however, any edits to it will get removed if the file is opened in a newer version of Excel. Learn more: https://go.microsoft.com/fwlink/?linkid=870924
Comment:
    Reimbursement for expenses outlined in section 8</t>
      </text>
    </comment>
    <comment ref="F403" authorId="21" shapeId="0" xr:uid="{8208F337-C1F8-4154-BAD6-C0437C36C37F}">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09" authorId="22" shapeId="0" xr:uid="{AC7DFA17-EC46-44B5-A5B2-5C1754D91A72}">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10" authorId="23" shapeId="0" xr:uid="{8BEABE0B-CA36-44E3-98DB-FEC7204E9CDB}">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F412" authorId="24" shapeId="0" xr:uid="{C25A51BD-07F5-4770-AD3F-EB82E5987474}">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16" authorId="25" shapeId="0" xr:uid="{1D628EA2-2699-4C41-9B6D-4D5CC1528697}">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20" authorId="26" shapeId="0" xr:uid="{4C9D975F-688F-4D6A-8B89-8B9FBF5D8A0E}">
      <text>
        <t>[Threaded comment]
Your version of Excel allows you to read this threaded comment; however, any edits to it will get removed if the file is opened in a newer version of Excel. Learn more: https://go.microsoft.com/fwlink/?linkid=870924
Comment:
    Normally 100 / month for 8 months since don’t have car use profits from car to pay off purchase</t>
      </text>
    </comment>
    <comment ref="F421" authorId="27" shapeId="0" xr:uid="{C5E50733-524D-462A-83A6-460E299A13BC}">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26" authorId="28" shapeId="0" xr:uid="{CBEA97B4-56EF-4B94-9ECF-E28727A1F4BF}">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431" authorId="29" shapeId="0" xr:uid="{E4063162-8F09-45BB-9744-83318B669409}">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432" authorId="30" shapeId="0" xr:uid="{2F6C61DE-F317-45D4-BBD3-751F76A44C58}">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F433" authorId="31" shapeId="0" xr:uid="{178B7B00-A32C-448E-A307-B1AF46EEC37C}">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34" authorId="32" shapeId="0" xr:uid="{F710F3C1-72FC-4A99-A595-F87EA8D1F04B}">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38" authorId="33" shapeId="0" xr:uid="{364EB9F3-1C31-42BB-A702-EA4ED80627AA}">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44" authorId="34" shapeId="0" xr:uid="{BA871A1E-DA3A-4348-A747-B4E2574E2FE5}">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F445" authorId="35" shapeId="0" xr:uid="{EDB53C26-D59B-4CA9-86FB-6F5DFA6AC3E9}">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46" authorId="36" shapeId="0" xr:uid="{E6C33D7C-3CCF-41D2-B436-DA14E31DB525}">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47" authorId="37" shapeId="0" xr:uid="{383D70A8-D555-4437-ACC2-31D4C23E79B8}">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F449" authorId="38" shapeId="0" xr:uid="{E40C86EC-9DBB-4B4D-9B29-75087D3CDADA}">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50" authorId="39" shapeId="0" xr:uid="{07E53B00-9703-42D1-B043-598B824B85F9}">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451" authorId="40" shapeId="0" xr:uid="{D719195A-5E58-48DE-AE97-259DFC159DF2}">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F452" authorId="41" shapeId="0" xr:uid="{FF7E2DA2-B5A8-4F9E-B615-99B19CC3913A}">
      <text>
        <t>[Threaded comment]
Your version of Excel allows you to read this threaded comment; however, any edits to it will get removed if the file is opened in a newer version of Excel. Learn more: https://go.microsoft.com/fwlink/?linkid=870924
Comment:
    Normally 100 / month for 8 months since don’t have car use profits from car to pay off purchase</t>
      </text>
    </comment>
    <comment ref="F456" authorId="42" shapeId="0" xr:uid="{91C13FB7-3FEB-4098-AEF2-0C120B304353}">
      <text>
        <t>[Threaded comment]
Your version of Excel allows you to read this threaded comment; however, any edits to it will get removed if the file is opened in a newer version of Excel. Learn more: https://go.microsoft.com/fwlink/?linkid=870924
Comment:
    Normally 100 / month for 8 months since don’t have car use profits from car to pay off purchase</t>
      </text>
    </comment>
    <comment ref="F457" authorId="43" shapeId="0" xr:uid="{5FBBD484-C511-455F-93FD-D1E1EB41C1D3}">
      <text>
        <t>[Threaded comment]
Your version of Excel allows you to read this threaded comment; however, any edits to it will get removed if the file is opened in a newer version of Excel. Learn more: https://go.microsoft.com/fwlink/?linkid=870924
Comment:
    I don’t want to plan to spend any money here</t>
      </text>
    </comment>
    <comment ref="F460" authorId="44" shapeId="0" xr:uid="{2591754E-A742-4BE0-BA1C-D39D23297AC1}">
      <text>
        <t>[Threaded comment]
Your version of Excel allows you to read this threaded comment; however, any edits to it will get removed if the file is opened in a newer version of Excel. Learn more: https://go.microsoft.com/fwlink/?linkid=870924
Comment:
    I don’t want to plan to spend any money here</t>
      </text>
    </comment>
    <comment ref="F464" authorId="45" shapeId="0" xr:uid="{106350EB-CA88-449C-84DA-F8E1038F8352}">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65" authorId="46" shapeId="0" xr:uid="{046C9446-2B20-4412-93B0-2017BCF55543}">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71" authorId="47" shapeId="0" xr:uid="{DDA2EA5B-3A93-495D-A1AE-9B735B08A904}">
      <text>
        <t>[Threaded comment]
Your version of Excel allows you to read this threaded comment; however, any edits to it will get removed if the file is opened in a newer version of Excel. Learn more: https://go.microsoft.com/fwlink/?linkid=870924
Comment:
    I don’t want to plan to spend any money here</t>
      </text>
    </comment>
    <comment ref="F474" authorId="48" shapeId="0" xr:uid="{2B54E2DD-3886-4134-B7B8-696142DF09AB}">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75" authorId="49" shapeId="0" xr:uid="{84AAB669-AB9F-47EB-BE3F-E82D14AEBB09}">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76" authorId="50" shapeId="0" xr:uid="{ABAFA440-407F-4D8D-8590-26AFBE32F09C}">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79" authorId="51" shapeId="0" xr:uid="{0EB6801D-8877-4B79-8B9F-2049DAECD71F}">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80" authorId="52" shapeId="0" xr:uid="{2487AC8E-9390-4ACE-AEA8-49F16F5AE3E8}">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87" authorId="53" shapeId="0" xr:uid="{E6589AE8-476E-44B9-9AD4-E7F1166EC21A}">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88" authorId="54" shapeId="0" xr:uid="{3EA2D438-BBEA-4A09-B78E-037D81C24766}">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489" authorId="55" shapeId="0" xr:uid="{CCCDEDF2-CF80-4C1E-AD8B-148A1B1985E7}">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493" authorId="56" shapeId="0" xr:uid="{CC7D33BF-5746-4BA5-92A5-CC8044450BD5}">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497" authorId="57" shapeId="0" xr:uid="{CAACDD02-6440-4A98-89D7-1CAD3DD2F739}">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498" authorId="58" shapeId="0" xr:uid="{BDB98185-9E03-4C1C-BBB6-71823B7B58FA}">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F501" authorId="59" shapeId="0" xr:uid="{C5CCB023-976A-4876-9D18-F740C1412094}">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F503" authorId="60" shapeId="0" xr:uid="{99CB8615-F625-42AA-BD9A-6FCE0BEEFE36}">
      <text>
        <t>[Threaded comment]
Your version of Excel allows you to read this threaded comment; however, any edits to it will get removed if the file is opened in a newer version of Excel. Learn more: https://go.microsoft.com/fwlink/?linkid=870924
Comment:
    Normally 100 / month for 8 months since don’t have car use profits from car to pay off purchase</t>
      </text>
    </comment>
    <comment ref="F504" authorId="61" shapeId="0" xr:uid="{29C73A8D-33AB-49F7-9076-EE974473CD3F}">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F505" authorId="62" shapeId="0" xr:uid="{CB98F827-ECA2-48C9-8FED-33AAD1669D87}">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511" authorId="63" shapeId="0" xr:uid="{07A16093-D108-41FC-B584-3B73A2F94F1B}">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513" authorId="64" shapeId="0" xr:uid="{58073DEC-CCF7-4843-A888-92F497FAC803}">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514" authorId="65" shapeId="0" xr:uid="{124C601E-D4ED-4E48-A499-B6EF39D7545C}">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515" authorId="66" shapeId="0" xr:uid="{560E9D2F-00FB-4D53-B125-40A99F3AE411}">
      <text>
        <t>[Threaded comment]
Your version of Excel allows you to read this threaded comment; however, any edits to it will get removed if the file is opened in a newer version of Excel. Learn more: https://go.microsoft.com/fwlink/?linkid=870924
Comment:
    Not Anticipated Yet</t>
      </text>
    </comment>
    <comment ref="F529" authorId="67" shapeId="0" xr:uid="{E6B18489-13CA-4153-8650-0F9CFB0F309E}">
      <text>
        <t>[Threaded comment]
Your version of Excel allows you to read this threaded comment; however, any edits to it will get removed if the file is opened in a newer version of Excel. Learn more: https://go.microsoft.com/fwlink/?linkid=870924
Comment:
    Normally 100 / month for 8 months since don’t have car use profits from car to pay off purchase</t>
      </text>
    </comment>
    <comment ref="D611" authorId="68" shapeId="0" xr:uid="{E5DB57FD-8EAC-4D43-9B72-9C63FCD0D3E9}">
      <text>
        <t>[Threaded comment]
Your version of Excel allows you to read this threaded comment; however, any edits to it will get removed if the file is opened in a newer version of Excel. Learn more: https://go.microsoft.com/fwlink/?linkid=870924
Comment:
    I don’t want to plan to spend any money here</t>
      </text>
    </comment>
    <comment ref="F611" authorId="69" shapeId="0" xr:uid="{E45A8D49-AA18-4A51-B1EB-152F04F72444}">
      <text>
        <t>[Threaded comment]
Your version of Excel allows you to read this threaded comment; however, any edits to it will get removed if the file is opened in a newer version of Excel. Learn more: https://go.microsoft.com/fwlink/?linkid=870924
Comment:
    I don’t want to plan to spend any money here</t>
      </text>
    </comment>
    <comment ref="F621" authorId="70" shapeId="0" xr:uid="{86803E32-AB20-48EB-8B30-6327D97BFEBC}">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22" authorId="71" shapeId="0" xr:uid="{4BF36074-4D11-4AB2-8928-254908E80FEB}">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23" authorId="72" shapeId="0" xr:uid="{84E600A0-3327-42FB-AC6F-875BFE675F2E}">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24" authorId="73" shapeId="0" xr:uid="{8F94B58B-EB62-4B8F-8E94-3D5035F7CEE7}">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25" authorId="74" shapeId="0" xr:uid="{B00D99D1-D6AC-472D-8083-30CCE4C6306E}">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26" authorId="75" shapeId="0" xr:uid="{7D384BA5-FB8E-431F-89AD-A6F60DDF8FF4}">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27" authorId="76" shapeId="0" xr:uid="{063A2BFF-E628-481F-9E00-F0F9DC3B2ABF}">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28" authorId="77" shapeId="0" xr:uid="{97B56427-8C7C-4A88-BF98-C4A9F5EF23BC}">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29" authorId="78" shapeId="0" xr:uid="{6C27DCAD-A11A-4449-9E31-3627266653BB}">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31" authorId="79" shapeId="0" xr:uid="{3B342BEC-2B28-4B11-A114-7E67F69DDA6E}">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32" authorId="80" shapeId="0" xr:uid="{4C34D5CD-E96D-4CC5-B15C-71910174F8F1}">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38" authorId="81" shapeId="0" xr:uid="{3FE9BF50-B078-4054-8B48-A9D90D75D0FB}">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641" authorId="82" shapeId="0" xr:uid="{B9EEFAC6-797E-4ECD-A2E7-DBC0530DD4E0}">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F643" authorId="83" shapeId="0" xr:uid="{4162EA3A-96A5-4301-A131-D49D59A94D1C}">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F644" authorId="84" shapeId="0" xr:uid="{A203D10F-02D6-4E5B-B2DA-9FE90E350F18}">
      <text>
        <t>[Threaded comment]
Your version of Excel allows you to read this threaded comment; however, any edits to it will get removed if the file is opened in a newer version of Excel. Learn more: https://go.microsoft.com/fwlink/?linkid=870924
Comment:
    Perhaps $100 for birthday, $200 for Christmas</t>
      </text>
    </comment>
    <comment ref="H644" authorId="85" shapeId="0" xr:uid="{E1FCA60D-2CF5-47F4-8A00-21673672E403}">
      <text>
        <t>[Threaded comment]
Your version of Excel allows you to read this threaded comment; however, any edits to it will get removed if the file is opened in a newer version of Excel. Learn more: https://go.microsoft.com/fwlink/?linkid=870924
Comment:
    Removed Home security keep Lush Lawn for now</t>
      </text>
    </comment>
    <comment ref="D646" authorId="86" shapeId="0" xr:uid="{4E5240AB-A1A4-4651-B12A-9178E9BAB835}">
      <text>
        <t>[Threaded comment]
Your version of Excel allows you to read this threaded comment; however, any edits to it will get removed if the file is opened in a newer version of Excel. Learn more: https://go.microsoft.com/fwlink/?linkid=870924
Comment:
    I don’t want to plan to spend any money here</t>
      </text>
    </comment>
    <comment ref="F646" authorId="87" shapeId="0" xr:uid="{2D6BE74D-BC44-45CF-823A-241FBCCBCFD2}">
      <text>
        <t>[Threaded comment]
Your version of Excel allows you to read this threaded comment; however, any edits to it will get removed if the file is opened in a newer version of Excel. Learn more: https://go.microsoft.com/fwlink/?linkid=870924
Comment:
    I don’t want to plan to spend any money here</t>
      </text>
    </comment>
    <comment ref="F647" authorId="88" shapeId="0" xr:uid="{45D4B311-C8FF-4D93-A2A0-FF8C9B761C3B}">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648" authorId="89" shapeId="0" xr:uid="{2968E314-D1DA-4363-A48C-4B240B52958F}">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649" authorId="90" shapeId="0" xr:uid="{C7FC4943-AF5D-436B-8C42-B69B35831E12}">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650" authorId="91" shapeId="0" xr:uid="{332BBC0D-0CC0-469E-9B20-C102D51F6379}">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651" authorId="92" shapeId="0" xr:uid="{045D6722-250E-4478-A3FF-8B6DAE1FBFB9}">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652" authorId="93" shapeId="0" xr:uid="{5093449E-0C11-4597-BD9F-F3686E912EEE}">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653" authorId="94" shapeId="0" xr:uid="{A3CEDB7D-8EC2-4A35-B8AA-875C7F9694EA}">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654" authorId="95" shapeId="0" xr:uid="{867FAC8A-8910-4DA0-88C6-8948D11FD16B}">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656" authorId="96" shapeId="0" xr:uid="{5ACE2C20-D5D1-48DB-B7A0-6AE5C1288E2A}">
      <text>
        <t>[Threaded comment]
Your version of Excel allows you to read this threaded comment; however, any edits to it will get removed if the file is opened in a newer version of Excel. Learn more: https://go.microsoft.com/fwlink/?linkid=870924
Comment:
    Use last year’s numbers, no expectation otherwise</t>
      </text>
    </comment>
    <comment ref="F680" authorId="97" shapeId="0" xr:uid="{C0509B46-5FE7-4BCC-89C3-3A1E6FAE132A}">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681" authorId="98" shapeId="0" xr:uid="{968C7EC7-380F-4F2F-919E-528E170D5875}">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691" authorId="99" shapeId="0" xr:uid="{459AC8EF-4DEB-427B-BFF1-C2F4AB8D49F3}">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692" authorId="100" shapeId="0" xr:uid="{1EAB416F-21CF-436A-ABA6-249CBD3E54F4}">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695" authorId="101" shapeId="0" xr:uid="{0AFABFF6-E720-4C13-95EF-E9738ACB2170}">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707" authorId="102" shapeId="0" xr:uid="{1DB30B22-8ABC-4243-9627-371A97E64123}">
      <text>
        <t xml:space="preserve">[Threaded comment]
Your version of Excel allows you to read this threaded comment; however, any edits to it will get removed if the file is opened in a newer version of Excel. Learn more: https://go.microsoft.com/fwlink/?linkid=870924
Comment:
    Amazon Prime March $169
Costco Membership $30 </t>
      </text>
    </comment>
    <comment ref="F813" authorId="103" shapeId="0" xr:uid="{7D90C5C5-90F6-4EFE-ADF5-6C36D9EBA52E}">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28" authorId="104" shapeId="0" xr:uid="{7AE89BEA-DAB0-4A40-92A7-8A92FD92DA48}">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31" authorId="105" shapeId="0" xr:uid="{DF6626E1-CF32-4DB5-9B60-5AC6890ED36B}">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36" authorId="106" shapeId="0" xr:uid="{F26F5244-547B-41E9-8FCC-EAB97371D399}">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42" authorId="107" shapeId="0" xr:uid="{9C8BAB1E-2D21-4DB3-9AAB-27065382A6F1}">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43" authorId="108" shapeId="0" xr:uid="{B8FE4DCD-CA86-475E-A8B5-3F52EE899534}">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44" authorId="109" shapeId="0" xr:uid="{06370E05-3F87-497B-A8F7-F7C57DBD37BC}">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51" authorId="110" shapeId="0" xr:uid="{31177DBB-0278-4D63-A555-5DAF0A058137}">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53" authorId="111" shapeId="0" xr:uid="{476B0A91-90E3-426A-BD79-4D8F343611AE}">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54" authorId="112" shapeId="0" xr:uid="{A1689C3A-8D7B-4147-B527-F8B1144D5ACE}">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55" authorId="113" shapeId="0" xr:uid="{8A3C33DB-C721-4AA3-8813-70B20FBC1815}">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61" authorId="114" shapeId="0" xr:uid="{13B28722-DCDC-4410-9BBD-257DE973F289}">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 ref="F869" authorId="115" shapeId="0" xr:uid="{AA080B17-DF24-4020-A232-31005CC0F3A3}">
      <text>
        <t>[Threaded comment]
Your version of Excel allows you to read this threaded comment; however, any edits to it will get removed if the file is opened in a newer version of Excel. Learn more: https://go.microsoft.com/fwlink/?linkid=870924
Comment:
    $250/mo based on last half 2019 usage</t>
      </text>
    </comment>
  </commentList>
</comments>
</file>

<file path=xl/sharedStrings.xml><?xml version="1.0" encoding="utf-8"?>
<sst xmlns="http://schemas.openxmlformats.org/spreadsheetml/2006/main" count="4404" uniqueCount="1040">
  <si>
    <t>Date</t>
  </si>
  <si>
    <t>Description</t>
  </si>
  <si>
    <t>ONLINE PAYMENT, THANK YOU</t>
  </si>
  <si>
    <t>EPC*FORTNITE 919-854-0070 NC</t>
  </si>
  <si>
    <t>NATIONAL CONEY ISLAND SAINT CLAIR S MI</t>
  </si>
  <si>
    <t>Amount</t>
  </si>
  <si>
    <t>Category</t>
  </si>
  <si>
    <t>Category Type</t>
  </si>
  <si>
    <t>Child Support</t>
  </si>
  <si>
    <t>Interest Income</t>
  </si>
  <si>
    <t>Retirement Funds</t>
  </si>
  <si>
    <t>Groceries</t>
  </si>
  <si>
    <t>Health Insurance</t>
  </si>
  <si>
    <t>Mortgage</t>
  </si>
  <si>
    <t>Service Entertainment TV</t>
  </si>
  <si>
    <t>Service Internet Cable TV</t>
  </si>
  <si>
    <t>Cash WD</t>
  </si>
  <si>
    <t>Clothing</t>
  </si>
  <si>
    <t>Entertainment</t>
  </si>
  <si>
    <t>Merchandise Home</t>
  </si>
  <si>
    <t>Personal Care</t>
  </si>
  <si>
    <t>Phone</t>
  </si>
  <si>
    <t>Water Bill</t>
  </si>
  <si>
    <t>Fee Bank</t>
  </si>
  <si>
    <t>Membership</t>
  </si>
  <si>
    <t>Parking</t>
  </si>
  <si>
    <t>Lauren</t>
  </si>
  <si>
    <t>Costco Visa</t>
  </si>
  <si>
    <t>AUTOPAY PAYMENT - THANK YOU</t>
  </si>
  <si>
    <t>Source</t>
  </si>
  <si>
    <t>Bank of America</t>
  </si>
  <si>
    <t>State of MI OCS DES:MI26163 ID:00683197 INDN:PROST CHRISTOPHER PATR CO ID:XXXXX98866 PPD</t>
  </si>
  <si>
    <t>Philip</t>
  </si>
  <si>
    <t>CVS/PHARMACY #08107 GROSSE POINTE MI</t>
  </si>
  <si>
    <t>BUFFALO WILD WINGS SAINT CLAIR S MI</t>
  </si>
  <si>
    <t>Merchandise Computer</t>
  </si>
  <si>
    <t>Work - Misc Labor</t>
  </si>
  <si>
    <t>Recreation</t>
  </si>
  <si>
    <t>Row Labels</t>
  </si>
  <si>
    <t>(blank)</t>
  </si>
  <si>
    <t>Grand Total</t>
  </si>
  <si>
    <t>Month</t>
  </si>
  <si>
    <t>May</t>
  </si>
  <si>
    <t>Jul</t>
  </si>
  <si>
    <t>Jan</t>
  </si>
  <si>
    <t>Feb</t>
  </si>
  <si>
    <t>Mar</t>
  </si>
  <si>
    <t>Apr</t>
  </si>
  <si>
    <t>Jun</t>
  </si>
  <si>
    <t>Aug</t>
  </si>
  <si>
    <t>Sep</t>
  </si>
  <si>
    <t>Oct</t>
  </si>
  <si>
    <t>Nov</t>
  </si>
  <si>
    <t>Dec</t>
  </si>
  <si>
    <t>Adjustments</t>
  </si>
  <si>
    <t>Government Taxes and Fees</t>
  </si>
  <si>
    <t>Sprint Surcharges</t>
  </si>
  <si>
    <t>Account Charges</t>
  </si>
  <si>
    <t>Subtotal Direct Charges</t>
  </si>
  <si>
    <t xml:space="preserve">4-5 Line Discount thru 1/31/20 - Unlimited Service Plan </t>
  </si>
  <si>
    <t xml:space="preserve"> $5 AutoPay Plan Discount - Unlimited Service Plan</t>
  </si>
  <si>
    <t>Apple iPhone 8 64GB Monthly Lease TM-L-117715004</t>
  </si>
  <si>
    <t>Premium Can/Mex up to 5GB</t>
  </si>
  <si>
    <t>14 Sprint 411 Directory Asst. @ $1.99/call</t>
  </si>
  <si>
    <t>Unlimited Basic</t>
  </si>
  <si>
    <t>MOM</t>
  </si>
  <si>
    <t xml:space="preserve">$5 AutoPay Plan Discount - Unlimited Service Plan </t>
  </si>
  <si>
    <t>iPhone Lease One Get One 3 of 18 - TM-L-117715000</t>
  </si>
  <si>
    <t xml:space="preserve">Apple iPhone 8 64GB Monthly Lease TM-L-117715000 </t>
  </si>
  <si>
    <t xml:space="preserve"> $5 AutoPay Plan Discount - Unlimited</t>
  </si>
  <si>
    <t xml:space="preserve">iPhone 8 2 for 1 Promotion 7 of 18 - PR-L-108655926 Service Plan </t>
  </si>
  <si>
    <t>Apple iPhone 8 64GB Monthly Lease PR-L-108655926</t>
  </si>
  <si>
    <t xml:space="preserve">Apple iPhone 8 64GB Monthly Lease PR-L-108656502 </t>
  </si>
  <si>
    <t>International Long Distance</t>
  </si>
  <si>
    <t>Sprint 411 Directory Asst. @ $1.99/call</t>
  </si>
  <si>
    <t>Billing related line charge Chris's phone</t>
  </si>
  <si>
    <t>Payment Return Fee</t>
  </si>
  <si>
    <t>Reconnect from Suspension Fee</t>
  </si>
  <si>
    <t>Chris</t>
  </si>
  <si>
    <t>WALMART.COM 800-966-6546 AR</t>
  </si>
  <si>
    <t>Beginning Balance</t>
  </si>
  <si>
    <t>Mom Merchandise Vet</t>
  </si>
  <si>
    <t>Merchandise School</t>
  </si>
  <si>
    <t>Gifts Given</t>
  </si>
  <si>
    <t>Gifts Received</t>
  </si>
  <si>
    <t>Dining Fast Food</t>
  </si>
  <si>
    <t>Misc Expense</t>
  </si>
  <si>
    <t>Dining Treats</t>
  </si>
  <si>
    <t>Service Computer</t>
  </si>
  <si>
    <t>Dining Drinks</t>
  </si>
  <si>
    <t>Taxes State</t>
  </si>
  <si>
    <t>Taxes Federal</t>
  </si>
  <si>
    <t>Tax Software</t>
  </si>
  <si>
    <t>Mom Phone</t>
  </si>
  <si>
    <t>Fee NSF</t>
  </si>
  <si>
    <t>Description / Notes</t>
  </si>
  <si>
    <t>Balance</t>
  </si>
  <si>
    <t>Year End Balance</t>
  </si>
  <si>
    <t>Year</t>
  </si>
  <si>
    <t>Season</t>
  </si>
  <si>
    <t>Total Amount</t>
  </si>
  <si>
    <t>Total Paid</t>
  </si>
  <si>
    <t>Last Paid</t>
  </si>
  <si>
    <t>Total Due</t>
  </si>
  <si>
    <t>Winter</t>
  </si>
  <si>
    <t>Summer</t>
  </si>
  <si>
    <t>Federal Univ Serv Assess Non-LD</t>
  </si>
  <si>
    <t>Michigan State University Service Assessment</t>
  </si>
  <si>
    <t>Regulatory Charge</t>
  </si>
  <si>
    <t>Administrative Charge</t>
  </si>
  <si>
    <t>Subtotal for Sprint Surcharges</t>
  </si>
  <si>
    <t>Michigan State E911</t>
  </si>
  <si>
    <t>Wayne County 911 Tax</t>
  </si>
  <si>
    <t>Michigan State Sales Tax</t>
  </si>
  <si>
    <t>Subtotal Government Taxes and Fees</t>
  </si>
  <si>
    <t>Plans and Equipment</t>
  </si>
  <si>
    <t>Total Owed</t>
  </si>
  <si>
    <t>Previous Bill</t>
  </si>
  <si>
    <t>Federal Univ Serv Assess LD</t>
  </si>
  <si>
    <t>This Bill</t>
  </si>
  <si>
    <t>Service Late Fee</t>
  </si>
  <si>
    <t>Unlimited Plus</t>
  </si>
  <si>
    <t>Aug20-Dec20</t>
  </si>
  <si>
    <t>Aug20--Dec20</t>
  </si>
  <si>
    <t>Sell Ford Fusion</t>
  </si>
  <si>
    <t>Pet Grooming</t>
  </si>
  <si>
    <t>Budget</t>
  </si>
  <si>
    <t>Actual</t>
  </si>
  <si>
    <t>Difference</t>
  </si>
  <si>
    <t>Mom Dog Food</t>
  </si>
  <si>
    <t>Dog Food</t>
  </si>
  <si>
    <t>Roku</t>
  </si>
  <si>
    <t>Cable Modem and Router</t>
  </si>
  <si>
    <t>Reimbursement Mom Expenses</t>
  </si>
  <si>
    <t>Dog Merchandise Vet</t>
  </si>
  <si>
    <t>04. Household Expenses Total</t>
  </si>
  <si>
    <t>04. Household Expenses</t>
  </si>
  <si>
    <t>05.  Dodge Dart Auto Expenses</t>
  </si>
  <si>
    <t>05. Dodge Dart Auto Expenses</t>
  </si>
  <si>
    <t>05. Dodge Dart Auto Expenses Total</t>
  </si>
  <si>
    <t>Ford Fusion Auto Care</t>
  </si>
  <si>
    <t>Ford Fusion Auto Fuel</t>
  </si>
  <si>
    <t>08.  Dog Expenses</t>
  </si>
  <si>
    <t>08. Dogs Expenses Total</t>
  </si>
  <si>
    <t>10. Mom Expenses</t>
  </si>
  <si>
    <t>Dining Restaurant</t>
  </si>
  <si>
    <t>Service DTE Electrical Natural Gas</t>
  </si>
  <si>
    <t>10. Mom Expenses Total</t>
  </si>
  <si>
    <t>Lauren Itunes Expenses</t>
  </si>
  <si>
    <t>Ford Fusion Auto Repair</t>
  </si>
  <si>
    <t>Ford Fusion Auto Purchase</t>
  </si>
  <si>
    <t>Service Lawn Care</t>
  </si>
  <si>
    <t>Phil's Expenses</t>
  </si>
  <si>
    <t>Running Balance</t>
  </si>
  <si>
    <t>Dad Owes</t>
  </si>
  <si>
    <t>Earned School Incentive</t>
  </si>
  <si>
    <t>Xbox 100 Madden18 points</t>
  </si>
  <si>
    <t>Xbox Gold 3 months @ $5/month + tax</t>
  </si>
  <si>
    <t>March 20 Earned School Incentive</t>
  </si>
  <si>
    <t>500 Madden 18 points at $4.99 + 6% tax</t>
  </si>
  <si>
    <t>2500 Xbox fortnight points at $24.99 + 6% tax</t>
  </si>
  <si>
    <t>1000 Fornite points at $9.99 + 6% tax</t>
  </si>
  <si>
    <t>Bottle return</t>
  </si>
  <si>
    <t>Fortnite 1000 vBucks</t>
  </si>
  <si>
    <t>Fortnite 2000 vBucks</t>
  </si>
  <si>
    <t>Birthday Gift Money</t>
  </si>
  <si>
    <t>Fortnite 2500 vBucks</t>
  </si>
  <si>
    <t>Gaming Mouse</t>
  </si>
  <si>
    <t>1000 Fornite points at $9.99</t>
  </si>
  <si>
    <t>From Room</t>
  </si>
  <si>
    <t>Rake Leaves front and back yards at $25</t>
  </si>
  <si>
    <t>Transfer 40% to long term savings</t>
  </si>
  <si>
    <t>Rake leaves back yard additional $10/hr * 1.5 hours</t>
  </si>
  <si>
    <t>From Phil</t>
  </si>
  <si>
    <t>error 40% was previously taken out at the wrong time before the .36 not after.  Because of error,  supplemented the additonal $0.25</t>
  </si>
  <si>
    <t>from Dad</t>
  </si>
  <si>
    <t>Input sum</t>
  </si>
  <si>
    <t>1000 Fortnite points at $9.99</t>
  </si>
  <si>
    <t>Help with Christmas attic stuff</t>
  </si>
  <si>
    <t>Help set up Christmas Tree</t>
  </si>
  <si>
    <t>work around the house</t>
  </si>
  <si>
    <t>input sum</t>
  </si>
  <si>
    <t>Cash directly to Phil</t>
  </si>
  <si>
    <t>Christmas gift from Grandma</t>
  </si>
  <si>
    <t>From Aunt Betty</t>
  </si>
  <si>
    <t>Fortnite deepfreeze bundle</t>
  </si>
  <si>
    <t>Fortnite Frozen Legends</t>
  </si>
  <si>
    <t>$10 from Lauren</t>
  </si>
  <si>
    <t>$5 from Dad</t>
  </si>
  <si>
    <t>$19.80 Bottle returns</t>
  </si>
  <si>
    <t>Fortnite Cobalt Package</t>
  </si>
  <si>
    <t>ç</t>
  </si>
  <si>
    <t>Laguna Pack</t>
  </si>
  <si>
    <t>$10 Cash From Phil</t>
  </si>
  <si>
    <t>2800 Fortnite vBucks` $24.99</t>
  </si>
  <si>
    <t>Gift to Phil for Easter</t>
  </si>
  <si>
    <t>Madden 19</t>
  </si>
  <si>
    <t>Bottle Return</t>
  </si>
  <si>
    <t>Previous other income</t>
  </si>
  <si>
    <t>long term savings deposit on hold until 4/28</t>
  </si>
  <si>
    <t>Misc. Input</t>
  </si>
  <si>
    <t>Tier 99 Fortnite</t>
  </si>
  <si>
    <t>93% Vocab test</t>
  </si>
  <si>
    <t>Gift from Dad</t>
  </si>
  <si>
    <t>Pop  Can Return</t>
  </si>
  <si>
    <t>Purchase Madden NFL 19 Ultimate Team 1050 Points Pack</t>
  </si>
  <si>
    <t xml:space="preserve">
 Madden NFL 19 Ultimate Team 500 Points Pack	Madden NFL 19 Ultimate Team 500 Points Pack</t>
  </si>
  <si>
    <t>Work picking weeds in backyard for 1 hour</t>
  </si>
  <si>
    <t>Fortnite Wilde pack</t>
  </si>
  <si>
    <t>Excemption from previous long term savings reqiuirement</t>
  </si>
  <si>
    <t>HiPixel VIP Rank</t>
  </si>
  <si>
    <t>$20 for food at game</t>
  </si>
  <si>
    <t>1000 Fornite vBucks at $9.99</t>
  </si>
  <si>
    <t>$10 for stuff at football game</t>
  </si>
  <si>
    <t>Red Strike Fortnite Pack</t>
  </si>
  <si>
    <t>Gift from Aunt Betty</t>
  </si>
  <si>
    <t>Gift from Grandma Prost</t>
  </si>
  <si>
    <t>Fortnite WaveBreaker Pack</t>
  </si>
  <si>
    <t>$.61 cents lying around</t>
  </si>
  <si>
    <t>Transfer from Amount summaries</t>
  </si>
  <si>
    <t>Currently Available in savings account at Bank of America</t>
  </si>
  <si>
    <t>Running Total</t>
  </si>
  <si>
    <t xml:space="preserve"> Earned Household Labor Cut lawn</t>
  </si>
  <si>
    <t>Earned Household Labor Collect Bottles, Bring To Bottle return dispenser</t>
  </si>
  <si>
    <t>Earned School Incentive Unit 3 Spelling Test 100%</t>
  </si>
  <si>
    <t>Earned School Incentive Unit 4 Spelling Test 100%</t>
  </si>
  <si>
    <t>Earned School Incentive A+ + extra credit on spelling test</t>
  </si>
  <si>
    <t>Earned School Incentive 97% vocab test</t>
  </si>
  <si>
    <t>Earned School Incentive $10 92% Math</t>
  </si>
  <si>
    <t>Earned School Incentive $12 100% 3/15 spelling test</t>
  </si>
  <si>
    <t>Earned School Incentive $14 101% 3/29 Spelling Test</t>
  </si>
  <si>
    <t>Earned School Incentive 93% Spelling Test</t>
  </si>
  <si>
    <t>Earned School Incentive 101% Spelling Test + Misc Income .25</t>
  </si>
  <si>
    <t>Introduce new Savings Plan 40% all income goes to college/ long term savings</t>
  </si>
  <si>
    <t>Dad Gift/Owe</t>
  </si>
  <si>
    <t>Xbox Expense</t>
  </si>
  <si>
    <t>Madden Expense</t>
  </si>
  <si>
    <t>Fortnite Expense</t>
  </si>
  <si>
    <t>Household Labor</t>
  </si>
  <si>
    <t>Good Grade Incentive</t>
  </si>
  <si>
    <t>Computer Equipment Purchase</t>
  </si>
  <si>
    <t>Long Term Savings</t>
  </si>
  <si>
    <t>Treat Expense</t>
  </si>
  <si>
    <t>Balanced Carried Forward</t>
  </si>
  <si>
    <t>Column Labels</t>
  </si>
  <si>
    <t>Phil's Expenses 2018</t>
  </si>
  <si>
    <t xml:space="preserve">2019 Phil's Income/Expense </t>
  </si>
  <si>
    <t>s</t>
  </si>
  <si>
    <t>Category type</t>
  </si>
  <si>
    <t>1. Income</t>
  </si>
  <si>
    <t>3. Other</t>
  </si>
  <si>
    <t>2. Expense</t>
  </si>
  <si>
    <t>Month Number</t>
  </si>
  <si>
    <t>Enumerated Month</t>
  </si>
  <si>
    <t>08. Dogs Expenses</t>
  </si>
  <si>
    <t>Fee Credit Card Interest</t>
  </si>
  <si>
    <t>School Expenses</t>
  </si>
  <si>
    <t>Dog Service Vet</t>
  </si>
  <si>
    <t>TD AMERITRADE IN DES:ACH OUT ID:aY4WFIW1K5 INDN:PROST CHRISTOPHER CO ID:XXXXX33629 PPD</t>
  </si>
  <si>
    <t>HOME DEPOT DES:ONLINE PMT ID:XXXXX0573580964 INDN:CHRISTOPHER PROST CO ID:CITICTP WEB</t>
  </si>
  <si>
    <t>Child support</t>
  </si>
  <si>
    <t>Check 4037 Lauren Prost Christmas Gift</t>
  </si>
  <si>
    <t>MSFT * E0500A1LLK MSBILL.INFO WA</t>
  </si>
  <si>
    <t>AADVANTAGE</t>
  </si>
  <si>
    <t>Sevice Medical Care</t>
  </si>
  <si>
    <t>Merchandise Medical Care</t>
  </si>
  <si>
    <t>TIM HORTONS #915694 586-944-2880 MI</t>
  </si>
  <si>
    <t>LITTLE CAESARS 1288 00 SAINT CLAIR S MI</t>
  </si>
  <si>
    <t>Month Category</t>
  </si>
  <si>
    <t>AMAZON.COM*AB6TY8PQ3 A AMZN.COM/BILL WA est. 45lbs dog food/mo 30lb subscription every month</t>
  </si>
  <si>
    <t>Amazon.com*LN5ZO82J3 Amzn.com/bill WA est 45lb dog food/month 30lb dog food subscription every other month</t>
  </si>
  <si>
    <t>3. Not Tracked</t>
  </si>
  <si>
    <t>Balance Carried Forward</t>
  </si>
  <si>
    <t>Fornite Expense</t>
  </si>
  <si>
    <t>2020 Expenses</t>
  </si>
  <si>
    <t>1000 Fornite vBucks at $9.99 Identified in Visa / not recorded first</t>
  </si>
  <si>
    <t>Online Banking transfer to SAV 5164 Confirmation# 7133582502</t>
  </si>
  <si>
    <t>Bill Pay Check 5277: MARY ANN PROST</t>
  </si>
  <si>
    <t>Bill Pay Check 5281: OUR LADY OF HOPE CATHOLIC CHUR</t>
  </si>
  <si>
    <t>HOME DEPOT DES:ONLINE PMT ID:XXXXX1465936612 INDN:CHRISTOPHER PROST CO ID:CITICTP WEB</t>
  </si>
  <si>
    <t>Check 9011 Best Buy</t>
  </si>
  <si>
    <t>Cash W/D Ford Fusion Auto Repair</t>
  </si>
  <si>
    <t>MI TLR cash withdrawal from CHK 9252 Banking Ctr MARTER-JEFFERSON #0000080 MI Confirmation# 1558474748</t>
  </si>
  <si>
    <t>AMERICAN EXPRESS DES:ACH PMT ID:A5896 INDN:CHRISTOPHE PROST CO ID:XXXXX33497 CCD</t>
  </si>
  <si>
    <t>Bill Pay Check 5286: OUR LADY OF HOPE CATHOLIC CHUR</t>
  </si>
  <si>
    <t>Bill Pay Check 5282: City Of Grosse Pointe Woods</t>
  </si>
  <si>
    <t>Interest Earned</t>
  </si>
  <si>
    <t>Advantage Monthly Maintenance Fee</t>
  </si>
  <si>
    <t>Check 4038 Mortgage Payment</t>
  </si>
  <si>
    <t>Water bill</t>
  </si>
  <si>
    <t>Check 4039 Mortgage Payment</t>
  </si>
  <si>
    <t>AMEX</t>
  </si>
  <si>
    <t>SPRINT *WIRELESS 800-639-6111 KS </t>
  </si>
  <si>
    <t>Cleared</t>
  </si>
  <si>
    <t>SIR SPEEDY HARPER WOODS MI</t>
  </si>
  <si>
    <t>KROGER #454 GROSSE POINTE MI</t>
  </si>
  <si>
    <t>EXXONMOBIL 97316137 GROSSE POINTE MI</t>
  </si>
  <si>
    <t>MCDONALD'S F6927 ST CLAIR SHOR MI</t>
  </si>
  <si>
    <t>ESURANCE CAR INSURANCE 800-378-7262 CA</t>
  </si>
  <si>
    <t>KROGER #445 ST. CLAIR SHO MI</t>
  </si>
  <si>
    <t>THE HOME DEPOT #2707 ROSEVILLE MI</t>
  </si>
  <si>
    <t>SIR SPEEDY 5867777500 MI</t>
  </si>
  <si>
    <t>APPLE.COM/BILL 866-712-7753 CA</t>
  </si>
  <si>
    <t>COMCAST 800-934-6489 MI</t>
  </si>
  <si>
    <t>CARFAX *CARFAX.COM CARFAX.COM VA</t>
  </si>
  <si>
    <t>BELLE TIRE 003 ROSEVILLE MI</t>
  </si>
  <si>
    <t>JETS PIZZA - MI17 GROSSE PT WDS MI</t>
  </si>
  <si>
    <t>SPEEDWAY 02317 9 MILE EASTPOINTE MI</t>
  </si>
  <si>
    <t>THE HOME DEPOT #2718 HARPER WOODS MI</t>
  </si>
  <si>
    <t>WENDY'S #205 GROSSE PT FRM MI</t>
  </si>
  <si>
    <t>FIRESTONE6149 ROSEVILLE MI</t>
  </si>
  <si>
    <t>COURSRA977H4XECX5H6TI 6502657649 CA</t>
  </si>
  <si>
    <t>KROGER #495 ST CLAIR SHOR MI</t>
  </si>
  <si>
    <t>CHOCOLATE BAR CAFE GROSSE POINTE MI</t>
  </si>
  <si>
    <t>MR CS CAR WASH 2 HARPER WOODS MI</t>
  </si>
  <si>
    <t>COPPER HOP BREWING CO SAINT CLAIR S MI</t>
  </si>
  <si>
    <t>Auto Insurance</t>
  </si>
  <si>
    <t>Phil Gifts Received</t>
  </si>
  <si>
    <t>Phil Online Game Purchases</t>
  </si>
  <si>
    <t>Phil Labor</t>
  </si>
  <si>
    <t>Phil Good Grades</t>
  </si>
  <si>
    <t>Phil Cash Input</t>
  </si>
  <si>
    <t>Phil Transfer to Long Term Savings</t>
  </si>
  <si>
    <t>Phil Bottle Return Savings</t>
  </si>
  <si>
    <t>Mortgage Interest</t>
  </si>
  <si>
    <t>Mortgage Principle</t>
  </si>
  <si>
    <t>Mortgage Fees</t>
  </si>
  <si>
    <t>Mortgage Escrow</t>
  </si>
  <si>
    <t>11.  Phil Work Ethic</t>
  </si>
  <si>
    <t>11. Phil Work Ethic</t>
  </si>
  <si>
    <t>11. Phil Work Ethic Total</t>
  </si>
  <si>
    <t>12. Mortgage Grouping</t>
  </si>
  <si>
    <t>12. Mortgage Grouping Total</t>
  </si>
  <si>
    <t>Property Taxes</t>
  </si>
  <si>
    <t>12.  Mortgage Grouping</t>
  </si>
  <si>
    <t>13. Special Expenses</t>
  </si>
  <si>
    <t>13. Special Expense Total</t>
  </si>
  <si>
    <t>14. Undesired Expenses</t>
  </si>
  <si>
    <t>14. Undesired Expense</t>
  </si>
  <si>
    <t>14. Undesired Expense Total</t>
  </si>
  <si>
    <t>15. Ford Fusion Auto Expenses Total</t>
  </si>
  <si>
    <t>16. Not Tracked</t>
  </si>
  <si>
    <t>Microsoft Office 365 Personal</t>
  </si>
  <si>
    <t>09. Internet/TV Entertainment Electronics</t>
  </si>
  <si>
    <t>09. Internet TV Entertainment Electronics</t>
  </si>
  <si>
    <t>09. Internet TV Entertainment Electroncis Totals</t>
  </si>
  <si>
    <t>Bill Pay Check 5274: BEST BUY CREDIT SERVICES Computer Purchase</t>
  </si>
  <si>
    <t>Mortgage + Property Taxes</t>
  </si>
  <si>
    <t>Mobile Deposit Check for Mom's Stuff Planned Expenses January-April</t>
  </si>
  <si>
    <t>01. Checking Account Income</t>
  </si>
  <si>
    <t>02. Checking Account Expenses</t>
  </si>
  <si>
    <t>03. CP Business Analysis Expenses</t>
  </si>
  <si>
    <t>03. CP Business Analysis Total</t>
  </si>
  <si>
    <t>04. Family Expenses</t>
  </si>
  <si>
    <t>04. Family Expenses Total</t>
  </si>
  <si>
    <t>Checking Account Income vs. Expenses</t>
  </si>
  <si>
    <t>Cash Gift Given</t>
  </si>
  <si>
    <t>01. Checking Account Income Total</t>
  </si>
  <si>
    <t>Misc Income</t>
  </si>
  <si>
    <t>02. Checking Account Expenses Total</t>
  </si>
  <si>
    <t>P</t>
  </si>
  <si>
    <t>Online Banking transfer from SAV 5164 Confirmation# 7133582502</t>
  </si>
  <si>
    <t>Checking Account Beginning Balance</t>
  </si>
  <si>
    <t>Beginning Balance Other</t>
  </si>
  <si>
    <t>Transfer Other</t>
  </si>
  <si>
    <t>Payment Other</t>
  </si>
  <si>
    <t>GROUPED BUDGETS AND ACTUALS</t>
  </si>
  <si>
    <t>Payment OTHER</t>
  </si>
  <si>
    <t>15.  Ford Fusion</t>
  </si>
  <si>
    <t> BELLE TIRE 036 GROSSE POINT MI </t>
  </si>
  <si>
    <t>Gift Received</t>
  </si>
  <si>
    <t>$23 from Dad to bring balance above zero</t>
  </si>
  <si>
    <t>3. Transfer</t>
  </si>
  <si>
    <t>Balance is in the negative Phil promised on 2/1 to pay the balance on Monday 2/3</t>
  </si>
  <si>
    <t>Reimbursement</t>
  </si>
  <si>
    <t>$10 Reimbursement for loan</t>
  </si>
  <si>
    <t>$10 loan</t>
  </si>
  <si>
    <t>$5 from Mom</t>
  </si>
  <si>
    <t>skin</t>
  </si>
  <si>
    <t>Earned Income</t>
  </si>
  <si>
    <t xml:space="preserve">Found $0.22 </t>
  </si>
  <si>
    <t>Worked for 3.5 hours around the house</t>
  </si>
  <si>
    <t>2500 vBucks</t>
  </si>
  <si>
    <t>Sum of Amount</t>
  </si>
  <si>
    <t>BKOFAMERICA MOBILE 01/22 3639527607 DEPOSIT *MOBILE MI</t>
  </si>
  <si>
    <t>BKOFAMERICA MOBILE 01/22 3639593175 DEPOSIT *MOBILE MI</t>
  </si>
  <si>
    <t>Bill Pay Check 5287: OUR LADY OF HOPE CATHOLIC CHUR</t>
  </si>
  <si>
    <t>MI. ST. UNIV. DES:MSU ACH ID:A56889396 INDN:CHRISTOPHER PROST CO ID:XXXXX05984 WEB</t>
  </si>
  <si>
    <t>CITI AUTOPAY DES:PAYMENT ID:XXXXX9926381040 INDN:CHRISTOPHER PROST CO ID:CITICARDAP WEB</t>
  </si>
  <si>
    <t>Bill Pay Check 5288: OUR LADY OF HOPE CATHOLIC CHUR</t>
  </si>
  <si>
    <t>Bill Pay Check 5283: MICHIGAN FIRST CREDIT UNION</t>
  </si>
  <si>
    <t>Bill Pay Check 5284: BEST BUY CREDIT SERVICES</t>
  </si>
  <si>
    <t>BKOFAMERICA MOBILE 02/04 3674402080 DEPOSIT *MOBILE MI</t>
  </si>
  <si>
    <t>Bill Pay Check 5289: OUR LADY OF HOPE CATHOLIC CHUR</t>
  </si>
  <si>
    <t>AMERICAN EXPRESS DES:ACH PMT ID:A8252 INDN:CHRISTOPHE PROST CO ID:XXXXX33497 CCD</t>
  </si>
  <si>
    <t>Bill Pay Check 5292: OUR LADY OF HOPE CATHOLIC CHUR</t>
  </si>
  <si>
    <t>Bill Pay Check 5285: MARY ANN PROST</t>
  </si>
  <si>
    <t>Bill Pay Check 5294: OUR LADY OF HOPE CATHOLIC CHUR</t>
  </si>
  <si>
    <t>CITI AUTOPAY DES:PAYMENT ID:XXXXX1527905194 INDN:CHRISTOPHER P PROST CO ID:CITICARDAP WEB</t>
  </si>
  <si>
    <t>OVERDRAFT ITEM FEE FOR ACTIVITY OF 02-18 ELECTRONIC TRANSACTION POSTING DATE 02-18-20 POSTING SEQ 00002</t>
  </si>
  <si>
    <t>CITI AUTOPAY DES:PAYMENT ID:XXXXX7578680635 INDN:CHRISTOPHER PROST CO ID:CITICARDAP WEB</t>
  </si>
  <si>
    <t>NSF: RETURNED ITEM FEE FOR ACTIVITY OF 02-25 ELECTRONIC TRANSACTION POSTING DATE 02-25-20 POSTING SEQ 00001</t>
  </si>
  <si>
    <t>RETURN OF POSTED CHECK / ITEM (RECEIVED ON 02-25) ELECTRONIC TRANSACTION</t>
  </si>
  <si>
    <t>CITI AUTOPAY DES:RETRY PYMT ID:XXXXX7578680635 INDN:CHRISTOPHER PROST CO ID:CITICARDAP WEB</t>
  </si>
  <si>
    <t>NSF: RETURNED ITEM FEE FOR ACTIVITY OF 02-28 ELECTRONIC TRANSACTION POSTING DATE 02-28-20 POSTING SEQ 00001</t>
  </si>
  <si>
    <t>RETURN OF POSTED CHECK / ITEM (RECEIVED ON 02-28) ELECTRONIC TRANSACTION</t>
  </si>
  <si>
    <t>Bill Pay Check 5291: BEST BUY CREDIT SERVICES</t>
  </si>
  <si>
    <t>NSF: RETURNED ITEM FEE FOR ACTIVITY OF 03-02 CHECK #0000005291 POSTING DATE 03-02-20 POSTING SEQ 00002</t>
  </si>
  <si>
    <t>RETURN OF POSTED CHECK / ITEM (RECEIVED ON 03-02) CHECK #0000005291</t>
  </si>
  <si>
    <t>Bill Pay Check 5290: MICHIGAN FIRST CREDIT UNION</t>
  </si>
  <si>
    <t>Bill Pay Check 5295: OUR LADY OF HOPE CATHOLIC CHUR</t>
  </si>
  <si>
    <t>Bill Pay Check 5296: OUR LADY OF HOPE CATHOLIC CHUR</t>
  </si>
  <si>
    <t>NSF: RETURNED ITEM FEE FOR ACTIVITY OF 03-03 CHECK #0000005290 POSTING DATE 03-03-20 POSTING SEQ 00004</t>
  </si>
  <si>
    <t>NSF: RETURNED ITEM FEE FOR ACTIVITY OF 03-03 CHECK #0000005295 POSTING DATE 03-03-20 POSTING SEQ 00005</t>
  </si>
  <si>
    <t>NSF: RETURNED ITEM FEE FOR ACTIVITY OF 03-03 CHECK #0000005296 POSTING DATE 03-03-20 POSTING SEQ 00006</t>
  </si>
  <si>
    <t>RETURN OF POSTED CHECK / ITEM (RECEIVED ON 03-03) CHECK #0000005290</t>
  </si>
  <si>
    <t>RETURN OF POSTED CHECK / ITEM (RECEIVED ON 03-03) CHECK #0000005295</t>
  </si>
  <si>
    <t>RETURN OF POSTED CHECK / ITEM (RECEIVED ON 03-03) CHECK #0000005296</t>
  </si>
  <si>
    <t>NSF: RETURNED ITEM FEE FOR ACTIVITY OF 03-04 CHECK #0000005291 POSTING DATE 03-04-20 POSTING SEQ 00004</t>
  </si>
  <si>
    <t>NSF: RETURNED ITEM FEE FOR ACTIVITY OF 03-04 ELECTRONIC TRANSACTION POSTING DATE 03-04-20 POSTING SEQ 00005</t>
  </si>
  <si>
    <t>RETURN OF POSTED CHECK / ITEM (RECEIVED ON 03-04) ELECTRONIC TRANSACTION</t>
  </si>
  <si>
    <t>RETURN OF POSTED CHECK / ITEM (RECEIVED ON 03-04) CHECK #0000005291</t>
  </si>
  <si>
    <t>Check 529</t>
  </si>
  <si>
    <t>NSF: RETURNED ITEM FEE FOR ACTIVITY OF 03-05 CHECK #0000000529 POSTING DATE 03-05-20 POSTING SEQ 00003</t>
  </si>
  <si>
    <t>RETURN OF POSTED CHECK / ITEM (RECEIVED ON 03-05) CHECK #0000000529</t>
  </si>
  <si>
    <t>Bill Pay Check 5293: MARY ANN PROST</t>
  </si>
  <si>
    <t>NSF: RETURNED ITEM FEE FOR ACTIVITY OF 03-09 CHECK #0000005293 POSTING DATE 03-09-20 POSTING SEQ 00001</t>
  </si>
  <si>
    <t>RETURN OF POSTED CHECK / ITEM (RECEIVED ON 03-09) CHECK #0000005293</t>
  </si>
  <si>
    <t>AMERICAN EXPRESS DES:ACH PMT ID:A4032 INDN:CHRISTOPHE PROST CO ID:XXXXX33497 CCD</t>
  </si>
  <si>
    <t>NSF: RETURNED ITEM FEE FOR ACTIVITY OF 03-10 ELECTRONIC TRANSACTION POSTING DATE 03-10-20 POSTING SEQ 00002</t>
  </si>
  <si>
    <t>RETURN OF POSTED CHECK / ITEM (RECEIVED ON 03-10) ELECTRONIC TRANSACTION</t>
  </si>
  <si>
    <t>AMERICAN EXPRESS DES:RETRY PYMT ID:A4032 INDN:CHRISTOPHE PROST CO ID:XXXXX33497 CCD</t>
  </si>
  <si>
    <t>NSF: RETURNED ITEM FEE FOR ACTIVITY OF 03-12 ELECTRONIC TRANSACTION POSTING DATE 03-12-20 POSTING SEQ 00001</t>
  </si>
  <si>
    <t>RETURN OF POSTED CHECK / ITEM (RECEIVED ON 03-12) ELECTRONIC TRANSACTION</t>
  </si>
  <si>
    <t>NSF: RETURNED ITEM FEE FOR ACTIVITY OF 03-16 ELECTRONIC TRANSACTION POSTING DATE 03-16-20 POSTING SEQ 00001</t>
  </si>
  <si>
    <t>RETURN OF POSTED CHECK / ITEM (RECEIVED ON 03-16) ELECTRONIC TRANSACTION</t>
  </si>
  <si>
    <t>Bill Pay Check 5298: OUR LADY OF HOPE CATHOLIC CHUR</t>
  </si>
  <si>
    <t>Bill Pay Check 5301: OUR LADY OF HOPE CATHOLIC CHUR</t>
  </si>
  <si>
    <t>CITI AUTOPAY DES:PAYMENT ID:XXXXX5684981489 INDN:CHRISTOPHER P PROST CO ID:CITICARDAP WEB</t>
  </si>
  <si>
    <t>NSF: RETURNED ITEM FEE FOR ACTIVITY OF 03-17 CHECK #0000005298 POSTING DATE 03-17-20 POSTING SEQ 00003</t>
  </si>
  <si>
    <t>NSF: RETURNED ITEM FEE FOR ACTIVITY OF 03-17 CHECK #0000005301 POSTING DATE 03-17-20 POSTING SEQ 00004</t>
  </si>
  <si>
    <t>NSF: RETURNED ITEM FEE FOR ACTIVITY OF 03-17 ELECTRONIC TRANSACTION POSTING DATE 03-17-20 POSTING SEQ 00005</t>
  </si>
  <si>
    <t>RETURN OF POSTED CHECK / ITEM (RECEIVED ON 03-17) ELECTRONIC TRANSACTION</t>
  </si>
  <si>
    <t>RETURN OF POSTED CHECK / ITEM (RECEIVED ON 03-17) CHECK #0000005298</t>
  </si>
  <si>
    <t>RETURN OF POSTED CHECK / ITEM (RECEIVED ON 03-17) CHECK #0000005301</t>
  </si>
  <si>
    <t>CITI AUTOPAY DES:RETRY PYMT ID:XXXXX5684981489 INDN:CHRISTOPHER P PROST CO ID:CITICARDAP WEB</t>
  </si>
  <si>
    <t>NSF: RETURNED ITEM FEE FOR ACTIVITY OF 03-20 ELECTRONIC TRANSACTION POSTING DATE 03-20-20 POSTING SEQ 00001</t>
  </si>
  <si>
    <t>RETURN OF POSTED CHECK / ITEM (RECEIVED ON 03-20) ELECTRONIC TRANSACTION</t>
  </si>
  <si>
    <t>Bill Pay Check 5302: OUR LADY OF HOPE CATHOLIC CHUR</t>
  </si>
  <si>
    <t>CITI AUTOPAY DES:PAYMENT ID:XXXXX1732153380 INDN:CHRISTOPHER PROST CO ID:CITICARDAP WEB</t>
  </si>
  <si>
    <t>NSF: RETURNED ITEM FEE FOR ACTIVITY OF 03-24 CHECK #0000005302 POSTING DATE 03-24-20 POSTING SEQ 00001</t>
  </si>
  <si>
    <t>NSF: RETURNED ITEM FEE FOR ACTIVITY OF 03-24 ELECTRONIC TRANSACTION POSTING DATE 03-24-20 POSTING SEQ 00002</t>
  </si>
  <si>
    <t>Interest Charge on Purchases</t>
  </si>
  <si>
    <t>RETURN PAYMENT FEE</t>
  </si>
  <si>
    <t>SPRINT *WIRELESS 800-639-6111 KS</t>
  </si>
  <si>
    <t>BUFFALO WILD WINGS SAINT CLAIR SMI</t>
  </si>
  <si>
    <t>EASTSIDE BAGEL SAINT CLAIR SMI</t>
  </si>
  <si>
    <t>KROGER #495 ST CLAIR SHORMI</t>
  </si>
  <si>
    <t>WAL-MART #2959 ROSEVILLE MI</t>
  </si>
  <si>
    <t>LITTLE CAESARS 1288 0005 SAINT CLAIR SMI</t>
  </si>
  <si>
    <t>PALMERS INN SAINT CLAIR SMI</t>
  </si>
  <si>
    <t>TST* BUDDY S PIZZA - DETRDETROIT MI</t>
  </si>
  <si>
    <t>MCDONALD'S F15806 HARPER WOODS MI</t>
  </si>
  <si>
    <t>COSTCO GAS #0394 ROSEVILLE MI</t>
  </si>
  <si>
    <t>COSTCO WHSE #0394 ROSEVILLE MI</t>
  </si>
  <si>
    <t>INTEREST CHARGED TO STANDARD PURCH</t>
  </si>
  <si>
    <t>AUTOPAY 000000000032049RAUTOPAY AUTO-PMT</t>
  </si>
  <si>
    <t>PAYMENT THANK YOU</t>
  </si>
  <si>
    <t>LITTLE CAESARS 1288 00 586-7748700 MI</t>
  </si>
  <si>
    <t>NETFLIX.COM 866-5797172 CA Digital Account Number XXXXXXXXXXXX2597</t>
  </si>
  <si>
    <t>1031620 AUTOPAY RTN R01-INSUFFICIENT FUN</t>
  </si>
  <si>
    <t>AUTOPAY 000000000005267RAUTOPAY AUTO-PMT</t>
  </si>
  <si>
    <t>RETURN CHECK FEE - 031620</t>
  </si>
  <si>
    <t>DISNEYPLUS 888-9057888 CA</t>
  </si>
  <si>
    <t>LinkedIn 5189120823 ln 8556535653 CA</t>
  </si>
  <si>
    <t>AMAZON.COM*DC90K12Z3 A AMZN.COM/BILL WA</t>
  </si>
  <si>
    <t>DTE ENERGY 800-4774747 MI</t>
  </si>
  <si>
    <t>Amazon.com*F86R27IW3 Amzn.com/bill WA</t>
  </si>
  <si>
    <t>NETFLIX.COM NETFLIX.COM CA Digital Account Number XXXXXXXXXXXX2597</t>
  </si>
  <si>
    <t>PAYPAL *TJXCOMPANIE 4029357733 MA</t>
  </si>
  <si>
    <t>ALLIVET HIALEAH FL</t>
  </si>
  <si>
    <t>NATIONAL CONEY ISLAND ROSEVILLE MI</t>
  </si>
  <si>
    <t>TIM HORTON'S #913782 BIRMINGHAM MI</t>
  </si>
  <si>
    <t>KROGER #710 HARPER WOODS MI</t>
  </si>
  <si>
    <t>EASTSIDE BAGEL SAINT CLAIR S MI</t>
  </si>
  <si>
    <t>LINKEDIN-528*5799574 6506873555 CA</t>
  </si>
  <si>
    <t>LOGANS LIVONIA MI</t>
  </si>
  <si>
    <t>KROGER FUEL #9455 ROSEVILLE MI</t>
  </si>
  <si>
    <t>KERBYS KONEY ISLAND - WATERFORD MI</t>
  </si>
  <si>
    <t>BURGER KING #791 Q07 SAINT CLAIR S MI</t>
  </si>
  <si>
    <t>JOSEF S EUROPEAN PASTY GROSSE POINTE MI</t>
  </si>
  <si>
    <t>SUBWAY 05124474 GROSSE POINTE MI</t>
  </si>
  <si>
    <t>DOLLAR GENERAL #21066 SAINT CLAIR S MI</t>
  </si>
  <si>
    <t>Amazon.com*P22WB59Q3 Amzn.com/bill WA</t>
  </si>
  <si>
    <t>LITTLE CAESARS 2015 00 SAINT CLAIR S MI</t>
  </si>
  <si>
    <t>JOLLY PUMPKIN PIZZERIA DETROIT MI</t>
  </si>
  <si>
    <t>FOWLING WAREHOUSE DETR DETROIT MI</t>
  </si>
  <si>
    <t>1034 Dominos Pizza GROSSE POINTE MI</t>
  </si>
  <si>
    <t>OFFICE DEPOT #348 EASTPOINTE MI</t>
  </si>
  <si>
    <t>MR CS CAR WASH 1 DETROIT MI</t>
  </si>
  <si>
    <t>BELLE TIRE 036 GROSSE POINT MI</t>
  </si>
  <si>
    <t>SUPER CAR WASH - 3 EASTPOINTE MI</t>
  </si>
  <si>
    <t>BOSTON MARKET 0059 GROSSE POINTE MI</t>
  </si>
  <si>
    <t>Disputed Charge</t>
  </si>
  <si>
    <t>APPLE.COM/BILL 866-712-7753 CA Cloud Storage</t>
  </si>
  <si>
    <t>APPLE.COM/BILL 866-712-7753 CA Mr. Rogers Neigborhood Movie</t>
  </si>
  <si>
    <t>APPLE.COM/BILL 866-712-7753 CA Antivirus Subscription / yr</t>
  </si>
  <si>
    <t>AMAZON.COM*Y86O66UE3 A AMZN.COM/BILL WA Oven Thermometer</t>
  </si>
  <si>
    <t>aliexpress San Mateo CA Apple EarPod Case</t>
  </si>
  <si>
    <t>Amazon.com*8A5U31DE3 Amzn.com/bill WA Milk Bone Dog Biscuits 10 lbs</t>
  </si>
  <si>
    <t>AMAZON.COM*B00Y90723 A AMZN.COM/BILL WA Underwear briefs for Chris</t>
  </si>
  <si>
    <t>AMAZON.COM*KP55Y0NM3 A AMZN.COM/BILL WA TV Wall mount</t>
  </si>
  <si>
    <t>AMZN Mktp US*4I16Z7ZZ3 Amzn.com/bill WA Mouse for Phil's computer</t>
  </si>
  <si>
    <t>AMZN Mktp US*CI13I65Y3 Amzn.com/bill WA digital Fever Thermometer</t>
  </si>
  <si>
    <t>AMZN Mktp US*KP5550ES3 Amzn.com/bill WA Shoelaces Black</t>
  </si>
  <si>
    <t>AMZN Mktp US*KT3EM9BP3 Amzn.com/bill WA Shoes Philip</t>
  </si>
  <si>
    <t>AMZN Mktp US*N05ZX1PG3 Amzn.com/bill WA Toothpaste</t>
  </si>
  <si>
    <t>Amazon.com*K86M65GP3 Amzn.com/bill WA Stapler</t>
  </si>
  <si>
    <t>APPLE.COM/BILL 1111111111 CA Cloud Storage</t>
  </si>
  <si>
    <t>APPLE.COM/BILL 866-712-7753 CA  Cloud Storage</t>
  </si>
  <si>
    <t xml:space="preserve">APPLE.COM/BILL 866-712-7753 CA ? </t>
  </si>
  <si>
    <t>MI CORPORATIONS DIV 517-2416470 MI Incorporation License LLC</t>
  </si>
  <si>
    <t>WALMART.COM 8009666546 AR Socks</t>
  </si>
  <si>
    <t>WAL-MART #2959 ROSEVILLE MI Socks</t>
  </si>
  <si>
    <t xml:space="preserve">WENDY'S #205 GROSSE PT FRM MI </t>
  </si>
  <si>
    <t>Wix.Com, Inc. San Francisco CA CP business Analysis Website</t>
  </si>
  <si>
    <t>WIX.COM*593436331 NEW YORK NY CP business Analysis Website</t>
  </si>
  <si>
    <t>WIX*Wix.Com, Inc. San Francisco CA CP business Analysis Website</t>
  </si>
  <si>
    <t>CPBA Service Computer</t>
  </si>
  <si>
    <t>CPBA Government Requirements</t>
  </si>
  <si>
    <t>CPBA Printing</t>
  </si>
  <si>
    <t>CPBA Linked In</t>
  </si>
  <si>
    <t>Dating Dining</t>
  </si>
  <si>
    <t>Dating Entertainment</t>
  </si>
  <si>
    <t>KFC G135367 HARPER WOODS MI</t>
  </si>
  <si>
    <t>CULVERS OF ROSEVILLE ROSEVILLE MI</t>
  </si>
  <si>
    <t>NATIONAL CONEY ISLAND 8 &amp;SAINT CLAIR SMI</t>
  </si>
  <si>
    <t>1034 Dominos Pizza GROSSE POINTEMI</t>
  </si>
  <si>
    <t>CVS/PHARMACY #08107 GROSSE POINTEMI</t>
  </si>
  <si>
    <t>KROGER #454 GROSSE POINTEMI</t>
  </si>
  <si>
    <t>MCDONALD'S F6927 ST CLAIR SHORMI</t>
  </si>
  <si>
    <t>MEIJER # 063 ROSEVILLE MI</t>
  </si>
  <si>
    <t>KROGER #774 ROSEVILLE MI</t>
  </si>
  <si>
    <t>THE FAMILY BARBER SHOP GROSSE POINTEMI</t>
  </si>
  <si>
    <t>CHICKEN SHACK SCS SAINT CLAIR SMI</t>
  </si>
  <si>
    <t>KROGER FUEL 9074 ROSEVILLE MI</t>
  </si>
  <si>
    <t>NATIONAL CONEY ISLAND GRAROSEVILLE MI</t>
  </si>
  <si>
    <t>SUBWAY 05124474 GROSSE POINTEMI</t>
  </si>
  <si>
    <t>AUTOPAY 000000000068075RAUTOPAY AUTO-PMT</t>
  </si>
  <si>
    <t>7-ELEVEN 32133 ST. CLAIR SHOMI</t>
  </si>
  <si>
    <t>SPEEDWAY 08854 SAINT CLAISAINT CLAIR SMI</t>
  </si>
  <si>
    <t>TST* DRAGON S LANDING - SSAINT CLAIR SMI</t>
  </si>
  <si>
    <t>TRAVIS COFFEE SHOP ST CLAIR SHRSMI</t>
  </si>
  <si>
    <t>WENDY'S #205 GROSSE PT FRMMI</t>
  </si>
  <si>
    <t>COSTCO MEMBERSHIP FEE 800-774-2678 WA</t>
  </si>
  <si>
    <t>Congrats! Valued Customer Credit</t>
  </si>
  <si>
    <t>Mom Membership</t>
  </si>
  <si>
    <t>Auto Care</t>
  </si>
  <si>
    <t>Auto Fuel</t>
  </si>
  <si>
    <t>Auto License Plate Fee Sec. State.</t>
  </si>
  <si>
    <t>Auto Repairs</t>
  </si>
  <si>
    <t>DUNHAMS 007 ROSEVILLE MI small basketball</t>
  </si>
  <si>
    <t>Payment other</t>
  </si>
  <si>
    <t>Mom's Visa</t>
  </si>
  <si>
    <t>Fortnite expense</t>
  </si>
  <si>
    <t>10000 vBucks</t>
  </si>
  <si>
    <t>January 2020 Payment Intrest</t>
  </si>
  <si>
    <t>January 2020 Payment Principle</t>
  </si>
  <si>
    <t>January 2020 Payment Fees</t>
  </si>
  <si>
    <t>January 2020 Payment Escrow</t>
  </si>
  <si>
    <t>February 2020 Payment Interest</t>
  </si>
  <si>
    <t>February 2020 Payment Principle</t>
  </si>
  <si>
    <t>February 2020 Payment Fees</t>
  </si>
  <si>
    <t>February 2020 Payment Escrow</t>
  </si>
  <si>
    <t>March 2020 Payment Interest</t>
  </si>
  <si>
    <t>March2020 Payment Principle</t>
  </si>
  <si>
    <t>March 2020 Payment Fees</t>
  </si>
  <si>
    <t>March 2020 Payment Escrow</t>
  </si>
  <si>
    <t>March 2020 Payment Interest Reversed</t>
  </si>
  <si>
    <t>March2020 Payment Principle Reversed</t>
  </si>
  <si>
    <t xml:space="preserve"> Reversed</t>
  </si>
  <si>
    <t>March 2020 Payment Escrow Reversed</t>
  </si>
  <si>
    <t>Good Grade Incentive 1st Semester</t>
  </si>
  <si>
    <t>Good Grade Incentive 2nd Semester 3rd Quarter</t>
  </si>
  <si>
    <t>CPBA Auto Fuel</t>
  </si>
  <si>
    <t>CPBA Office Equipment</t>
  </si>
  <si>
    <t>AT&amp;T End of Service Reimbursement</t>
  </si>
  <si>
    <t>Income Tax Refund</t>
  </si>
  <si>
    <t>Bill Pay Check 5291 Best Buy Credit Services</t>
  </si>
  <si>
    <t>auto care</t>
  </si>
  <si>
    <t>RETURN OF POSTED CHECK / ITEM (RECEIVED ON 03-24) ELECTRONIC TRANSACTION</t>
  </si>
  <si>
    <t>RETURN OF POSTED CHECK / ITEM (RECEIVED ON 03-24) CHECK #0000005302</t>
  </si>
  <si>
    <t>NSF: RETURNED ITEM FEE FOR ACTIVITY OF 03-25 ELECTRONIC TRANSACTION POSTING DATE 03-25-20 POSTING SEQ 00004</t>
  </si>
  <si>
    <t>RETURN OF POSTED CHECK / ITEM (RECEIVED ON 03-25) ELECTRONIC TRANSACTION</t>
  </si>
  <si>
    <t>CITI AUTOPAY DES:RETRY PYMT ID:XXXXX1732153380 INDN:CHRISTOPHER PROST CO ID:CITICARDAP WEB</t>
  </si>
  <si>
    <t>NSF: RETURNED ITEM FEE FOR ACTIVITY OF 03-27 ELECTRONIC TRANSACTION POSTING DATE 03-27-20 POSTING SEQ 00001</t>
  </si>
  <si>
    <t>RETURN OF POSTED CHECK / ITEM (RECEIVED ON 03-27) ELECTRONIC TRANSACTION</t>
  </si>
  <si>
    <t>PAYPAL DES:TRANSFER ID:XXXXX09607581 INDN:CHRISTOPHER PROST CO ID:PAYPALSD11 PPD</t>
  </si>
  <si>
    <t>NSF: RETURNED ITEM FEE FOR ACTIVITY OF 04-01 ELECTRONIC TRANSACTION POSTING DATE 04-01-20 POSTING SEQ 00001</t>
  </si>
  <si>
    <t>RETURN OF POSTED CHECK / ITEM (RECEIVED ON 04-01) ELECTRONIC TRANSACTION</t>
  </si>
  <si>
    <t>Bill Pay Check 5297: MICHIGAN FIRST CREDIT UNION</t>
  </si>
  <si>
    <t>NSF: RETURNED ITEM FEE FOR ACTIVITY OF 04-03 CHECK #0000005297 POSTING DATE 04-03-20 POSTING SEQ 00002</t>
  </si>
  <si>
    <t>RETURN OF POSTED CHECK / ITEM (RECEIVED ON 04-03) CHECK #0000005297</t>
  </si>
  <si>
    <t>SCHWAB BROKERAGE DES:MONEYLINK ID:XXXXX2463735599 INDN:CHRISTOPHER PROST CO ID:XXXXX86224 PPD</t>
  </si>
  <si>
    <t>Bill Pay Check 5300: MARY ANN PROST</t>
  </si>
  <si>
    <t>Check</t>
  </si>
  <si>
    <t>CITI CARD ONLINE DES:PAYMENT ID:XXXXX3364588474 INDN:MARY A PROST CO ID:CITICTP WEB</t>
  </si>
  <si>
    <t>CITI PAYMENT DES:PAYMENT ID:XXXXX3313967555 INDN:CHRISTOPHER PROST CO ID:CITIGPUIBS PPD</t>
  </si>
  <si>
    <t>CITI CARD ONLINE DES:PAYMENT ID:XXXXX3286399633 INDN:CHRISTOPHE P PROST CO ID:CITICTP WEB</t>
  </si>
  <si>
    <t>AMERICAN EXPRESS DES:ACH PMT ID:W9994 INDN:CHRISTOPHE PROST CO ID:XXXXX33497 CCD</t>
  </si>
  <si>
    <t>CITI PAYMENT DES:PAYMENT ID:XXXXX1683622312 INDN:CHRISTOPHER P PROST CO ID:CITIGPUIBS TEL</t>
  </si>
  <si>
    <t>HOME DEPOT DES:ONLINE PMT ID:XXXXX4583573785 INDN:CHRISTOPHER PROST CO ID:CITICTP WEB</t>
  </si>
  <si>
    <t>BKOFAMERICA MOBILE 03/25 Check from Betty</t>
  </si>
  <si>
    <t>Credit Card Payment Home Depot</t>
  </si>
  <si>
    <t xml:space="preserve">Credit Card Payment Best Buy </t>
  </si>
  <si>
    <t xml:space="preserve">Credit Card Payment Costco Visa </t>
  </si>
  <si>
    <t>Credit Card Payment Marriott AMEX</t>
  </si>
  <si>
    <t>Transfer to Savings</t>
  </si>
  <si>
    <t xml:space="preserve">Transfer to Savings </t>
  </si>
  <si>
    <t>Credit Card Payment Mom's Visa</t>
  </si>
  <si>
    <t>PAY BY PHONE ACH PAYMENT</t>
  </si>
  <si>
    <t>MSFT * E0500ARLCS MSBILL.INFO WA</t>
  </si>
  <si>
    <t>LINKEDIN-544*8850574 6506873555 CA</t>
  </si>
  <si>
    <t>Gift from Mom</t>
  </si>
  <si>
    <t>.5 Hours Work around the house</t>
  </si>
  <si>
    <t>Initials</t>
  </si>
  <si>
    <t>PMP</t>
  </si>
  <si>
    <t>Lauren's Tuition</t>
  </si>
  <si>
    <t>15. Ford Fusion</t>
  </si>
  <si>
    <t>Our Lady Of Hope</t>
  </si>
  <si>
    <t>Gifts Received For Lauren</t>
  </si>
  <si>
    <t>BoA Acct Transfer From Savings</t>
  </si>
  <si>
    <t>Detroit Style Pizza</t>
  </si>
  <si>
    <t>DeRonne Hardware</t>
  </si>
  <si>
    <t>MSU Payments</t>
  </si>
  <si>
    <t>EpC*FORTNITE 919-854-0070 NC</t>
  </si>
  <si>
    <t>ComCAST 800-934-6489 MI</t>
  </si>
  <si>
    <t>Online Payment</t>
  </si>
  <si>
    <t>Home Depot</t>
  </si>
  <si>
    <t>Starbucks Store</t>
  </si>
  <si>
    <t>McDonalds</t>
  </si>
  <si>
    <t>Kroger</t>
  </si>
  <si>
    <t>Olive Garden</t>
  </si>
  <si>
    <t>COSTCO GAS East Lansing</t>
  </si>
  <si>
    <t>MSU Payments Phil Lunch at MSU</t>
  </si>
  <si>
    <t>Corner Kitchen</t>
  </si>
  <si>
    <t>Autopay</t>
  </si>
  <si>
    <t>Payment Return</t>
  </si>
  <si>
    <t>Transactions</t>
  </si>
  <si>
    <t xml:space="preserve">6373-5599 </t>
  </si>
  <si>
    <t>Starting Value</t>
  </si>
  <si>
    <t>Credits</t>
  </si>
  <si>
    <t>Debits</t>
  </si>
  <si>
    <t>Transfer of Securities</t>
  </si>
  <si>
    <t>Income Reinvested</t>
  </si>
  <si>
    <t>Change in Value</t>
  </si>
  <si>
    <t>Accrued Income</t>
  </si>
  <si>
    <t>CPBA Adv Education/Certifications</t>
  </si>
  <si>
    <t>*** Itemize ***</t>
  </si>
  <si>
    <t>031620 AUTOPAY RTN</t>
  </si>
  <si>
    <t>7-ELEVEN</t>
  </si>
  <si>
    <t>ALLIVET</t>
  </si>
  <si>
    <t>AMERICAN EXPRESS DES:ACH PMT</t>
  </si>
  <si>
    <t>AMZN</t>
  </si>
  <si>
    <t>BELLE TIRE</t>
  </si>
  <si>
    <t>BKOFAMERICA MOBILE</t>
  </si>
  <si>
    <t>BOSTON MARKET</t>
  </si>
  <si>
    <t>BUFFALO WILD WINGS</t>
  </si>
  <si>
    <t>BURGER KING</t>
  </si>
  <si>
    <t>CARFAX</t>
  </si>
  <si>
    <t>Cash W/D</t>
  </si>
  <si>
    <t>CHICKEN SHACK</t>
  </si>
  <si>
    <t>CHOCOLATE BAR CAFE</t>
  </si>
  <si>
    <t>CITI CARD ONLINE DES:PAYMENT</t>
  </si>
  <si>
    <t>Credit Card Payment</t>
  </si>
  <si>
    <t>COMCAST</t>
  </si>
  <si>
    <t>COSTCO GAS</t>
  </si>
  <si>
    <t>COSTCO MEMBERSHIP</t>
  </si>
  <si>
    <t>COSTCO WHSE</t>
  </si>
  <si>
    <t>COURSRA977H4XECX5H6TI</t>
  </si>
  <si>
    <t>CULVERS</t>
  </si>
  <si>
    <t>DISNEYPLUS</t>
  </si>
  <si>
    <t>DOLLAR GENERAL</t>
  </si>
  <si>
    <t>DTE</t>
  </si>
  <si>
    <t>DUNHAMS</t>
  </si>
  <si>
    <t>EASTSIDE BAGEL</t>
  </si>
  <si>
    <t>EPC*FORTNITE</t>
  </si>
  <si>
    <t>ESURANCE</t>
  </si>
  <si>
    <t>EXXONMOBIL</t>
  </si>
  <si>
    <t>FIRESTONE6149</t>
  </si>
  <si>
    <t>FOWLING WAREHOUSE</t>
  </si>
  <si>
    <t>INTEREST CHARGED</t>
  </si>
  <si>
    <t>JETS PIZZA</t>
  </si>
  <si>
    <t>JOLLY PUMPKIN</t>
  </si>
  <si>
    <t>JOSEF S</t>
  </si>
  <si>
    <t>KERBYS KONEY ISLAND</t>
  </si>
  <si>
    <t>KFC</t>
  </si>
  <si>
    <t>KROGER FUEL</t>
  </si>
  <si>
    <t>KROGER</t>
  </si>
  <si>
    <t>LITTLE CAESARS</t>
  </si>
  <si>
    <t>LOGANS</t>
  </si>
  <si>
    <t>MCDONALD 'S</t>
  </si>
  <si>
    <t>MEIJER</t>
  </si>
  <si>
    <t>MI CORPORATIONS DIV</t>
  </si>
  <si>
    <t>MI. ST. UNIV.</t>
  </si>
  <si>
    <t>MSFT</t>
  </si>
  <si>
    <t>NATIONAL CONEY ISLAND</t>
  </si>
  <si>
    <t>NETFLIX.COM</t>
  </si>
  <si>
    <t>NSF: RETURNED ITEM FEE</t>
  </si>
  <si>
    <t>OFFICE DEPOT</t>
  </si>
  <si>
    <t>OVERDRAFT ITEM FEE</t>
  </si>
  <si>
    <t>PALMERS INN</t>
  </si>
  <si>
    <t>PAY BY PHONE</t>
  </si>
  <si>
    <t>PAYPAL *TJXCOMPANIE</t>
  </si>
  <si>
    <t>RETURN CHECK FEE</t>
  </si>
  <si>
    <t>RETURN OF POSTED CHECK</t>
  </si>
  <si>
    <t>RETURNED AUTOPAY</t>
  </si>
  <si>
    <t>SIR SPEEDY</t>
  </si>
  <si>
    <t>SPEEDWAY</t>
  </si>
  <si>
    <t>SPRINT</t>
  </si>
  <si>
    <t>SUBWAY</t>
  </si>
  <si>
    <t>SUPER CAR WASH</t>
  </si>
  <si>
    <t>THE FAMILY BARBER SHOP</t>
  </si>
  <si>
    <t>THE HOME DEPOT</t>
  </si>
  <si>
    <t>TIM HORTONS</t>
  </si>
  <si>
    <t>TRAVIS COFFEE SHOP</t>
  </si>
  <si>
    <t>TST* BUDDY S PIZZA</t>
  </si>
  <si>
    <t>TST* DRAGON S LANDING</t>
  </si>
  <si>
    <t>WAL-MART</t>
  </si>
  <si>
    <t>WALMART.COM</t>
  </si>
  <si>
    <t>WENDY 'S</t>
  </si>
  <si>
    <t>CPBA Computer Services</t>
  </si>
  <si>
    <t>LINKEDIN</t>
  </si>
  <si>
    <t>PAYMENT</t>
  </si>
  <si>
    <t>CVS/PHARMACY</t>
  </si>
  <si>
    <t>HOME DEPOT</t>
  </si>
  <si>
    <t>MR CS CAR WASH</t>
  </si>
  <si>
    <t>SCHWAB BROKERAGE DES</t>
  </si>
  <si>
    <t>TIM HORTON</t>
  </si>
  <si>
    <t>Number words</t>
  </si>
  <si>
    <t>Bill Pay Check 5309: City Of Grosse Pointe Woods</t>
  </si>
  <si>
    <t>COSTCO WHSE #0 05/04 PURCHASE ROSEVILLE MI</t>
  </si>
  <si>
    <t>Bill Pay Check 5305: MICHIGAN FIRST CREDIT UNION</t>
  </si>
  <si>
    <t>NSF: RETURNED ITEM FEE FOR ACTIVITY OF 05-04 CHECK #0000005305 POSTING DATE 05-04-20 POSTING SEQ 00002</t>
  </si>
  <si>
    <t>RETURN OF POSTED CHECK / ITEM (RECEIVED ON 05-04) CHECK #0000005305</t>
  </si>
  <si>
    <t>NSF: RETURNED ITEM FEE FOR ACTIVITY OF 05-06 CHECK #0000000005 POSTING DATE 05-06-20 POSTING SEQ 00001</t>
  </si>
  <si>
    <t>RETURN OF POSTED CHECK / ITEM (RECEIVED ON 05-06) CHECK #0000000005</t>
  </si>
  <si>
    <t>AMERICAN EXPRESS DES:ACH PMT ID:A0196 INDN:CHRISTOPHE PROST CO ID:XXXXX33497 CCD</t>
  </si>
  <si>
    <t>COSTCO WHSE #0 05/12 PURCHASE ROSEVILLE MI</t>
  </si>
  <si>
    <t>Bill Pay Check 5306: MARY ANN PROST</t>
  </si>
  <si>
    <t>MCDONALD'S F25550 05/21 PURCHASE CLINTON TWP MI</t>
  </si>
  <si>
    <t>Online Banking transfer from SAV 1869 Confirmation# 2526455963</t>
  </si>
  <si>
    <t>BKOFAMERICA MOBILE 05/27 3688912597 DEPOSIT *MOBILE MI</t>
  </si>
  <si>
    <t>KROGER #495 05/24 PURCHASE SAINT CLAIR S MI</t>
  </si>
  <si>
    <t>KROGER FU 3020 05/24 PURCHASE ROSEVILLE MI</t>
  </si>
  <si>
    <t>CITI CARD ONLINE DES:PAYMENT ID:XXXXX4094593524 INDN:CHRISTOPHE P PROST CO ID:CITICTP WEB</t>
  </si>
  <si>
    <t>CITI CARD ONLINE DES:PAYMENT ID:XXXXX4095177852 INDN:CHRISTOPHE P PROST CO ID:CITICTP WEB</t>
  </si>
  <si>
    <t>LITTLE CAESARS 12 05/26 PURCHASE SAINT CLAIR S MI</t>
  </si>
  <si>
    <t>KROGER #495 05/28 PURCHASE SAINT CLAIR S MI</t>
  </si>
  <si>
    <t>HOME DEPOT DES:ONLINE PMT ID:XXXXX7495752374 INDN:CHRISTOPHER PROST CO ID:CITICTP WEB</t>
  </si>
  <si>
    <t>MIKE'S MARINE SUP 05/27 PURCHASE ST CLAIR SHRS MI</t>
  </si>
  <si>
    <t>AMZN Mktp US*MY2J 05/28 PURCHASE Amzn.com/bill WA</t>
  </si>
  <si>
    <t>NETFLIX.COM 05/28 PURCHASE 866-5797172 CA</t>
  </si>
  <si>
    <t>1034 Dominos Pizz 05/28 PURCHASE 248-557-6454 MI</t>
  </si>
  <si>
    <t>MIKE'S MARINE SUP 05/28 REFUND ST CLAIR SHRS MI</t>
  </si>
  <si>
    <t>MCDONALD'S F6927 05/29 PURCHASE ST CLAIR SHOR MI</t>
  </si>
  <si>
    <t>JUSTANSWER *TRIA 05/31 PURCHASE 800-240-1371 CA</t>
  </si>
  <si>
    <t>JUSTANSWER *DIAB 06/01 PURCHASE 800-240-1371 CA</t>
  </si>
  <si>
    <t>JUSTANSWER *HOME 06/01 PURCHASE 800-240-1371 CA</t>
  </si>
  <si>
    <t>JUSTANSWER *ENDH 06/01 PURCHASE 800-240-1371 CA</t>
  </si>
  <si>
    <t>JUSTANSWER *ENDC 06/01 PURCHASE 800-240-1371 CA</t>
  </si>
  <si>
    <t>JUSTANSWER *CLEA 06/01 PURCHASE 800-240-1371 CA</t>
  </si>
  <si>
    <t>KROGER #495 06/01 PURCHASE SAINT CLAIR S MI</t>
  </si>
  <si>
    <t>WAL-MART #2959 06/01 PURCHASE ROSEVILLE MI</t>
  </si>
  <si>
    <t>LITTLE CAESARS 12 06/01 PURCHASE SAINT CLAIR S MI</t>
  </si>
  <si>
    <t>Bill Pay Check 5312: MICHIGAN FIRST CREDIT UNION</t>
  </si>
  <si>
    <t>AMERICAN EXPRESS DES:ACH PMT ID:W6764 INDN:CHRISTOPHE PROST CO ID:XXXXX33497 CCD</t>
  </si>
  <si>
    <t>CULVERS OF ROSEVI 06/02 PURCHASE ROSEVILLE MI</t>
  </si>
  <si>
    <t>7-ELEVEN 06/03 PURCHASE SAINT CLAIR S MI</t>
  </si>
  <si>
    <t>CITI CARD ONLINE DES:PAYMENT ID:XXXXX2002478579 INDN:CHRISTOPHER P PROST CO ID:CITICTP WEB</t>
  </si>
  <si>
    <t>CITI CARD ONLINE DES:PAYMENT ID:XXXXX1999474144 INDN:CHRISTOPHE P PROST CO ID:CITICTP WEB</t>
  </si>
  <si>
    <t>GILBERT'S PRO HAR 06/03 PURCHASE ST CLAIR SHOR MI</t>
  </si>
  <si>
    <t>TACO BELL 3130003 06/03 PURCHASE SAINT CLAIR S MI</t>
  </si>
  <si>
    <t>BOS MOVING &amp; SERV 06/03 PURCHASE 248-360-6644 MI</t>
  </si>
  <si>
    <t>EPC*FORTNITE 06/03 PURCHASE 919-854-0070 NC</t>
  </si>
  <si>
    <t>KROGER #495 06/05 PURCHASE SAINT CLAIR S MI</t>
  </si>
  <si>
    <t>KROGER #454 06/05 PURCHASE GROSSE POINTE MI</t>
  </si>
  <si>
    <t>BUFFALO WILD WING 06/04 PURCHASE ST CLR SHORES MI</t>
  </si>
  <si>
    <t>KFC G135367 06/05 PURCHASE HARPER WOODS MI</t>
  </si>
  <si>
    <t>TIM HORTONS #9156 06/06 PURCHASE 586-944-2880 MI</t>
  </si>
  <si>
    <t>KROGER #710 06/08 PURCHASE HARPER WOODS MI</t>
  </si>
  <si>
    <t>JUSTANSWER *MEMB 06/08 PURCHASE 800-240-1371 CA</t>
  </si>
  <si>
    <t>Bill Pay Check 5313: MARY ANN PROST</t>
  </si>
  <si>
    <t>GREEN LANTERN PIZ 06/09 PURCHASE MACOMB MI</t>
  </si>
  <si>
    <t>MEIJER 063 06/11 PURCHASE ROSEVILLE MI</t>
  </si>
  <si>
    <t>COSTCO GAS #03 06/11 PURCHASE ROSEVILLE MI</t>
  </si>
  <si>
    <t>SPEEDWAY 1902 06/11 PURCHASE EASTPOINTE MI</t>
  </si>
  <si>
    <t>TRAVIS COFFEE SHO 06/11 PURCHASE ST CLAIR SHRS MI</t>
  </si>
  <si>
    <t>ZAZZ 06/11 PURCHASE SAINT CLAIR S MI</t>
  </si>
  <si>
    <t>WAL Wal-Mart S 06/12 PURCHASE ROSEVILLE MI</t>
  </si>
  <si>
    <t>NATIONAL CONEY IS 06/12 PURCHASE ROSEVILLE MI</t>
  </si>
  <si>
    <t>NATIONAL CONEY IS 06/12 PURCHASE SAINT CLAIR S MI</t>
  </si>
  <si>
    <t>COSTCO GAS #03 06/23 PURCHASE ROSEVILLE MI</t>
  </si>
  <si>
    <t>BKOFAMERICA ATM 06/24 #000001515 WITHDRWL GROSSE POINTE WO GROSSE POINTE MI</t>
  </si>
  <si>
    <t>MACK AVENUE GRILL 06/24 PURCHASE GROSSE POINTE MI</t>
  </si>
  <si>
    <t>BUFFALO WILD WING 06/25 PURCHASE ST CLR SHORES MI</t>
  </si>
  <si>
    <t>DERONNE HARDWARE 06/25 PURCHASE ST CLAIR SHOR MI</t>
  </si>
  <si>
    <t>NETFLIX COM 06/28 PURCHASE LOS GATOS CA</t>
  </si>
  <si>
    <t>COSTCO WHSE #0 07/03 PURCHASE ROSEVILLE MI</t>
  </si>
  <si>
    <t>COSTCO GAS #03 07/03 PURCHASE ROSEVILLE MI</t>
  </si>
  <si>
    <t>Bill Pay Check 5314: MICHIGAN FIRST CREDIT UNION</t>
  </si>
  <si>
    <t>GROSSE POINTE WOODS WATER BILL</t>
  </si>
  <si>
    <t>ADVANTAGE MONTHLY MAINTENANCE FEE</t>
  </si>
  <si>
    <t>MI TLR CASH WITHDRAWAL</t>
  </si>
  <si>
    <t>STATE OF MI OCS</t>
  </si>
  <si>
    <t>ADVANTAGE MONTHLY MAINTENANCE</t>
  </si>
  <si>
    <t>BILL PAY CHECK</t>
  </si>
  <si>
    <t>DETROIT STYLE PIZZA</t>
  </si>
  <si>
    <t>MICROSOFT OFFICE 365</t>
  </si>
  <si>
    <t>MOBILE DEPOSIT CHECK</t>
  </si>
  <si>
    <t>ONLINE BANKING TRANSFER</t>
  </si>
  <si>
    <t>CASH W/D</t>
  </si>
  <si>
    <t>DERONNE HARDWARE</t>
  </si>
  <si>
    <t>DOMINOS PIZZA</t>
  </si>
  <si>
    <t>FEE NSF</t>
  </si>
  <si>
    <t>INTEREST CHARGE</t>
  </si>
  <si>
    <t>INTEREST EARNED</t>
  </si>
  <si>
    <t>MSU PAYMENTS</t>
  </si>
  <si>
    <t>OLIVE GARDEN</t>
  </si>
  <si>
    <t>ONLINE PAYMENT</t>
  </si>
  <si>
    <t>ALIEXPRESS</t>
  </si>
  <si>
    <t>AMAZON.COM</t>
  </si>
  <si>
    <t>AUTOPAY</t>
  </si>
  <si>
    <t>CHECK</t>
  </si>
  <si>
    <t>MCDONALDS</t>
  </si>
  <si>
    <t>REVERSED</t>
  </si>
  <si>
    <t>STARBUCKS</t>
  </si>
  <si>
    <t>WIX.COM</t>
  </si>
  <si>
    <t>ONLINE PAYMENT,</t>
  </si>
  <si>
    <t>COPPER HOP BREWING CO</t>
  </si>
  <si>
    <t>MCDONALD'S</t>
  </si>
  <si>
    <t>1034 Dominos Pizza</t>
  </si>
  <si>
    <t>AMERICAN EXPRESS</t>
  </si>
  <si>
    <t>BKOFAMERICA ATM</t>
  </si>
  <si>
    <t>BUFFALO WILD WING</t>
  </si>
  <si>
    <t>CITI AUTOPAY</t>
  </si>
  <si>
    <t>CITI PAYMENT</t>
  </si>
  <si>
    <t>Payment Escrow</t>
  </si>
  <si>
    <t>Payment Fees</t>
  </si>
  <si>
    <t>Payment Interest</t>
  </si>
  <si>
    <t>Payment Principle</t>
  </si>
  <si>
    <t>GILBERT'S PRO HAR</t>
  </si>
  <si>
    <t>GREEN LANTERN PIZ</t>
  </si>
  <si>
    <t>JUSTANSWER</t>
  </si>
  <si>
    <t>MACK AVENUE GRILL</t>
  </si>
  <si>
    <t>MIKE'S MARINE SUP</t>
  </si>
  <si>
    <t>NATIONAL CONEY IS</t>
  </si>
  <si>
    <t>NETFLIX COM</t>
  </si>
  <si>
    <t>PAYPAL DES:TRANSFER</t>
  </si>
  <si>
    <t>SCHWAB BROKERAGE</t>
  </si>
  <si>
    <t>TACO BELL</t>
  </si>
  <si>
    <t>TD AMERITRADE IN</t>
  </si>
  <si>
    <t>TIM HORTON'S</t>
  </si>
  <si>
    <t>TRAVIS COFFEE SHO</t>
  </si>
  <si>
    <t>WAL Wal-Mart</t>
  </si>
  <si>
    <t>WENDY'S</t>
  </si>
  <si>
    <t>WIX</t>
  </si>
  <si>
    <t>ZAZZ</t>
  </si>
  <si>
    <t>Moving</t>
  </si>
  <si>
    <t>APPLE.COM/BILL</t>
  </si>
  <si>
    <t>MR CS CAR WASH 1 DETROIT MI </t>
  </si>
  <si>
    <t>Wix.Com,</t>
  </si>
  <si>
    <t>First Char Space?</t>
  </si>
  <si>
    <t>Last Char Space</t>
  </si>
  <si>
    <t>First Char Description</t>
  </si>
  <si>
    <t>Last char Descr</t>
  </si>
  <si>
    <t>Mortgage Escrow Reversed</t>
  </si>
  <si>
    <t>Mortgage Interest Reversed</t>
  </si>
  <si>
    <t>Mortgage Principle Reversed</t>
  </si>
  <si>
    <t>1034 Dominos Pizz</t>
  </si>
  <si>
    <t>Credit Card Payment AADVANTAGE</t>
  </si>
  <si>
    <t>AMZN Mktp US*ZI1AR8143 Amzn.com/bill WA Cable Modem and Router</t>
  </si>
  <si>
    <t>Amazon.com*OZ4N85PA3 Amzn.com/bill WA Office Chair</t>
  </si>
  <si>
    <t>MSFT * E0500BK08D MSBILL.INFO WA</t>
  </si>
  <si>
    <t>DOMINO'S 1034 GROSSE POINTE MI</t>
  </si>
  <si>
    <t>MCDONALD'S F18341 ROSEVILLE MI</t>
  </si>
  <si>
    <t>IL TOLLWAY-AUTOREPLENI 8008247277 IL</t>
  </si>
  <si>
    <t>FBPAY -PAYPAL BUY.FB.COM CA</t>
  </si>
  <si>
    <t>PRO FIREWORKS ROSEVILL ROSEVILLE MI</t>
  </si>
  <si>
    <t>WOODS WHOLESALE WINE GROSSE POINTE MI</t>
  </si>
  <si>
    <t>BUFFALO WILD WINGS ST CLR SHORES MI</t>
  </si>
  <si>
    <t>LINKEDIN-570*3582844 6506873555 CA</t>
  </si>
  <si>
    <t>NOODLES &amp; CO 616-647-7553 MI</t>
  </si>
  <si>
    <t>BURRITO MU* BURRITO MU 8887072469 MI</t>
  </si>
  <si>
    <t>NATIONAL CONEY ISLAND GROSSE POINTE MI</t>
  </si>
  <si>
    <t>AMAZON.COM*MS2E52780 A AMZN.COM/BILL WA</t>
  </si>
  <si>
    <t>Amazon.com*MS74P07B0 Amzn.com/bill WA</t>
  </si>
  <si>
    <t>GUILD COFFEE DETROIT MI</t>
  </si>
  <si>
    <t>CULVER S OF CHESTERFIE CHESTERFIELD MI</t>
  </si>
  <si>
    <t>OUTBACK 2317 ONLINE 586-775-4329 MI</t>
  </si>
  <si>
    <t>7-ELEVEN 15453 ST. CLAIR SHO MI</t>
  </si>
  <si>
    <t>DAIRY QUEEN #10245 QPS ST CLAIR SHOR MI</t>
  </si>
  <si>
    <t>MACK AVENUE GRILLE GROSSE POINTE MI</t>
  </si>
  <si>
    <t>GILBERT'S PRO HARDWARE ST CLAIR SHOR MI</t>
  </si>
  <si>
    <t>MEIJER # 063 FUEL ROSEVILLE MI</t>
  </si>
  <si>
    <t>Roku for CBS Interacti 8162728107 DE</t>
  </si>
  <si>
    <t>MSFT * E0500B9ZZC MSBILL.INFO WA</t>
  </si>
  <si>
    <t>LINKEDIN-562*3555984 6506873555 CA</t>
  </si>
  <si>
    <t>ENTERPRISE RENT-A-CAR CLINTON TWP MI PHONE NUMBER: 5867836220 NAME: CHRISTOPHER P PROST PICKUP: 05/12/2020 RETURN: CLINTON TOWNSHIPMI05/20/2020 AGREEMENT NUMBER: 94CNSP</t>
  </si>
  <si>
    <t>COLLAB365 #GLOBALCON2 TELFORD GBR</t>
  </si>
  <si>
    <t>FILTERBUY.COM 8553458289 AL</t>
  </si>
  <si>
    <t>PARKWAY CHRYSLER DODGE CLINTON TWP MI</t>
  </si>
  <si>
    <t>LATE FEE - APR PAYMENT PAST DUE</t>
  </si>
  <si>
    <t>TEXAS ROADHOUSE ECO 21 5862940838 MI</t>
  </si>
  <si>
    <t>1034 Dominos Pizza 248-557-6454 MI</t>
  </si>
  <si>
    <t>WM SUPERCENTER #4660 CLINTON TOWNS MI</t>
  </si>
  <si>
    <t>MCDONALD'S F25550 CLINTON TWP MI</t>
  </si>
  <si>
    <t>AAA ACG MI0967 POC MEM DEARBORN MI</t>
  </si>
  <si>
    <t>FACEBK *AlzheimersAsso donate.fb.com CA</t>
  </si>
  <si>
    <t>SPEEDWAY 08854 SAINT C SAINT CLAIR S MI</t>
  </si>
  <si>
    <t>FACEBK *StJudeChildren donate.fb.com CA</t>
  </si>
  <si>
    <t>MSFT * E0500B15M3 MSBILL.INFO WA</t>
  </si>
  <si>
    <t>AMAZON.COM*IH6874U03 A AMZN.COM/BILL WA</t>
  </si>
  <si>
    <t>AMAZON.COM*TU5209MX3 A AMZN.COM/BILL WA</t>
  </si>
  <si>
    <t>LINKEDIN-553*2001664 6506873555 CA</t>
  </si>
  <si>
    <t>SIXSIGMA-INSTITUTE.ORG WOLLERAU CHE</t>
  </si>
  <si>
    <t>CBI*PINNACLE / COREL 800-799-9570 IL</t>
  </si>
  <si>
    <t>NETFLIX.COM 866-5797172 CA</t>
  </si>
  <si>
    <t>AMZN Mktp US*1152U3EC3 Amzn.com/bill WA</t>
  </si>
  <si>
    <t>SEC OF STATE ESERVICES 517-3350436 MI</t>
  </si>
  <si>
    <t>Amazon.com*W14BS8EQ3 Amzn.com/bill WA</t>
  </si>
  <si>
    <t>AUTOPAY PAYMENT - RETURNED</t>
  </si>
  <si>
    <t>AAA</t>
  </si>
  <si>
    <t>AMAZON.COM*2W4GW5JW3 A AMZN.COM/BILL WA Paper Clip Dispenser</t>
  </si>
  <si>
    <t>Amazon.com*MC12L2DU2 Amzn.com/bill WA Backup Hard Disk Drive</t>
  </si>
  <si>
    <t>Amazon.com*MY0CD8EK2 Amzn.com/bill WA Funko Pops For Phil</t>
  </si>
  <si>
    <t>AMAZON.COM*MY1J66YW0 A AMZN.COM/BILL WA Printer Ink</t>
  </si>
  <si>
    <t>Amazon.com*MY2IL55T0 Amzn.com/bill WA Wonder Woman Funko Pop</t>
  </si>
  <si>
    <t>AMZN Digital*J33TF8YI3 888-802-3080 WA Online Book "Never Split The Difference"</t>
  </si>
  <si>
    <t>AMZN MKTP US AMZN.COM/ AMZN.COM/BILL WA Mouse for Phil's computer</t>
  </si>
  <si>
    <t>AMZN MKTP US*3991A8TD3 AMZN.COM/BILL WA Mouse For Phil's computer</t>
  </si>
  <si>
    <t>AMZN Mktp US*MY2PW96P1 Amzn.com/bill WA Captain Marvel Funko Pop</t>
  </si>
  <si>
    <t>AMZN Mktp US Amzn.com/bill WA Captain Marvel Funko Pop</t>
  </si>
  <si>
    <t>AMZN Mktp US Amzn.com/bill WA Garage Door Keypad</t>
  </si>
  <si>
    <t>Service Home Maintenance/Improvement</t>
  </si>
  <si>
    <t xml:space="preserve">AMZN Mktp US*0U1ZD08N3 Amzn.com/bill WA Metal 3 Gang Switch Plate </t>
  </si>
  <si>
    <t>AMZN Mktp US*C468X6P53 Amzn.com/bill WA Switches and Cover Plates</t>
  </si>
  <si>
    <t>AMZN Mktp US*MS9O687W2 Amzn.com/bill WA Garage Door Keypad</t>
  </si>
  <si>
    <t>AMZN Mktp US*MS0WY5QQ0 Amzn.com/bill WA Ceiling Fan Receiver</t>
  </si>
  <si>
    <t>AMZN Mktp US*MY6XX70W2 Amzn.com/bill WA Funko Pop Fortnite</t>
  </si>
  <si>
    <t>AMZN Mktp US*RI5QN0KJ3 Amzn.com/bill WA Full Size Mattress Bag</t>
  </si>
  <si>
    <t>BURRITO MU*</t>
  </si>
  <si>
    <t>DOMINO'S</t>
  </si>
  <si>
    <t>Charity Cash Donation</t>
  </si>
  <si>
    <t>Charity Church Donation</t>
  </si>
  <si>
    <t>Color</t>
  </si>
  <si>
    <t>Merchandise HOme</t>
  </si>
  <si>
    <t>Vacation Planning</t>
  </si>
  <si>
    <t>AMZN MKTP US*M70I 05/28 PURCHASE AMZN.COM/BILL WA Sailing Gloves</t>
  </si>
  <si>
    <t>BKOFAMERICA MOBILE 05/09 3677242597 DEPOSIT *MOBILE MI Reimbursement from Tim and Pam</t>
  </si>
  <si>
    <t>BKOFAMERICA MOBILE 05/24 3687303279 DEPOSIT *MOBILE MI Stimulus Check</t>
  </si>
  <si>
    <t>BKOFAMERICA MOBILE 05/24 3687304147 DEPOSIT *MOBILE MI Account Closure</t>
  </si>
  <si>
    <t>Check 5 Mortgage Payment</t>
  </si>
  <si>
    <t>Check 9017 Best Buy</t>
  </si>
  <si>
    <t>Beginning balance</t>
  </si>
  <si>
    <t>CostCo Whse</t>
  </si>
  <si>
    <t>Costco Gas</t>
  </si>
  <si>
    <t>ADOBE PHOTOGPHY PLAN 408-536-6000 CA</t>
  </si>
  <si>
    <t>MEMBERSHIP FEE MAR 20-FEB 21</t>
  </si>
  <si>
    <t>Cleared Balance</t>
  </si>
  <si>
    <t>EXXONMOBIL 97298236 MOUNT CLEMENS MI Subway Sandwich</t>
  </si>
  <si>
    <t>EXXONMOBIL 97298236 MOUNT CLEMENS MI Bag of Chips</t>
  </si>
  <si>
    <t>10. Mom's Expenses</t>
  </si>
  <si>
    <t>Bill Pay Check 5315: MARY ANN PROST</t>
  </si>
  <si>
    <t>COSTCO GAS #03 07/15 PURCHASE SHELBY TOWNSH MI</t>
  </si>
  <si>
    <t>MCDONALD'S F21221 07/15 PURCHASE MACOMB MI</t>
  </si>
  <si>
    <t>KROGER #495 07/17 PURCHASE SAINT CLAIR S MI</t>
  </si>
  <si>
    <t>LATE FEE - JUN PAYMENT PAST DUE</t>
  </si>
  <si>
    <t>PALMERS INN SAINT CLAIR S MI</t>
  </si>
  <si>
    <t>STUFFED BUN PONTIAC MI</t>
  </si>
  <si>
    <t>SHARKS BBQ LLC TROY MI</t>
  </si>
  <si>
    <t>EMMY`S PAMPERED POOCH AUBURN HILLS MI</t>
  </si>
  <si>
    <t>DOMINO'S 1034 248-557-6454 MI</t>
  </si>
  <si>
    <t>BRISENDINE HEATING AND EASTPOINTE MI</t>
  </si>
  <si>
    <t>AMZN Mktp US Amzn.com/bill WA</t>
  </si>
  <si>
    <t>DAIRY QUEEN #14194 QPS TROY MI</t>
  </si>
  <si>
    <t>HARDEES 1505535 STERLING HEIG MI</t>
  </si>
  <si>
    <t>NINO SALVAGGIO - TROY TROY MI</t>
  </si>
  <si>
    <t>Dining Snack</t>
  </si>
  <si>
    <t>Autopay Payment</t>
  </si>
  <si>
    <t>Payment</t>
  </si>
  <si>
    <t>Credit Card Payment Costco Visa</t>
  </si>
  <si>
    <t>Best Buy</t>
  </si>
  <si>
    <t>Keyboard and Mouse</t>
  </si>
  <si>
    <t>Power Cord TV</t>
  </si>
  <si>
    <t>Mom Other</t>
  </si>
  <si>
    <t>Microphone</t>
  </si>
  <si>
    <t>Late Fee</t>
  </si>
  <si>
    <t>Fee Late Payment</t>
  </si>
  <si>
    <t>Minimum Interest Charge</t>
  </si>
  <si>
    <t>Seasonal / Garden Purchase</t>
  </si>
  <si>
    <t>Hardware Purchase</t>
  </si>
  <si>
    <t>Millwork Purchase</t>
  </si>
  <si>
    <t>Lumber Purchase</t>
  </si>
  <si>
    <t>Tool Rental</t>
  </si>
  <si>
    <t>General Sales</t>
  </si>
  <si>
    <t>Electrical and Lighting</t>
  </si>
  <si>
    <t>05. Household Expenses</t>
  </si>
  <si>
    <t>EPC*Fortnite Purchase</t>
  </si>
  <si>
    <t>Lush Lawn</t>
  </si>
  <si>
    <t>National Coney Island</t>
  </si>
  <si>
    <t>Costco Whse</t>
  </si>
  <si>
    <t>Cost Gas</t>
  </si>
  <si>
    <t>7-Eleven</t>
  </si>
  <si>
    <t>Target Fan</t>
  </si>
  <si>
    <t>Micro Center Monitor</t>
  </si>
  <si>
    <t>Buffalo wild Wings</t>
  </si>
  <si>
    <t>Xbox</t>
  </si>
  <si>
    <t>Credit Card Payment Best Buy</t>
  </si>
  <si>
    <t>Culvers</t>
  </si>
  <si>
    <t>Michigan First Credit Union</t>
  </si>
  <si>
    <t>Mary Ann Prost</t>
  </si>
  <si>
    <t>$3.99 + 6% tax</t>
  </si>
  <si>
    <t>BeetleJuice Pillow case from Amazon</t>
  </si>
  <si>
    <t>Standard Mortgage Payment Interest</t>
  </si>
  <si>
    <t>Standard Mortgage Payment Principal</t>
  </si>
  <si>
    <t>Standard Mortgage Payment Escrow</t>
  </si>
  <si>
    <t>Mortgage Payment Reversal Interest</t>
  </si>
  <si>
    <t>Mortgage Payment Reversal Principal</t>
  </si>
  <si>
    <t>Mortgage Payment Reversal  Escrow</t>
  </si>
  <si>
    <t>DISPERSMENT Property Taxes</t>
  </si>
  <si>
    <t>Standard Mortgage Payment  Escrow</t>
  </si>
  <si>
    <t>DISPERSMENT Summer Taxes</t>
  </si>
  <si>
    <t>Homeowners Insurance</t>
  </si>
  <si>
    <t>BEST BUY, Rochester Hills, MI</t>
  </si>
  <si>
    <t>BEST BUY, Madison Heights, MI</t>
  </si>
  <si>
    <t>ONLINE PAYMENT           DEERFIELD    IL</t>
  </si>
  <si>
    <t>PAY-BY-PHONE PAYMENT     DEERFIELD    IL</t>
  </si>
  <si>
    <t>BEST BUY, Roseville, MI</t>
  </si>
  <si>
    <t>FID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</si>
</sst>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_);[Red]\(&quot;$&quot;#,##0\)"/>
    <numFmt numFmtId="8" formatCode="&quot;$&quot;#,##0.00_);[Red]\(&quot;$&quot;#,##0.00\)"/>
    <numFmt numFmtId="44" formatCode="_(&quot;$&quot;* #,##0.00_);_(&quot;$&quot;* \(#,##0.00\);_(&quot;$&quot;* &quot;-&quot;??_);_(@_)"/>
    <numFmt numFmtId="43" formatCode="_(* #,##0.00_);_(* \(#,##0.00\);_(* &quot;-&quot;??_);_(@_)"/>
    <numFmt numFmtId="164" formatCode="ddd\ mm/dd/yy"/>
    <numFmt numFmtId="165" formatCode="[$-409]d\-mmm;@"/>
    <numFmt numFmtId="166" formatCode="0.00_);\(0.00\)"/>
    <numFmt numFmtId="167" formatCode="m/d/yy;@"/>
    <numFmt numFmtId="168" formatCode="0.000"/>
    <numFmt numFmtId="169" formatCode="mmm\ yyyy"/>
    <numFmt numFmtId="170" formatCode="_([$$-409]* #,##0.00_);_([$$-409]* \(#,##0.00\);_([$$-409]* &quot;-&quot;??_);_(@_)"/>
  </numFmts>
  <fonts count="37">
    <font>
      <sz val="12"/>
      <color theme="1"/>
      <name val="Calibri"/>
      <family val="2"/>
      <scheme val="minor"/>
    </font>
    <font>
      <sz val="12"/>
      <color theme="1"/>
      <name val="Calibri"/>
      <family val="2"/>
      <scheme val="minor"/>
    </font>
    <font>
      <sz val="12"/>
      <color rgb="FF000000"/>
      <name val="Calibri"/>
      <family val="2"/>
      <scheme val="minor"/>
    </font>
    <font>
      <b/>
      <sz val="15"/>
      <color theme="1"/>
      <name val="HelveticaDST"/>
    </font>
    <font>
      <sz val="8"/>
      <color theme="1"/>
      <name val="HelveticaDST"/>
    </font>
    <font>
      <sz val="10"/>
      <color theme="1"/>
      <name val="Calibri"/>
      <family val="2"/>
      <scheme val="minor"/>
    </font>
    <font>
      <b/>
      <sz val="14"/>
      <color theme="1"/>
      <name val="Calibri"/>
      <family val="2"/>
      <scheme val="minor"/>
    </font>
    <font>
      <sz val="12"/>
      <color theme="0"/>
      <name val="Calibri"/>
      <family val="2"/>
      <scheme val="minor"/>
    </font>
    <font>
      <b/>
      <sz val="10"/>
      <color rgb="FF444444"/>
      <name val="Arial"/>
      <family val="2"/>
    </font>
    <font>
      <sz val="10"/>
      <color rgb="FF444444"/>
      <name val="Arial"/>
      <family val="2"/>
    </font>
    <font>
      <sz val="12"/>
      <color rgb="FF4C607A"/>
      <name val="Calibri"/>
      <family val="2"/>
      <scheme val="minor"/>
    </font>
    <font>
      <b/>
      <sz val="18"/>
      <color theme="0"/>
      <name val="Calibri"/>
      <family val="2"/>
      <scheme val="minor"/>
    </font>
    <font>
      <sz val="18"/>
      <color theme="0"/>
      <name val="Calibri"/>
      <family val="2"/>
      <scheme val="minor"/>
    </font>
    <font>
      <sz val="12"/>
      <color theme="4"/>
      <name val="Calibri"/>
      <family val="2"/>
      <scheme val="minor"/>
    </font>
    <font>
      <b/>
      <sz val="12"/>
      <color theme="0"/>
      <name val="Calibri"/>
      <family val="2"/>
      <scheme val="minor"/>
    </font>
    <font>
      <sz val="12"/>
      <color theme="1"/>
      <name val="Wingdings 2"/>
      <charset val="2"/>
    </font>
    <font>
      <sz val="12"/>
      <color rgb="FF006100"/>
      <name val="Calibri"/>
      <family val="2"/>
      <scheme val="minor"/>
    </font>
    <font>
      <sz val="12"/>
      <color theme="1"/>
      <name val="Arial"/>
      <family val="2"/>
    </font>
    <font>
      <b/>
      <sz val="10"/>
      <color theme="1"/>
      <name val="Helvetica"/>
      <family val="2"/>
    </font>
    <font>
      <sz val="10"/>
      <color rgb="FF222222"/>
      <name val="Calibri"/>
      <family val="2"/>
      <scheme val="minor"/>
    </font>
    <font>
      <sz val="10"/>
      <color theme="0"/>
      <name val="Calibri"/>
      <family val="2"/>
      <scheme val="minor"/>
    </font>
    <font>
      <sz val="8"/>
      <name val="Calibri"/>
      <family val="2"/>
      <scheme val="minor"/>
    </font>
    <font>
      <sz val="12"/>
      <color theme="1"/>
      <name val="Wingdings 2"/>
      <family val="1"/>
      <charset val="2"/>
    </font>
    <font>
      <sz val="8"/>
      <color rgb="FFFF0000"/>
      <name val="Verdana"/>
      <family val="2"/>
    </font>
    <font>
      <sz val="12"/>
      <color rgb="FFFFFF00"/>
      <name val="Calibri"/>
      <family val="2"/>
      <scheme val="minor"/>
    </font>
    <font>
      <sz val="12"/>
      <color rgb="FFFFFF00"/>
      <name val="Wingdings 2"/>
      <family val="1"/>
      <charset val="2"/>
    </font>
    <font>
      <sz val="12"/>
      <color rgb="FFFF0000"/>
      <name val="Calibri"/>
      <family val="2"/>
      <scheme val="minor"/>
    </font>
    <font>
      <sz val="10"/>
      <color rgb="FFFF0000"/>
      <name val="Calibri"/>
      <family val="2"/>
      <scheme val="minor"/>
    </font>
    <font>
      <sz val="12"/>
      <color rgb="FFFF0000"/>
      <name val="Wingdings 2"/>
      <family val="1"/>
      <charset val="2"/>
    </font>
    <font>
      <sz val="11"/>
      <color theme="1"/>
      <name val="Arial"/>
      <family val="2"/>
    </font>
    <font>
      <sz val="12"/>
      <color theme="0"/>
      <name val="Wingdings 2"/>
      <family val="1"/>
      <charset val="2"/>
    </font>
    <font>
      <sz val="12"/>
      <color rgb="FFFFB3B3"/>
      <name val="Calibri"/>
      <family val="2"/>
      <scheme val="minor"/>
    </font>
    <font>
      <sz val="10"/>
      <color rgb="FFFFB3B3"/>
      <name val="Calibri"/>
      <family val="2"/>
      <scheme val="minor"/>
    </font>
    <font>
      <sz val="9"/>
      <color rgb="FFFFB3B3"/>
      <name val="Arial"/>
      <family val="2"/>
    </font>
    <font>
      <sz val="12"/>
      <color rgb="FFFFB3B3"/>
      <name val="Wingdings 2"/>
      <family val="1"/>
      <charset val="2"/>
    </font>
    <font>
      <sz val="10"/>
      <color theme="4"/>
      <name val="Calibri"/>
      <family val="2"/>
      <scheme val="minor"/>
    </font>
    <font>
      <sz val="12"/>
      <color theme="4"/>
      <name val="Wingdings 2"/>
      <family val="1"/>
      <charset val="2"/>
    </font>
  </fonts>
  <fills count="26">
    <fill>
      <patternFill patternType="none"/>
    </fill>
    <fill>
      <patternFill patternType="gray125"/>
    </fill>
    <fill>
      <patternFill patternType="solid">
        <fgColor theme="9" tint="0.59999389629810485"/>
        <bgColor indexed="64"/>
      </patternFill>
    </fill>
    <fill>
      <patternFill patternType="solid">
        <fgColor rgb="FFF4BEC4"/>
        <bgColor indexed="64"/>
      </patternFill>
    </fill>
    <fill>
      <patternFill patternType="solid">
        <fgColor theme="0"/>
        <bgColor indexed="64"/>
      </patternFill>
    </fill>
    <fill>
      <patternFill patternType="solid">
        <fgColor theme="4" tint="0.59999389629810485"/>
        <bgColor indexed="64"/>
      </patternFill>
    </fill>
    <fill>
      <patternFill patternType="solid">
        <fgColor theme="4"/>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rgb="FFC6EFCE"/>
        <bgColor rgb="FF000000"/>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3" tint="0.79998168889431442"/>
        <bgColor indexed="64"/>
      </patternFill>
    </fill>
    <fill>
      <patternFill patternType="solid">
        <fgColor rgb="FF0070C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rgb="FFFF9900"/>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rgb="FFFFB3B3"/>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31"/>
        <bgColor indexed="64"/>
      </patternFill>
    </fill>
    <fill>
      <patternFill patternType="solid">
        <fgColor indexed="22"/>
        <bgColor indexed="64"/>
      </patternFill>
    </fill>
    <fill>
      <patternFill patternType="solid">
        <fgColor indexed="47"/>
        <bgColor indexed="64"/>
      </patternFill>
    </fill>
  </fills>
  <borders count="25">
    <border>
      <left/>
      <right/>
      <top/>
      <bottom/>
      <diagonal/>
    </border>
    <border>
      <left/>
      <right/>
      <top style="thin">
        <color indexed="64"/>
      </top>
      <bottom style="double">
        <color indexed="64"/>
      </bottom>
      <diagonal/>
    </border>
    <border>
      <left/>
      <right/>
      <top style="thin">
        <color indexed="64"/>
      </top>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bottom/>
      <diagonal/>
    </border>
    <border>
      <left/>
      <right/>
      <top style="thin">
        <color theme="4" tint="0.39997558519241921"/>
      </top>
      <bottom style="thin">
        <color theme="4" tint="0.39997558519241921"/>
      </bottom>
      <diagonal/>
    </border>
    <border>
      <left style="medium">
        <color indexed="64"/>
      </left>
      <right/>
      <top style="thin">
        <color indexed="64"/>
      </top>
      <bottom style="double">
        <color indexed="64"/>
      </bottom>
      <diagonal/>
    </border>
    <border>
      <left style="thin">
        <color theme="0"/>
      </left>
      <right style="thin">
        <color theme="0"/>
      </right>
      <top style="thin">
        <color theme="0"/>
      </top>
      <bottom/>
      <diagonal/>
    </border>
    <border>
      <left style="thin">
        <color theme="0"/>
      </left>
      <right/>
      <top style="thin">
        <color theme="0"/>
      </top>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indexed="64"/>
      </right>
      <top/>
      <bottom style="medium">
        <color indexed="64"/>
      </bottom>
      <diagonal/>
    </border>
    <border>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2">
    <xf numFmtId="0" fontId="0" fillId="0" borderId="0"/>
    <xf numFmtId="44" fontId="1" fillId="0" borderId="0" applyFont="0" applyFill="0" applyBorder="0" applyAlignment="0" applyProtection="0"/>
  </cellStyleXfs>
  <cellXfs count="286">
    <xf numFmtId="0" fontId="0" fillId="0" borderId="0" xfId="0"/>
    <xf numFmtId="14" fontId="0" fillId="0" borderId="0" xfId="0" applyNumberFormat="1"/>
    <xf numFmtId="44" fontId="0" fillId="0" borderId="0" xfId="1" applyFont="1"/>
    <xf numFmtId="0" fontId="0" fillId="0" borderId="0" xfId="0" applyAlignment="1">
      <alignment wrapText="1"/>
    </xf>
    <xf numFmtId="0" fontId="0" fillId="0" borderId="0" xfId="0" applyAlignment="1">
      <alignment vertical="top"/>
    </xf>
    <xf numFmtId="164" fontId="0" fillId="0" borderId="0" xfId="0" applyNumberFormat="1"/>
    <xf numFmtId="0" fontId="0" fillId="0" borderId="0" xfId="0" pivotButton="1"/>
    <xf numFmtId="0" fontId="0" fillId="0" borderId="0" xfId="0" applyAlignment="1">
      <alignment horizontal="left"/>
    </xf>
    <xf numFmtId="8" fontId="3" fillId="0" borderId="0" xfId="0" applyNumberFormat="1" applyFont="1"/>
    <xf numFmtId="0" fontId="4" fillId="0" borderId="0" xfId="0" applyFont="1"/>
    <xf numFmtId="0" fontId="5" fillId="2" borderId="0" xfId="0" applyFont="1" applyFill="1" applyAlignment="1">
      <alignment wrapText="1"/>
    </xf>
    <xf numFmtId="44" fontId="0" fillId="3" borderId="0" xfId="1" applyFont="1" applyFill="1"/>
    <xf numFmtId="0" fontId="4" fillId="3" borderId="0" xfId="0" applyFont="1" applyFill="1"/>
    <xf numFmtId="0" fontId="5" fillId="0" borderId="0" xfId="0" applyFont="1" applyAlignment="1">
      <alignment wrapText="1"/>
    </xf>
    <xf numFmtId="44" fontId="0" fillId="4" borderId="0" xfId="1" applyFont="1" applyFill="1"/>
    <xf numFmtId="0" fontId="6" fillId="5" borderId="0" xfId="0" applyFont="1" applyFill="1" applyAlignment="1">
      <alignment wrapText="1"/>
    </xf>
    <xf numFmtId="0" fontId="4" fillId="0" borderId="0" xfId="0" applyFont="1" applyAlignment="1">
      <alignment wrapText="1"/>
    </xf>
    <xf numFmtId="165" fontId="0" fillId="0" borderId="0" xfId="1" applyNumberFormat="1" applyFont="1"/>
    <xf numFmtId="44" fontId="0" fillId="0" borderId="0" xfId="0" applyNumberFormat="1"/>
    <xf numFmtId="0" fontId="2" fillId="0" borderId="0" xfId="0" applyFont="1"/>
    <xf numFmtId="16" fontId="0" fillId="0" borderId="0" xfId="0" applyNumberFormat="1"/>
    <xf numFmtId="0" fontId="5" fillId="0" borderId="0" xfId="0" applyFont="1"/>
    <xf numFmtId="0" fontId="5" fillId="0" borderId="0" xfId="0" applyFont="1" applyFill="1"/>
    <xf numFmtId="164" fontId="5" fillId="0" borderId="0" xfId="0" applyNumberFormat="1" applyFont="1" applyFill="1"/>
    <xf numFmtId="0" fontId="8" fillId="0" borderId="0" xfId="0" applyFont="1"/>
    <xf numFmtId="0" fontId="10" fillId="0" borderId="0" xfId="0" applyFont="1"/>
    <xf numFmtId="8" fontId="2" fillId="0" borderId="0" xfId="0" applyNumberFormat="1" applyFont="1"/>
    <xf numFmtId="14" fontId="2" fillId="0" borderId="0" xfId="0" applyNumberFormat="1" applyFont="1"/>
    <xf numFmtId="8" fontId="9" fillId="0" borderId="0" xfId="1" applyNumberFormat="1" applyFont="1"/>
    <xf numFmtId="44" fontId="0" fillId="0" borderId="1" xfId="1" applyFont="1" applyBorder="1"/>
    <xf numFmtId="44" fontId="0" fillId="2" borderId="1" xfId="1" applyFont="1" applyFill="1" applyBorder="1"/>
    <xf numFmtId="0" fontId="5" fillId="0" borderId="0" xfId="0" applyFont="1" applyFill="1" applyAlignment="1">
      <alignment wrapText="1"/>
    </xf>
    <xf numFmtId="44" fontId="0" fillId="0" borderId="0" xfId="1" applyFont="1" applyFill="1" applyBorder="1"/>
    <xf numFmtId="44" fontId="0" fillId="0" borderId="1" xfId="1" applyFont="1" applyFill="1" applyBorder="1"/>
    <xf numFmtId="44" fontId="0" fillId="0" borderId="2" xfId="1" applyFont="1" applyFill="1" applyBorder="1"/>
    <xf numFmtId="44" fontId="0" fillId="0" borderId="3" xfId="1" applyFont="1" applyFill="1" applyBorder="1"/>
    <xf numFmtId="44" fontId="7" fillId="6" borderId="0" xfId="0" applyNumberFormat="1" applyFont="1" applyFill="1"/>
    <xf numFmtId="44" fontId="13" fillId="0" borderId="0" xfId="0" applyNumberFormat="1" applyFont="1"/>
    <xf numFmtId="44" fontId="7" fillId="6" borderId="7" xfId="0" applyNumberFormat="1" applyFont="1" applyFill="1" applyBorder="1"/>
    <xf numFmtId="44" fontId="7" fillId="6" borderId="0" xfId="0" applyNumberFormat="1" applyFont="1" applyFill="1" applyBorder="1"/>
    <xf numFmtId="44" fontId="7" fillId="6" borderId="8" xfId="0" applyNumberFormat="1" applyFont="1" applyFill="1" applyBorder="1"/>
    <xf numFmtId="44" fontId="0" fillId="0" borderId="7" xfId="0" applyNumberFormat="1" applyBorder="1"/>
    <xf numFmtId="44" fontId="0" fillId="0" borderId="0" xfId="0" applyNumberFormat="1" applyBorder="1"/>
    <xf numFmtId="44" fontId="11" fillId="6" borderId="9" xfId="0" applyNumberFormat="1" applyFont="1" applyFill="1" applyBorder="1"/>
    <xf numFmtId="44" fontId="0" fillId="0" borderId="0" xfId="0" applyNumberFormat="1" applyBorder="1" applyProtection="1">
      <protection locked="0"/>
    </xf>
    <xf numFmtId="44" fontId="0" fillId="0" borderId="7" xfId="0" applyNumberFormat="1" applyBorder="1" applyProtection="1">
      <protection locked="0"/>
    </xf>
    <xf numFmtId="44" fontId="0" fillId="0" borderId="0" xfId="0" applyNumberFormat="1" applyProtection="1">
      <protection locked="0"/>
    </xf>
    <xf numFmtId="44" fontId="7" fillId="6" borderId="0" xfId="0" applyNumberFormat="1" applyFont="1" applyFill="1" applyBorder="1" applyProtection="1">
      <protection locked="0"/>
    </xf>
    <xf numFmtId="44" fontId="7" fillId="6" borderId="7" xfId="0" applyNumberFormat="1" applyFont="1" applyFill="1" applyBorder="1" applyProtection="1">
      <protection locked="0"/>
    </xf>
    <xf numFmtId="44" fontId="7" fillId="6" borderId="8" xfId="0" applyNumberFormat="1" applyFont="1" applyFill="1" applyBorder="1" applyProtection="1">
      <protection locked="0"/>
    </xf>
    <xf numFmtId="44" fontId="7" fillId="6" borderId="0" xfId="0" applyNumberFormat="1" applyFont="1" applyFill="1" applyProtection="1">
      <protection locked="0"/>
    </xf>
    <xf numFmtId="44" fontId="2" fillId="0" borderId="0" xfId="0" applyNumberFormat="1" applyFont="1" applyProtection="1">
      <protection locked="0"/>
    </xf>
    <xf numFmtId="6" fontId="0" fillId="0" borderId="0" xfId="0" applyNumberFormat="1" applyProtection="1">
      <protection locked="0"/>
    </xf>
    <xf numFmtId="44" fontId="0" fillId="0" borderId="7" xfId="1" applyFont="1" applyBorder="1"/>
    <xf numFmtId="44" fontId="0" fillId="0" borderId="7" xfId="1" applyFont="1" applyBorder="1" applyProtection="1">
      <protection locked="0"/>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center" vertical="top"/>
    </xf>
    <xf numFmtId="0" fontId="0" fillId="0" borderId="0" xfId="0" applyAlignment="1">
      <alignment horizontal="center" vertical="top" wrapText="1"/>
    </xf>
    <xf numFmtId="44" fontId="0" fillId="0" borderId="0" xfId="1" applyFont="1" applyAlignment="1">
      <alignment horizontal="center" vertical="top"/>
    </xf>
    <xf numFmtId="44" fontId="7" fillId="6" borderId="0" xfId="1" applyFont="1" applyFill="1" applyAlignment="1">
      <alignment horizontal="center" vertical="top"/>
    </xf>
    <xf numFmtId="44" fontId="0" fillId="0" borderId="0" xfId="0" applyNumberFormat="1" applyAlignment="1">
      <alignment horizontal="center" vertical="top"/>
    </xf>
    <xf numFmtId="6" fontId="0" fillId="0" borderId="0" xfId="1" applyNumberFormat="1" applyFont="1" applyAlignment="1">
      <alignment horizontal="center" vertical="top"/>
    </xf>
    <xf numFmtId="8" fontId="0" fillId="0" borderId="0" xfId="0" applyNumberFormat="1" applyAlignment="1">
      <alignment horizontal="center" vertical="top"/>
    </xf>
    <xf numFmtId="8" fontId="0" fillId="0" borderId="0" xfId="1" applyNumberFormat="1" applyFont="1" applyAlignment="1">
      <alignment horizontal="center" vertical="top"/>
    </xf>
    <xf numFmtId="0" fontId="2" fillId="0" borderId="0" xfId="0" applyFont="1" applyAlignment="1">
      <alignment horizontal="center" vertical="top" wrapText="1"/>
    </xf>
    <xf numFmtId="14" fontId="0" fillId="0" borderId="0" xfId="0" applyNumberFormat="1" applyAlignment="1">
      <alignment horizontal="center" vertical="top"/>
    </xf>
    <xf numFmtId="14" fontId="7" fillId="6" borderId="0" xfId="0" applyNumberFormat="1" applyFont="1" applyFill="1" applyAlignment="1">
      <alignment horizontal="center" vertical="top"/>
    </xf>
    <xf numFmtId="14" fontId="0" fillId="0" borderId="0" xfId="0" applyNumberFormat="1"/>
    <xf numFmtId="0" fontId="0" fillId="0" borderId="0" xfId="0" applyAlignment="1">
      <alignment horizontal="left" indent="1"/>
    </xf>
    <xf numFmtId="0" fontId="0" fillId="0" borderId="0" xfId="0" applyFill="1" applyAlignment="1">
      <alignment horizontal="left" vertical="top"/>
    </xf>
    <xf numFmtId="14" fontId="0" fillId="0" borderId="12" xfId="0" applyNumberFormat="1" applyFont="1" applyFill="1" applyBorder="1" applyAlignment="1">
      <alignment horizontal="left" vertical="top"/>
    </xf>
    <xf numFmtId="14" fontId="0" fillId="0" borderId="12" xfId="0" applyNumberFormat="1" applyFill="1" applyBorder="1" applyAlignment="1">
      <alignment horizontal="left" vertical="top"/>
    </xf>
    <xf numFmtId="0" fontId="2" fillId="0" borderId="0" xfId="0" applyFont="1" applyAlignment="1">
      <alignment horizontal="center" vertical="top"/>
    </xf>
    <xf numFmtId="14" fontId="7" fillId="6" borderId="12" xfId="0" applyNumberFormat="1" applyFont="1" applyFill="1" applyBorder="1" applyAlignment="1">
      <alignment horizontal="left" vertical="top" wrapText="1"/>
    </xf>
    <xf numFmtId="44" fontId="0" fillId="0" borderId="0" xfId="1" applyFont="1" applyAlignment="1">
      <alignment horizontal="center" vertical="top" wrapText="1"/>
    </xf>
    <xf numFmtId="44" fontId="7" fillId="6" borderId="1" xfId="0" applyNumberFormat="1" applyFont="1" applyFill="1" applyBorder="1"/>
    <xf numFmtId="166" fontId="0" fillId="0" borderId="7" xfId="0" applyNumberFormat="1" applyBorder="1"/>
    <xf numFmtId="44" fontId="0" fillId="0" borderId="11" xfId="0" applyNumberFormat="1" applyBorder="1" applyProtection="1">
      <protection locked="0"/>
    </xf>
    <xf numFmtId="167" fontId="0" fillId="0" borderId="0" xfId="0" applyNumberFormat="1"/>
    <xf numFmtId="168" fontId="0" fillId="0" borderId="0" xfId="0" applyNumberFormat="1"/>
    <xf numFmtId="44" fontId="0" fillId="0" borderId="11" xfId="0" applyNumberFormat="1" applyBorder="1"/>
    <xf numFmtId="44" fontId="0" fillId="0" borderId="8" xfId="0" applyNumberFormat="1" applyBorder="1" applyProtection="1"/>
    <xf numFmtId="44" fontId="7" fillId="6" borderId="13" xfId="0" applyNumberFormat="1" applyFont="1" applyFill="1" applyBorder="1" applyProtection="1"/>
    <xf numFmtId="44" fontId="7" fillId="6" borderId="1" xfId="0" applyNumberFormat="1" applyFont="1" applyFill="1" applyBorder="1" applyProtection="1"/>
    <xf numFmtId="44" fontId="7" fillId="6" borderId="1" xfId="1" applyFont="1" applyFill="1" applyBorder="1" applyProtection="1"/>
    <xf numFmtId="44" fontId="7" fillId="6" borderId="7" xfId="0" applyNumberFormat="1" applyFont="1" applyFill="1" applyBorder="1" applyProtection="1"/>
    <xf numFmtId="44" fontId="7" fillId="6" borderId="0" xfId="0" applyNumberFormat="1" applyFont="1" applyFill="1" applyBorder="1" applyProtection="1"/>
    <xf numFmtId="44" fontId="7" fillId="6" borderId="9" xfId="0" applyNumberFormat="1" applyFont="1" applyFill="1" applyBorder="1" applyProtection="1"/>
    <xf numFmtId="44" fontId="7" fillId="6" borderId="10" xfId="0" applyNumberFormat="1" applyFont="1" applyFill="1" applyBorder="1" applyProtection="1"/>
    <xf numFmtId="44" fontId="0" fillId="0" borderId="0" xfId="0" applyNumberFormat="1" applyProtection="1"/>
    <xf numFmtId="44" fontId="5" fillId="0" borderId="0" xfId="1" applyFont="1" applyFill="1"/>
    <xf numFmtId="0" fontId="0" fillId="0" borderId="7" xfId="0" applyBorder="1"/>
    <xf numFmtId="44" fontId="0" fillId="0" borderId="0" xfId="0" applyNumberFormat="1" applyBorder="1" applyProtection="1"/>
    <xf numFmtId="0" fontId="0" fillId="0" borderId="8" xfId="0" applyBorder="1"/>
    <xf numFmtId="44" fontId="7" fillId="6" borderId="16" xfId="0" applyNumberFormat="1" applyFont="1" applyFill="1" applyBorder="1" applyProtection="1"/>
    <xf numFmtId="44" fontId="7" fillId="6" borderId="3" xfId="0" applyNumberFormat="1" applyFont="1" applyFill="1" applyBorder="1" applyProtection="1"/>
    <xf numFmtId="44" fontId="7" fillId="6" borderId="17" xfId="0" applyNumberFormat="1" applyFont="1" applyFill="1" applyBorder="1" applyProtection="1"/>
    <xf numFmtId="44" fontId="0" fillId="0" borderId="4" xfId="0" applyNumberFormat="1" applyBorder="1"/>
    <xf numFmtId="44" fontId="0" fillId="0" borderId="5" xfId="0" applyNumberFormat="1" applyBorder="1"/>
    <xf numFmtId="44" fontId="0" fillId="0" borderId="6" xfId="0" applyNumberFormat="1" applyBorder="1" applyProtection="1"/>
    <xf numFmtId="44" fontId="0" fillId="0" borderId="9" xfId="0" applyNumberFormat="1" applyBorder="1"/>
    <xf numFmtId="44" fontId="0" fillId="0" borderId="10" xfId="0" applyNumberFormat="1" applyBorder="1"/>
    <xf numFmtId="44" fontId="0" fillId="0" borderId="18" xfId="0" applyNumberFormat="1" applyBorder="1" applyProtection="1"/>
    <xf numFmtId="166" fontId="0" fillId="0" borderId="4" xfId="0" applyNumberFormat="1" applyBorder="1"/>
    <xf numFmtId="44" fontId="7" fillId="6" borderId="19" xfId="0" applyNumberFormat="1" applyFont="1" applyFill="1" applyBorder="1" applyProtection="1"/>
    <xf numFmtId="0" fontId="7" fillId="0" borderId="0" xfId="0" applyFont="1" applyFill="1" applyBorder="1"/>
    <xf numFmtId="44" fontId="12" fillId="4" borderId="0" xfId="0" applyNumberFormat="1" applyFont="1" applyFill="1" applyBorder="1" applyAlignment="1">
      <alignment horizontal="center"/>
    </xf>
    <xf numFmtId="44" fontId="7" fillId="4" borderId="0" xfId="0" applyNumberFormat="1" applyFont="1" applyFill="1" applyBorder="1" applyProtection="1"/>
    <xf numFmtId="0" fontId="7" fillId="4" borderId="0" xfId="0" applyFont="1" applyFill="1" applyBorder="1"/>
    <xf numFmtId="44" fontId="7" fillId="6" borderId="10" xfId="0" applyNumberFormat="1" applyFont="1" applyFill="1" applyBorder="1" applyAlignment="1">
      <alignment horizontal="center"/>
    </xf>
    <xf numFmtId="44" fontId="7" fillId="6" borderId="20" xfId="0" applyNumberFormat="1" applyFont="1" applyFill="1" applyBorder="1" applyProtection="1"/>
    <xf numFmtId="44" fontId="7" fillId="6" borderId="21" xfId="0" applyNumberFormat="1" applyFont="1" applyFill="1" applyBorder="1" applyProtection="1"/>
    <xf numFmtId="44" fontId="7" fillId="6" borderId="22" xfId="0" applyNumberFormat="1" applyFont="1" applyFill="1" applyBorder="1" applyProtection="1"/>
    <xf numFmtId="166" fontId="7" fillId="6" borderId="1" xfId="0" applyNumberFormat="1" applyFont="1" applyFill="1" applyBorder="1" applyProtection="1"/>
    <xf numFmtId="44" fontId="7" fillId="0" borderId="1" xfId="0" applyNumberFormat="1" applyFont="1" applyFill="1" applyBorder="1" applyProtection="1"/>
    <xf numFmtId="44" fontId="7" fillId="6" borderId="18" xfId="0" applyNumberFormat="1" applyFont="1" applyFill="1" applyBorder="1" applyProtection="1"/>
    <xf numFmtId="14" fontId="0" fillId="0" borderId="0" xfId="0" applyNumberFormat="1" applyFill="1" applyAlignment="1">
      <alignment horizontal="center" vertical="top"/>
    </xf>
    <xf numFmtId="0" fontId="0" fillId="0" borderId="0" xfId="0" applyFill="1" applyAlignment="1">
      <alignment horizontal="center" vertical="top" wrapText="1"/>
    </xf>
    <xf numFmtId="44" fontId="0" fillId="0" borderId="0" xfId="1" applyFont="1" applyFill="1" applyAlignment="1">
      <alignment horizontal="center" vertical="top"/>
    </xf>
    <xf numFmtId="0" fontId="0" fillId="0" borderId="0" xfId="0" applyFill="1" applyAlignment="1">
      <alignment horizontal="center" vertical="top"/>
    </xf>
    <xf numFmtId="14" fontId="0" fillId="0" borderId="14" xfId="0" applyNumberFormat="1" applyFont="1" applyFill="1" applyBorder="1" applyAlignment="1">
      <alignment horizontal="center" vertical="top"/>
    </xf>
    <xf numFmtId="44" fontId="0" fillId="0" borderId="0" xfId="1" applyFont="1" applyFill="1" applyAlignment="1">
      <alignment horizontal="left" vertical="top"/>
    </xf>
    <xf numFmtId="0" fontId="2" fillId="0" borderId="14" xfId="0" applyFont="1" applyFill="1" applyBorder="1" applyAlignment="1">
      <alignment horizontal="center" vertical="top" wrapText="1"/>
    </xf>
    <xf numFmtId="44" fontId="0" fillId="0" borderId="14" xfId="1" applyNumberFormat="1" applyFont="1" applyFill="1" applyBorder="1" applyAlignment="1">
      <alignment horizontal="center" vertical="top"/>
    </xf>
    <xf numFmtId="44" fontId="0" fillId="0" borderId="15" xfId="1" applyNumberFormat="1" applyFont="1" applyFill="1" applyBorder="1" applyAlignment="1">
      <alignment horizontal="center" vertical="top"/>
    </xf>
    <xf numFmtId="14" fontId="0" fillId="0" borderId="23" xfId="0" applyNumberFormat="1" applyFont="1" applyFill="1" applyBorder="1" applyAlignment="1">
      <alignment horizontal="center" vertical="top"/>
    </xf>
    <xf numFmtId="44" fontId="0" fillId="0" borderId="0" xfId="1" applyFont="1" applyFill="1" applyAlignment="1">
      <alignment horizontal="center" vertical="top" wrapText="1"/>
    </xf>
    <xf numFmtId="0" fontId="0" fillId="0" borderId="23" xfId="0" applyFont="1" applyFill="1" applyBorder="1" applyAlignment="1">
      <alignment horizontal="center" vertical="top" wrapText="1"/>
    </xf>
    <xf numFmtId="44" fontId="0" fillId="0" borderId="23" xfId="1" applyNumberFormat="1" applyFont="1" applyFill="1" applyBorder="1" applyAlignment="1">
      <alignment horizontal="center" vertical="top"/>
    </xf>
    <xf numFmtId="44" fontId="0" fillId="0" borderId="24" xfId="1" applyNumberFormat="1" applyFont="1" applyFill="1" applyBorder="1" applyAlignment="1">
      <alignment horizontal="center" vertical="top"/>
    </xf>
    <xf numFmtId="0" fontId="0" fillId="0" borderId="0" xfId="0" applyFill="1" applyAlignment="1">
      <alignment horizontal="left" vertical="top" wrapText="1"/>
    </xf>
    <xf numFmtId="0" fontId="7" fillId="6" borderId="0" xfId="0" applyFont="1" applyFill="1" applyAlignment="1">
      <alignment horizontal="center" vertical="top"/>
    </xf>
    <xf numFmtId="0" fontId="0" fillId="0" borderId="0" xfId="0" applyNumberFormat="1"/>
    <xf numFmtId="44" fontId="17" fillId="0" borderId="0" xfId="1" applyFont="1"/>
    <xf numFmtId="44" fontId="7" fillId="6" borderId="3" xfId="0" applyNumberFormat="1" applyFont="1" applyFill="1" applyBorder="1"/>
    <xf numFmtId="166" fontId="7" fillId="6" borderId="3" xfId="0" applyNumberFormat="1" applyFont="1" applyFill="1" applyBorder="1" applyProtection="1"/>
    <xf numFmtId="166" fontId="0" fillId="0" borderId="9" xfId="0" applyNumberFormat="1" applyBorder="1"/>
    <xf numFmtId="44" fontId="0" fillId="0" borderId="0" xfId="1" applyFont="1" applyBorder="1" applyProtection="1">
      <protection locked="0"/>
    </xf>
    <xf numFmtId="44" fontId="7" fillId="6" borderId="3" xfId="1" applyFont="1" applyFill="1" applyBorder="1" applyProtection="1"/>
    <xf numFmtId="0" fontId="0" fillId="0" borderId="4" xfId="0" applyBorder="1"/>
    <xf numFmtId="44" fontId="0" fillId="0" borderId="9" xfId="0" applyNumberFormat="1" applyBorder="1" applyProtection="1">
      <protection locked="0"/>
    </xf>
    <xf numFmtId="44" fontId="2" fillId="0" borderId="0" xfId="0" applyNumberFormat="1" applyFont="1"/>
    <xf numFmtId="44" fontId="2" fillId="0" borderId="7" xfId="0" applyNumberFormat="1" applyFont="1" applyBorder="1"/>
    <xf numFmtId="44" fontId="16" fillId="9" borderId="8" xfId="0" applyNumberFormat="1" applyFont="1" applyFill="1" applyBorder="1"/>
    <xf numFmtId="44" fontId="0" fillId="0" borderId="5" xfId="0" applyNumberFormat="1" applyBorder="1" applyProtection="1"/>
    <xf numFmtId="44" fontId="0" fillId="0" borderId="10" xfId="0" applyNumberFormat="1" applyBorder="1" applyProtection="1"/>
    <xf numFmtId="0" fontId="0" fillId="0" borderId="0" xfId="0" applyAlignment="1">
      <alignment horizontal="center" vertical="center"/>
    </xf>
    <xf numFmtId="0" fontId="0" fillId="2" borderId="0" xfId="0" applyFill="1" applyAlignment="1">
      <alignment vertical="top"/>
    </xf>
    <xf numFmtId="44" fontId="0" fillId="0" borderId="0" xfId="1" applyFont="1" applyAlignment="1">
      <alignment vertical="top"/>
    </xf>
    <xf numFmtId="0" fontId="0" fillId="7" borderId="0" xfId="0" applyFill="1" applyAlignment="1">
      <alignment vertical="top"/>
    </xf>
    <xf numFmtId="0" fontId="0" fillId="8" borderId="0" xfId="0" applyFill="1" applyAlignment="1">
      <alignment vertical="top"/>
    </xf>
    <xf numFmtId="44" fontId="0" fillId="0" borderId="4" xfId="0" applyNumberFormat="1" applyBorder="1" applyProtection="1">
      <protection locked="0"/>
    </xf>
    <xf numFmtId="14" fontId="0" fillId="0" borderId="0" xfId="0" applyNumberFormat="1" applyFont="1" applyFill="1" applyBorder="1" applyAlignment="1">
      <alignment horizontal="center" vertical="top"/>
    </xf>
    <xf numFmtId="0" fontId="0" fillId="0" borderId="0" xfId="0" applyFont="1" applyFill="1" applyBorder="1" applyAlignment="1">
      <alignment horizontal="center" vertical="top" wrapText="1"/>
    </xf>
    <xf numFmtId="44" fontId="0" fillId="0" borderId="0" xfId="1" applyNumberFormat="1" applyFont="1" applyFill="1" applyBorder="1" applyAlignment="1">
      <alignment horizontal="center" vertical="top"/>
    </xf>
    <xf numFmtId="44" fontId="0" fillId="0" borderId="0" xfId="1" applyFont="1" applyAlignment="1">
      <alignment horizontal="center" vertical="center"/>
    </xf>
    <xf numFmtId="44" fontId="7" fillId="6" borderId="0" xfId="1" applyFont="1" applyFill="1" applyAlignment="1">
      <alignment horizontal="center" vertical="center"/>
    </xf>
    <xf numFmtId="0" fontId="7" fillId="6" borderId="0" xfId="0" applyFont="1" applyFill="1" applyAlignment="1">
      <alignment horizontal="center" vertical="center"/>
    </xf>
    <xf numFmtId="44" fontId="0" fillId="0" borderId="0" xfId="1" applyNumberFormat="1" applyFont="1" applyFill="1" applyBorder="1" applyAlignment="1">
      <alignment horizontal="center" vertical="center"/>
    </xf>
    <xf numFmtId="0" fontId="0" fillId="0" borderId="0" xfId="0" applyFill="1" applyAlignment="1">
      <alignment horizontal="center" vertical="center"/>
    </xf>
    <xf numFmtId="44" fontId="0" fillId="0" borderId="0" xfId="1" applyFont="1" applyFill="1" applyAlignment="1">
      <alignment horizontal="center" vertical="center"/>
    </xf>
    <xf numFmtId="6" fontId="0" fillId="0" borderId="0" xfId="0" applyNumberFormat="1" applyBorder="1"/>
    <xf numFmtId="0" fontId="0" fillId="0" borderId="0" xfId="0" applyAlignment="1"/>
    <xf numFmtId="44" fontId="7" fillId="6" borderId="0" xfId="1" applyFont="1" applyFill="1" applyAlignment="1">
      <alignment horizontal="left" vertical="top"/>
    </xf>
    <xf numFmtId="44" fontId="18" fillId="0" borderId="0" xfId="1" applyFont="1"/>
    <xf numFmtId="169" fontId="0" fillId="0" borderId="0" xfId="0" applyNumberFormat="1"/>
    <xf numFmtId="0" fontId="19" fillId="0" borderId="0" xfId="0" applyFont="1"/>
    <xf numFmtId="0" fontId="20" fillId="6" borderId="0" xfId="0" applyFont="1" applyFill="1"/>
    <xf numFmtId="0" fontId="0" fillId="0" borderId="0" xfId="0" applyFill="1"/>
    <xf numFmtId="164" fontId="5" fillId="0" borderId="0" xfId="0" applyNumberFormat="1" applyFont="1" applyFill="1" applyAlignment="1">
      <alignment vertical="top"/>
    </xf>
    <xf numFmtId="0" fontId="5" fillId="0" borderId="0" xfId="0" applyFont="1" applyFill="1" applyAlignment="1" applyProtection="1">
      <alignment vertical="top"/>
    </xf>
    <xf numFmtId="0" fontId="5" fillId="0" borderId="0" xfId="0" applyFont="1" applyFill="1" applyAlignment="1">
      <alignment vertical="top"/>
    </xf>
    <xf numFmtId="0" fontId="5" fillId="0" borderId="0" xfId="0" applyFont="1" applyFill="1" applyAlignment="1" applyProtection="1">
      <alignment vertical="top"/>
      <protection locked="0"/>
    </xf>
    <xf numFmtId="0" fontId="5" fillId="0" borderId="0" xfId="0" applyNumberFormat="1" applyFont="1"/>
    <xf numFmtId="0" fontId="0" fillId="11" borderId="0" xfId="0" applyFill="1" applyAlignment="1">
      <alignment vertical="top"/>
    </xf>
    <xf numFmtId="0" fontId="0" fillId="12" borderId="0" xfId="0" applyFill="1" applyAlignment="1">
      <alignment vertical="top"/>
    </xf>
    <xf numFmtId="0" fontId="5" fillId="10" borderId="12" xfId="0" applyFont="1" applyFill="1" applyBorder="1"/>
    <xf numFmtId="44" fontId="0" fillId="0" borderId="0" xfId="1" applyFont="1" applyAlignment="1">
      <alignment vertical="center"/>
    </xf>
    <xf numFmtId="164" fontId="7" fillId="6" borderId="0" xfId="1" applyNumberFormat="1" applyFont="1" applyFill="1" applyAlignment="1">
      <alignment horizontal="left" vertical="top"/>
    </xf>
    <xf numFmtId="164" fontId="0" fillId="0" borderId="0" xfId="1" applyNumberFormat="1" applyFont="1" applyAlignment="1">
      <alignment vertical="top"/>
    </xf>
    <xf numFmtId="43" fontId="0" fillId="0" borderId="11" xfId="0" applyNumberFormat="1" applyBorder="1"/>
    <xf numFmtId="44" fontId="24" fillId="13" borderId="0" xfId="1" applyFont="1" applyFill="1" applyAlignment="1">
      <alignment vertical="top"/>
    </xf>
    <xf numFmtId="164" fontId="24" fillId="13" borderId="0" xfId="1" applyNumberFormat="1" applyFont="1" applyFill="1"/>
    <xf numFmtId="44" fontId="24" fillId="13" borderId="0" xfId="1" applyFont="1" applyFill="1"/>
    <xf numFmtId="44" fontId="24" fillId="13" borderId="0" xfId="1" applyFont="1" applyFill="1" applyAlignment="1" applyProtection="1">
      <alignment vertical="top"/>
    </xf>
    <xf numFmtId="44" fontId="24" fillId="13" borderId="0" xfId="0" applyNumberFormat="1" applyFont="1" applyFill="1"/>
    <xf numFmtId="44" fontId="24" fillId="13" borderId="0" xfId="1" applyFont="1" applyFill="1" applyAlignment="1" applyProtection="1">
      <alignment vertical="top"/>
      <protection locked="0"/>
    </xf>
    <xf numFmtId="44" fontId="25" fillId="13" borderId="0" xfId="1" applyFont="1" applyFill="1" applyAlignment="1">
      <alignment vertical="top"/>
    </xf>
    <xf numFmtId="44" fontId="22" fillId="2" borderId="0" xfId="1" applyFont="1" applyFill="1" applyAlignment="1" applyProtection="1">
      <alignment vertical="center"/>
    </xf>
    <xf numFmtId="44" fontId="22" fillId="14" borderId="0" xfId="1" applyFont="1" applyFill="1" applyAlignment="1">
      <alignment vertical="top"/>
    </xf>
    <xf numFmtId="44" fontId="0" fillId="15" borderId="0" xfId="1" applyFont="1" applyFill="1" applyAlignment="1">
      <alignment vertical="top"/>
    </xf>
    <xf numFmtId="44" fontId="5" fillId="15" borderId="0" xfId="1" applyFont="1" applyFill="1" applyAlignment="1">
      <alignment vertical="top"/>
    </xf>
    <xf numFmtId="44" fontId="15" fillId="15" borderId="0" xfId="1" applyFont="1" applyFill="1" applyAlignment="1" applyProtection="1">
      <alignment vertical="center"/>
    </xf>
    <xf numFmtId="44" fontId="15" fillId="15" borderId="0" xfId="1" applyFont="1" applyFill="1" applyAlignment="1">
      <alignment vertical="top"/>
    </xf>
    <xf numFmtId="44" fontId="7" fillId="16" borderId="0" xfId="1" applyFont="1" applyFill="1" applyAlignment="1">
      <alignment vertical="top"/>
    </xf>
    <xf numFmtId="44" fontId="20" fillId="16" borderId="0" xfId="1" applyFont="1" applyFill="1" applyAlignment="1">
      <alignment vertical="top"/>
    </xf>
    <xf numFmtId="164" fontId="20" fillId="16" borderId="0" xfId="1" applyNumberFormat="1" applyFont="1" applyFill="1" applyAlignment="1">
      <alignment vertical="top"/>
    </xf>
    <xf numFmtId="44" fontId="7" fillId="16" borderId="0" xfId="1" applyFont="1" applyFill="1"/>
    <xf numFmtId="44" fontId="30" fillId="16" borderId="0" xfId="1" applyFont="1" applyFill="1" applyAlignment="1">
      <alignment vertical="top"/>
    </xf>
    <xf numFmtId="44" fontId="31" fillId="17" borderId="0" xfId="1" applyFont="1" applyFill="1" applyAlignment="1">
      <alignment vertical="top"/>
    </xf>
    <xf numFmtId="44" fontId="32" fillId="17" borderId="0" xfId="1" applyFont="1" applyFill="1" applyAlignment="1">
      <alignment vertical="top"/>
    </xf>
    <xf numFmtId="164" fontId="32" fillId="17" borderId="0" xfId="1" applyNumberFormat="1" applyFont="1" applyFill="1" applyAlignment="1">
      <alignment vertical="top"/>
    </xf>
    <xf numFmtId="8" fontId="33" fillId="17" borderId="0" xfId="0" applyNumberFormat="1" applyFont="1" applyFill="1"/>
    <xf numFmtId="44" fontId="34" fillId="17" borderId="0" xfId="1" applyFont="1" applyFill="1" applyAlignment="1" applyProtection="1">
      <alignment vertical="center"/>
    </xf>
    <xf numFmtId="44" fontId="34" fillId="17" borderId="0" xfId="1" applyFont="1" applyFill="1" applyAlignment="1">
      <alignment vertical="top"/>
    </xf>
    <xf numFmtId="44" fontId="26" fillId="18" borderId="0" xfId="1" applyFont="1" applyFill="1" applyAlignment="1">
      <alignment vertical="top"/>
    </xf>
    <xf numFmtId="44" fontId="26" fillId="18" borderId="0" xfId="1" applyFont="1" applyFill="1" applyAlignment="1" applyProtection="1">
      <alignment vertical="top"/>
    </xf>
    <xf numFmtId="44" fontId="13" fillId="19" borderId="0" xfId="1" applyFont="1" applyFill="1" applyAlignment="1">
      <alignment vertical="top"/>
    </xf>
    <xf numFmtId="44" fontId="32" fillId="0" borderId="0" xfId="1" applyFont="1" applyFill="1" applyAlignment="1">
      <alignment vertical="top"/>
    </xf>
    <xf numFmtId="44" fontId="24" fillId="13" borderId="0" xfId="1" applyFont="1" applyFill="1" applyBorder="1"/>
    <xf numFmtId="44" fontId="13" fillId="20" borderId="0" xfId="1" applyFont="1" applyFill="1" applyAlignment="1">
      <alignment vertical="top"/>
    </xf>
    <xf numFmtId="44" fontId="35" fillId="20" borderId="0" xfId="1" applyFont="1" applyFill="1" applyAlignment="1">
      <alignment vertical="top"/>
    </xf>
    <xf numFmtId="164" fontId="13" fillId="20" borderId="0" xfId="1" applyNumberFormat="1" applyFont="1" applyFill="1" applyAlignment="1">
      <alignment vertical="top"/>
    </xf>
    <xf numFmtId="44" fontId="13" fillId="20" borderId="0" xfId="1" applyFont="1" applyFill="1" applyAlignment="1" applyProtection="1">
      <alignment vertical="top"/>
    </xf>
    <xf numFmtId="44" fontId="36" fillId="20" borderId="0" xfId="1" applyFont="1" applyFill="1" applyAlignment="1" applyProtection="1">
      <alignment vertical="center"/>
    </xf>
    <xf numFmtId="44" fontId="36" fillId="20" borderId="0" xfId="1" applyFont="1" applyFill="1" applyAlignment="1">
      <alignment vertical="top"/>
    </xf>
    <xf numFmtId="44" fontId="13" fillId="20" borderId="0" xfId="1" applyFont="1" applyFill="1" applyAlignment="1" applyProtection="1">
      <alignment vertical="top"/>
      <protection locked="0"/>
    </xf>
    <xf numFmtId="44" fontId="13" fillId="20" borderId="0" xfId="1" applyFont="1" applyFill="1"/>
    <xf numFmtId="44" fontId="36" fillId="20" borderId="0" xfId="1" applyFont="1" applyFill="1" applyAlignment="1" applyProtection="1">
      <alignment vertical="center"/>
      <protection locked="0"/>
    </xf>
    <xf numFmtId="44" fontId="36" fillId="20" borderId="0" xfId="1" applyFont="1" applyFill="1" applyAlignment="1">
      <alignment horizontal="center" vertical="top"/>
    </xf>
    <xf numFmtId="8" fontId="13" fillId="20" borderId="0" xfId="1" applyNumberFormat="1" applyFont="1" applyFill="1" applyAlignment="1">
      <alignment vertical="top"/>
    </xf>
    <xf numFmtId="0" fontId="13" fillId="20" borderId="0" xfId="0" applyFont="1" applyFill="1"/>
    <xf numFmtId="44" fontId="1" fillId="21" borderId="0" xfId="1" applyFont="1" applyFill="1" applyAlignment="1">
      <alignment vertical="top"/>
    </xf>
    <xf numFmtId="44" fontId="5" fillId="21" borderId="0" xfId="1" applyFont="1" applyFill="1" applyAlignment="1">
      <alignment vertical="top"/>
    </xf>
    <xf numFmtId="164" fontId="1" fillId="21" borderId="0" xfId="1" applyNumberFormat="1" applyFont="1" applyFill="1" applyAlignment="1">
      <alignment vertical="top"/>
    </xf>
    <xf numFmtId="44" fontId="1" fillId="21" borderId="0" xfId="1" applyFont="1" applyFill="1"/>
    <xf numFmtId="44" fontId="22" fillId="21" borderId="0" xfId="1" applyFont="1" applyFill="1" applyAlignment="1" applyProtection="1">
      <alignment vertical="center"/>
    </xf>
    <xf numFmtId="44" fontId="1" fillId="21" borderId="0" xfId="1" applyFont="1" applyFill="1" applyAlignment="1" applyProtection="1">
      <alignment vertical="top"/>
      <protection locked="0"/>
    </xf>
    <xf numFmtId="44" fontId="29" fillId="21" borderId="0" xfId="1" applyFont="1" applyFill="1"/>
    <xf numFmtId="44" fontId="1" fillId="21" borderId="0" xfId="1" applyFont="1" applyFill="1" applyAlignment="1" applyProtection="1">
      <alignment vertical="top"/>
    </xf>
    <xf numFmtId="44" fontId="26" fillId="22" borderId="0" xfId="1" applyFont="1" applyFill="1" applyAlignment="1" applyProtection="1">
      <alignment vertical="top"/>
    </xf>
    <xf numFmtId="44" fontId="27" fillId="22" borderId="0" xfId="1" applyFont="1" applyFill="1" applyAlignment="1" applyProtection="1">
      <alignment vertical="top"/>
    </xf>
    <xf numFmtId="164" fontId="26" fillId="22" borderId="0" xfId="1" applyNumberFormat="1" applyFont="1" applyFill="1" applyAlignment="1" applyProtection="1">
      <alignment vertical="top"/>
    </xf>
    <xf numFmtId="44" fontId="26" fillId="22" borderId="0" xfId="0" applyNumberFormat="1" applyFont="1" applyFill="1"/>
    <xf numFmtId="44" fontId="26" fillId="22" borderId="0" xfId="1" applyFont="1" applyFill="1" applyAlignment="1">
      <alignment vertical="top"/>
    </xf>
    <xf numFmtId="44" fontId="28" fillId="22" borderId="0" xfId="1" applyFont="1" applyFill="1" applyAlignment="1">
      <alignment vertical="top"/>
    </xf>
    <xf numFmtId="44" fontId="26" fillId="22" borderId="0" xfId="1" applyFont="1" applyFill="1" applyAlignment="1" applyProtection="1">
      <alignment vertical="top"/>
      <protection locked="0"/>
    </xf>
    <xf numFmtId="44" fontId="26" fillId="22" borderId="0" xfId="1" applyFont="1" applyFill="1"/>
    <xf numFmtId="4" fontId="23" fillId="22" borderId="0" xfId="0" applyNumberFormat="1" applyFont="1" applyFill="1"/>
    <xf numFmtId="0" fontId="23" fillId="22" borderId="0" xfId="0" applyFont="1" applyFill="1"/>
    <xf numFmtId="164" fontId="26" fillId="22" borderId="0" xfId="1" applyNumberFormat="1" applyFont="1" applyFill="1" applyAlignment="1" applyProtection="1">
      <alignment vertical="top"/>
      <protection locked="0"/>
    </xf>
    <xf numFmtId="164" fontId="26" fillId="22" borderId="0" xfId="1" applyNumberFormat="1" applyFont="1" applyFill="1"/>
    <xf numFmtId="44" fontId="26" fillId="22" borderId="0" xfId="1" applyFont="1" applyFill="1" applyBorder="1"/>
    <xf numFmtId="4" fontId="26" fillId="22" borderId="0" xfId="0" applyNumberFormat="1" applyFont="1" applyFill="1"/>
    <xf numFmtId="44" fontId="23" fillId="22" borderId="0" xfId="1" applyFont="1" applyFill="1" applyBorder="1" applyAlignment="1">
      <alignment horizontal="right" vertical="top" wrapText="1"/>
    </xf>
    <xf numFmtId="164" fontId="26" fillId="22" borderId="0" xfId="1" applyNumberFormat="1" applyFont="1" applyFill="1" applyAlignment="1">
      <alignment vertical="top"/>
    </xf>
    <xf numFmtId="170" fontId="26" fillId="22" borderId="0" xfId="1" applyNumberFormat="1" applyFont="1" applyFill="1" applyBorder="1"/>
    <xf numFmtId="44" fontId="0" fillId="22" borderId="0" xfId="0" applyNumberFormat="1" applyFill="1"/>
    <xf numFmtId="44" fontId="1" fillId="23" borderId="0" xfId="1" applyFont="1" applyFill="1" applyAlignment="1">
      <alignment vertical="top"/>
    </xf>
    <xf numFmtId="44" fontId="5" fillId="23" borderId="0" xfId="1" applyFont="1" applyFill="1" applyAlignment="1">
      <alignment vertical="top"/>
    </xf>
    <xf numFmtId="164" fontId="5" fillId="23" borderId="0" xfId="1" applyNumberFormat="1" applyFont="1" applyFill="1" applyAlignment="1">
      <alignment vertical="top"/>
    </xf>
    <xf numFmtId="44" fontId="1" fillId="23" borderId="0" xfId="1" applyFont="1" applyFill="1" applyAlignment="1" applyProtection="1">
      <alignment vertical="top"/>
    </xf>
    <xf numFmtId="44" fontId="22" fillId="23" borderId="0" xfId="1" applyFont="1" applyFill="1" applyAlignment="1">
      <alignment vertical="top"/>
    </xf>
    <xf numFmtId="44" fontId="1" fillId="23" borderId="0" xfId="1" applyFont="1" applyFill="1"/>
    <xf numFmtId="164" fontId="1" fillId="23" borderId="0" xfId="0" applyNumberFormat="1" applyFont="1" applyFill="1"/>
    <xf numFmtId="0" fontId="1" fillId="23" borderId="0" xfId="0" applyFont="1" applyFill="1"/>
    <xf numFmtId="44" fontId="1" fillId="23" borderId="0" xfId="0" applyNumberFormat="1" applyFont="1" applyFill="1"/>
    <xf numFmtId="44" fontId="31" fillId="24" borderId="0" xfId="1" applyFont="1" applyFill="1" applyAlignment="1">
      <alignment vertical="top"/>
    </xf>
    <xf numFmtId="44" fontId="32" fillId="24" borderId="0" xfId="1" applyFont="1" applyFill="1" applyAlignment="1">
      <alignment vertical="top"/>
    </xf>
    <xf numFmtId="164" fontId="32" fillId="24" borderId="0" xfId="1" applyNumberFormat="1" applyFont="1" applyFill="1" applyAlignment="1">
      <alignment vertical="top"/>
    </xf>
    <xf numFmtId="8" fontId="33" fillId="24" borderId="0" xfId="0" applyNumberFormat="1" applyFont="1" applyFill="1"/>
    <xf numFmtId="44" fontId="34" fillId="24" borderId="0" xfId="1" applyFont="1" applyFill="1" applyAlignment="1" applyProtection="1">
      <alignment vertical="center"/>
    </xf>
    <xf numFmtId="44" fontId="31" fillId="24" borderId="0" xfId="1" applyFont="1" applyFill="1"/>
    <xf numFmtId="44" fontId="31" fillId="24" borderId="0" xfId="1" applyFont="1" applyFill="1" applyAlignment="1" applyProtection="1">
      <alignment vertical="top"/>
    </xf>
    <xf numFmtId="44" fontId="34" fillId="24" borderId="0" xfId="1" applyFont="1" applyFill="1" applyAlignment="1">
      <alignment vertical="top"/>
    </xf>
    <xf numFmtId="44" fontId="0" fillId="25" borderId="0" xfId="1" applyFont="1" applyFill="1" applyAlignment="1">
      <alignment vertical="top"/>
    </xf>
    <xf numFmtId="44" fontId="5" fillId="25" borderId="0" xfId="1" applyFont="1" applyFill="1" applyAlignment="1">
      <alignment vertical="top"/>
    </xf>
    <xf numFmtId="164" fontId="5" fillId="25" borderId="0" xfId="1" applyNumberFormat="1" applyFont="1" applyFill="1" applyAlignment="1">
      <alignment vertical="top"/>
    </xf>
    <xf numFmtId="44" fontId="0" fillId="25" borderId="0" xfId="1" applyFont="1" applyFill="1"/>
    <xf numFmtId="44" fontId="0" fillId="25" borderId="0" xfId="1" applyFont="1" applyFill="1" applyAlignment="1" applyProtection="1">
      <alignment vertical="top"/>
    </xf>
    <xf numFmtId="44" fontId="15" fillId="25" borderId="0" xfId="1" applyFont="1" applyFill="1" applyAlignment="1" applyProtection="1">
      <alignment vertical="center"/>
    </xf>
    <xf numFmtId="44" fontId="15" fillId="25" borderId="0" xfId="1" applyFont="1" applyFill="1" applyAlignment="1">
      <alignment vertical="top"/>
    </xf>
    <xf numFmtId="44" fontId="26" fillId="22" borderId="0" xfId="1" applyFont="1" applyFill="1" applyBorder="1" applyAlignment="1">
      <alignment vertical="top"/>
    </xf>
    <xf numFmtId="44" fontId="7" fillId="6" borderId="0" xfId="0" applyNumberFormat="1" applyFont="1" applyFill="1" applyAlignment="1">
      <alignment horizontal="center"/>
    </xf>
    <xf numFmtId="44" fontId="11" fillId="6" borderId="0" xfId="0" applyNumberFormat="1" applyFont="1" applyFill="1" applyAlignment="1">
      <alignment horizontal="left"/>
    </xf>
    <xf numFmtId="44" fontId="11" fillId="6" borderId="8" xfId="0" applyNumberFormat="1" applyFont="1" applyFill="1" applyBorder="1" applyAlignment="1">
      <alignment horizontal="left"/>
    </xf>
    <xf numFmtId="44" fontId="12" fillId="6" borderId="0" xfId="0" applyNumberFormat="1" applyFont="1" applyFill="1" applyAlignment="1">
      <alignment horizontal="left"/>
    </xf>
    <xf numFmtId="44" fontId="12" fillId="6" borderId="8" xfId="0" applyNumberFormat="1" applyFont="1" applyFill="1" applyBorder="1" applyAlignment="1">
      <alignment horizontal="left"/>
    </xf>
    <xf numFmtId="44" fontId="14" fillId="6" borderId="8" xfId="0" applyNumberFormat="1" applyFont="1" applyFill="1" applyBorder="1" applyAlignment="1">
      <alignment horizontal="center" vertical="center"/>
    </xf>
    <xf numFmtId="44" fontId="12" fillId="6" borderId="0" xfId="0" applyNumberFormat="1" applyFont="1" applyFill="1" applyBorder="1" applyAlignment="1">
      <alignment horizontal="center"/>
    </xf>
    <xf numFmtId="44" fontId="7" fillId="6" borderId="4" xfId="0" applyNumberFormat="1" applyFont="1" applyFill="1" applyBorder="1" applyAlignment="1">
      <alignment horizontal="center"/>
    </xf>
    <xf numFmtId="44" fontId="7" fillId="6" borderId="5" xfId="0" applyNumberFormat="1" applyFont="1" applyFill="1" applyBorder="1" applyAlignment="1">
      <alignment horizontal="center"/>
    </xf>
    <xf numFmtId="44" fontId="7" fillId="6" borderId="6" xfId="0" applyNumberFormat="1" applyFont="1" applyFill="1" applyBorder="1" applyAlignment="1">
      <alignment horizontal="center"/>
    </xf>
    <xf numFmtId="44" fontId="12" fillId="6" borderId="8" xfId="0" applyNumberFormat="1" applyFont="1" applyFill="1" applyBorder="1" applyAlignment="1">
      <alignment horizontal="center"/>
    </xf>
    <xf numFmtId="44" fontId="14" fillId="6" borderId="0" xfId="0" applyNumberFormat="1" applyFont="1" applyFill="1" applyAlignment="1">
      <alignment horizontal="center" vertical="center"/>
    </xf>
  </cellXfs>
  <cellStyles count="2">
    <cellStyle name="Currency" xfId="1" builtinId="4"/>
    <cellStyle name="Normal" xfId="0" builtinId="0"/>
  </cellStyles>
  <dxfs count="303">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0"/>
      </font>
      <fill>
        <patternFill>
          <bgColor rgb="FFFF0000"/>
        </patternFill>
      </fill>
    </dxf>
    <dxf>
      <font>
        <color theme="0"/>
      </font>
      <fill>
        <patternFill>
          <bgColor rgb="FF00B050"/>
        </patternFill>
      </fill>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top" textRotation="0" wrapText="0" indent="0" justifyLastLine="0" shrinkToFit="0" readingOrder="0"/>
    </dxf>
    <dxf>
      <alignment horizontal="center" vertical="top" textRotation="0" wrapText="1" indent="0" justifyLastLine="0" shrinkToFit="0" readingOrder="0"/>
    </dxf>
    <dxf>
      <numFmt numFmtId="171" formatCode="mm/dd/yy"/>
      <alignment horizontal="center" vertical="top" textRotation="0" wrapText="0" indent="0" justifyLastLine="0" shrinkToFit="0" readingOrder="0"/>
    </dxf>
    <dxf>
      <numFmt numFmtId="171" formatCode="mm/dd/yy"/>
      <alignment horizontal="center" vertical="top" textRotation="0" wrapText="0" indent="0" justifyLastLine="0" shrinkToFit="0" readingOrder="0"/>
    </dxf>
    <dxf>
      <numFmt numFmtId="171" formatCode="mm/dd/yy"/>
      <alignment horizontal="center" vertical="top" textRotation="0" wrapText="0" indent="0" justifyLastLine="0" shrinkToFit="0" readingOrder="0"/>
    </dxf>
    <dxf>
      <numFmt numFmtId="171" formatCode="mm/dd/yy"/>
      <alignment horizontal="center"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top" textRotation="0" wrapText="0" indent="0" justifyLastLine="0" shrinkToFit="0" readingOrder="0"/>
    </dxf>
    <dxf>
      <alignment horizontal="center" vertical="top" textRotation="0" wrapText="1" indent="0" justifyLastLine="0" shrinkToFit="0" readingOrder="0"/>
    </dxf>
    <dxf>
      <numFmt numFmtId="171" formatCode="mm/dd/yy"/>
      <alignment horizontal="center" vertical="top" textRotation="0" wrapText="0" indent="0" justifyLastLine="0" shrinkToFit="0" readingOrder="0"/>
    </dxf>
    <dxf>
      <numFmt numFmtId="171" formatCode="mm/dd/yy"/>
      <alignment horizontal="center" vertical="top" textRotation="0" wrapText="0" indent="0" justifyLastLine="0" shrinkToFit="0" readingOrder="0"/>
    </dxf>
    <dxf>
      <numFmt numFmtId="171" formatCode="mm/dd/yy"/>
      <alignment horizontal="center" vertical="top" textRotation="0" wrapText="0" indent="0" justifyLastLine="0" shrinkToFit="0" readingOrder="0"/>
    </dxf>
    <dxf>
      <numFmt numFmtId="171" formatCode="mm/dd/yy"/>
      <alignment horizontal="center" vertical="top" textRotation="0" wrapText="0" indent="0" justifyLastLine="0" shrinkToFit="0" readingOrder="0"/>
    </dxf>
    <dxf>
      <numFmt numFmtId="34" formatCode="_(&quot;$&quot;* #,##0.00_);_(&quot;$&quot;* \(#,##0.00\);_(&quot;$&quot;* &quot;-&quot;??_);_(@_)"/>
    </dxf>
    <dxf>
      <numFmt numFmtId="34" formatCode="_(&quot;$&quot;* #,##0.00_);_(&quot;$&quot;* \(#,##0.00\);_(&quot;$&quot;* &quot;-&quot;??_);_(@_)"/>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fill>
        <patternFill patternType="none">
          <fgColor indexed="64"/>
          <bgColor auto="1"/>
        </patternFill>
      </fill>
    </dxf>
    <dxf>
      <font>
        <b val="0"/>
        <i val="0"/>
        <strike val="0"/>
        <condense val="0"/>
        <extend val="0"/>
        <outline val="0"/>
        <shadow val="0"/>
        <u val="none"/>
        <vertAlign val="baseline"/>
        <sz val="10"/>
        <color rgb="FF222222"/>
        <name val="Calibri"/>
        <family val="2"/>
        <scheme val="minor"/>
      </font>
    </dxf>
    <dxf>
      <font>
        <b val="0"/>
        <i val="0"/>
        <strike val="0"/>
        <condense val="0"/>
        <extend val="0"/>
        <outline val="0"/>
        <shadow val="0"/>
        <u val="none"/>
        <vertAlign val="baseline"/>
        <sz val="10"/>
        <color theme="0"/>
        <name val="Calibri"/>
        <family val="2"/>
        <scheme val="minor"/>
      </font>
      <fill>
        <patternFill patternType="solid">
          <fgColor indexed="64"/>
          <bgColor theme="4"/>
        </patternFill>
      </fill>
    </dxf>
    <dxf>
      <font>
        <b val="0"/>
        <i val="0"/>
        <strike val="0"/>
        <condense val="0"/>
        <extend val="0"/>
        <outline val="0"/>
        <shadow val="0"/>
        <u val="none"/>
        <vertAlign val="baseline"/>
        <sz val="10"/>
        <color theme="1"/>
        <name val="Calibri"/>
        <family val="2"/>
        <scheme val="minor"/>
      </font>
    </dxf>
  </dxfs>
  <tableStyles count="0" defaultTableStyle="TableStyleMedium2" defaultPivotStyle="PivotStyleLight16"/>
  <colors>
    <mruColors>
      <color rgb="FFFFB3B3"/>
      <color rgb="FFFF9900"/>
      <color rgb="FFDAC2EC"/>
      <color rgb="FFFAFF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0</xdr:col>
      <xdr:colOff>0</xdr:colOff>
      <xdr:row>86</xdr:row>
      <xdr:rowOff>0</xdr:rowOff>
    </xdr:from>
    <xdr:ext cx="3162300" cy="0"/>
    <xdr:pic>
      <xdr:nvPicPr>
        <xdr:cNvPr id="2" name="Picture 1" descr="page3image534544832">
          <a:extLst>
            <a:ext uri="{FF2B5EF4-FFF2-40B4-BE49-F238E27FC236}">
              <a16:creationId xmlns:a16="http://schemas.microsoft.com/office/drawing/2014/main" id="{BD375D8D-6A3E-F844-8A86-1AA77A0679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6464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393700</xdr:colOff>
      <xdr:row>95</xdr:row>
      <xdr:rowOff>38100</xdr:rowOff>
    </xdr:from>
    <xdr:ext cx="3162300" cy="0"/>
    <xdr:pic>
      <xdr:nvPicPr>
        <xdr:cNvPr id="3" name="Picture 2" descr="page3image534545104">
          <a:extLst>
            <a:ext uri="{FF2B5EF4-FFF2-40B4-BE49-F238E27FC236}">
              <a16:creationId xmlns:a16="http://schemas.microsoft.com/office/drawing/2014/main" id="{B06757B2-6744-A249-B03C-4606D4DFDA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3700" y="201930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3175000</xdr:colOff>
      <xdr:row>87</xdr:row>
      <xdr:rowOff>0</xdr:rowOff>
    </xdr:from>
    <xdr:ext cx="901700" cy="0"/>
    <xdr:pic>
      <xdr:nvPicPr>
        <xdr:cNvPr id="4" name="Picture 3" descr="page3image534545376">
          <a:extLst>
            <a:ext uri="{FF2B5EF4-FFF2-40B4-BE49-F238E27FC236}">
              <a16:creationId xmlns:a16="http://schemas.microsoft.com/office/drawing/2014/main" id="{EA8D18C1-C7B5-244A-84B8-AA9CEE3CF3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255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215900</xdr:colOff>
      <xdr:row>87</xdr:row>
      <xdr:rowOff>0</xdr:rowOff>
    </xdr:from>
    <xdr:ext cx="901700" cy="0"/>
    <xdr:pic>
      <xdr:nvPicPr>
        <xdr:cNvPr id="5" name="Picture 4" descr="page3image534545648">
          <a:extLst>
            <a:ext uri="{FF2B5EF4-FFF2-40B4-BE49-F238E27FC236}">
              <a16:creationId xmlns:a16="http://schemas.microsoft.com/office/drawing/2014/main" id="{5CBDEB3B-9B10-1D47-8709-1E051CD26EA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14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304800</xdr:colOff>
      <xdr:row>87</xdr:row>
      <xdr:rowOff>0</xdr:rowOff>
    </xdr:from>
    <xdr:ext cx="3162300" cy="0"/>
    <xdr:pic>
      <xdr:nvPicPr>
        <xdr:cNvPr id="6" name="Picture 5" descr="page3image534545920">
          <a:extLst>
            <a:ext uri="{FF2B5EF4-FFF2-40B4-BE49-F238E27FC236}">
              <a16:creationId xmlns:a16="http://schemas.microsoft.com/office/drawing/2014/main" id="{DC600ED9-5C0A-7142-B25F-F077BC49C5C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558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177800</xdr:colOff>
      <xdr:row>87</xdr:row>
      <xdr:rowOff>0</xdr:rowOff>
    </xdr:from>
    <xdr:ext cx="3162300" cy="0"/>
    <xdr:pic>
      <xdr:nvPicPr>
        <xdr:cNvPr id="7" name="Picture 6" descr="page3image534546448">
          <a:extLst>
            <a:ext uri="{FF2B5EF4-FFF2-40B4-BE49-F238E27FC236}">
              <a16:creationId xmlns:a16="http://schemas.microsoft.com/office/drawing/2014/main" id="{09D419AE-8463-DB4E-BFAB-188A1D8824A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83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14</xdr:col>
      <xdr:colOff>50800</xdr:colOff>
      <xdr:row>87</xdr:row>
      <xdr:rowOff>0</xdr:rowOff>
    </xdr:from>
    <xdr:ext cx="901700" cy="0"/>
    <xdr:pic>
      <xdr:nvPicPr>
        <xdr:cNvPr id="8" name="Picture 7" descr="page3image534546656">
          <a:extLst>
            <a:ext uri="{FF2B5EF4-FFF2-40B4-BE49-F238E27FC236}">
              <a16:creationId xmlns:a16="http://schemas.microsoft.com/office/drawing/2014/main" id="{69B922EF-6E89-2C45-B832-75E5A74422A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4333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15</xdr:col>
      <xdr:colOff>139700</xdr:colOff>
      <xdr:row>87</xdr:row>
      <xdr:rowOff>0</xdr:rowOff>
    </xdr:from>
    <xdr:ext cx="901700" cy="0"/>
    <xdr:pic>
      <xdr:nvPicPr>
        <xdr:cNvPr id="9" name="Picture 8" descr="page3image534546864">
          <a:extLst>
            <a:ext uri="{FF2B5EF4-FFF2-40B4-BE49-F238E27FC236}">
              <a16:creationId xmlns:a16="http://schemas.microsoft.com/office/drawing/2014/main" id="{68CFF0E1-E342-544F-A50C-E90DF08E6B8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477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16</xdr:col>
      <xdr:colOff>228600</xdr:colOff>
      <xdr:row>87</xdr:row>
      <xdr:rowOff>0</xdr:rowOff>
    </xdr:from>
    <xdr:ext cx="3162300" cy="0"/>
    <xdr:pic>
      <xdr:nvPicPr>
        <xdr:cNvPr id="10" name="Picture 9" descr="page3image534547136">
          <a:extLst>
            <a:ext uri="{FF2B5EF4-FFF2-40B4-BE49-F238E27FC236}">
              <a16:creationId xmlns:a16="http://schemas.microsoft.com/office/drawing/2014/main" id="{24DBC7C0-17F8-184C-9D4B-9FC8FE00141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2621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101600</xdr:colOff>
      <xdr:row>87</xdr:row>
      <xdr:rowOff>0</xdr:rowOff>
    </xdr:from>
    <xdr:ext cx="3162300" cy="0"/>
    <xdr:pic>
      <xdr:nvPicPr>
        <xdr:cNvPr id="11" name="Picture 10" descr="page3image534547408">
          <a:extLst>
            <a:ext uri="{FF2B5EF4-FFF2-40B4-BE49-F238E27FC236}">
              <a16:creationId xmlns:a16="http://schemas.microsoft.com/office/drawing/2014/main" id="{EB507B4B-DA11-014F-A417-F953A153EEE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371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23</xdr:col>
      <xdr:colOff>800100</xdr:colOff>
      <xdr:row>87</xdr:row>
      <xdr:rowOff>0</xdr:rowOff>
    </xdr:from>
    <xdr:ext cx="901700" cy="0"/>
    <xdr:pic>
      <xdr:nvPicPr>
        <xdr:cNvPr id="12" name="Picture 11" descr="page3image534547680">
          <a:extLst>
            <a:ext uri="{FF2B5EF4-FFF2-40B4-BE49-F238E27FC236}">
              <a16:creationId xmlns:a16="http://schemas.microsoft.com/office/drawing/2014/main" id="{85053A2D-F28B-1A47-9AC4-F132C28DAFC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6121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25</xdr:col>
      <xdr:colOff>63500</xdr:colOff>
      <xdr:row>87</xdr:row>
      <xdr:rowOff>0</xdr:rowOff>
    </xdr:from>
    <xdr:ext cx="901700" cy="0"/>
    <xdr:pic>
      <xdr:nvPicPr>
        <xdr:cNvPr id="13" name="Picture 12" descr="page3image534547952">
          <a:extLst>
            <a:ext uri="{FF2B5EF4-FFF2-40B4-BE49-F238E27FC236}">
              <a16:creationId xmlns:a16="http://schemas.microsoft.com/office/drawing/2014/main" id="{AC59A585-528A-A943-A5F3-72122ECD0B3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15265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26</xdr:col>
      <xdr:colOff>152400</xdr:colOff>
      <xdr:row>87</xdr:row>
      <xdr:rowOff>0</xdr:rowOff>
    </xdr:from>
    <xdr:ext cx="3162300" cy="0"/>
    <xdr:pic>
      <xdr:nvPicPr>
        <xdr:cNvPr id="14" name="Picture 13" descr="page3image534548496">
          <a:extLst>
            <a:ext uri="{FF2B5EF4-FFF2-40B4-BE49-F238E27FC236}">
              <a16:creationId xmlns:a16="http://schemas.microsoft.com/office/drawing/2014/main" id="{4457D97D-3B27-E94C-B7CC-97FE825A7E9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4409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30</xdr:col>
      <xdr:colOff>25400</xdr:colOff>
      <xdr:row>87</xdr:row>
      <xdr:rowOff>0</xdr:rowOff>
    </xdr:from>
    <xdr:ext cx="3162300" cy="0"/>
    <xdr:pic>
      <xdr:nvPicPr>
        <xdr:cNvPr id="15" name="Picture 14" descr="page3image534548768">
          <a:extLst>
            <a:ext uri="{FF2B5EF4-FFF2-40B4-BE49-F238E27FC236}">
              <a16:creationId xmlns:a16="http://schemas.microsoft.com/office/drawing/2014/main" id="{7F5AD36A-476D-A04C-8BA5-2EBDADE5DA6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6159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33</xdr:col>
      <xdr:colOff>723900</xdr:colOff>
      <xdr:row>87</xdr:row>
      <xdr:rowOff>0</xdr:rowOff>
    </xdr:from>
    <xdr:ext cx="901700" cy="0"/>
    <xdr:pic>
      <xdr:nvPicPr>
        <xdr:cNvPr id="16" name="Picture 15" descr="page3image534549040">
          <a:extLst>
            <a:ext uri="{FF2B5EF4-FFF2-40B4-BE49-F238E27FC236}">
              <a16:creationId xmlns:a16="http://schemas.microsoft.com/office/drawing/2014/main" id="{9581B5C9-E6F6-8E4A-9B16-2940F8A3B66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7909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34</xdr:col>
      <xdr:colOff>812800</xdr:colOff>
      <xdr:row>87</xdr:row>
      <xdr:rowOff>0</xdr:rowOff>
    </xdr:from>
    <xdr:ext cx="901700" cy="0"/>
    <xdr:pic>
      <xdr:nvPicPr>
        <xdr:cNvPr id="17" name="Picture 16" descr="page3image534549312">
          <a:extLst>
            <a:ext uri="{FF2B5EF4-FFF2-40B4-BE49-F238E27FC236}">
              <a16:creationId xmlns:a16="http://schemas.microsoft.com/office/drawing/2014/main" id="{28424DFB-2AE0-EC4D-9F68-A754C55B248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97053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36</xdr:col>
      <xdr:colOff>76200</xdr:colOff>
      <xdr:row>87</xdr:row>
      <xdr:rowOff>0</xdr:rowOff>
    </xdr:from>
    <xdr:ext cx="3162300" cy="0"/>
    <xdr:pic>
      <xdr:nvPicPr>
        <xdr:cNvPr id="18" name="Picture 17" descr="page3image534549584">
          <a:extLst>
            <a:ext uri="{FF2B5EF4-FFF2-40B4-BE49-F238E27FC236}">
              <a16:creationId xmlns:a16="http://schemas.microsoft.com/office/drawing/2014/main" id="{4E859B07-8AF0-8148-ADE5-A6C441F245B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06197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39</xdr:col>
      <xdr:colOff>774700</xdr:colOff>
      <xdr:row>87</xdr:row>
      <xdr:rowOff>0</xdr:rowOff>
    </xdr:from>
    <xdr:ext cx="3162300" cy="0"/>
    <xdr:pic>
      <xdr:nvPicPr>
        <xdr:cNvPr id="19" name="Picture 18" descr="page3image534549856">
          <a:extLst>
            <a:ext uri="{FF2B5EF4-FFF2-40B4-BE49-F238E27FC236}">
              <a16:creationId xmlns:a16="http://schemas.microsoft.com/office/drawing/2014/main" id="{94C5B555-F1E8-9D4B-9B91-D8A53E23E6B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7947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43</xdr:col>
      <xdr:colOff>647700</xdr:colOff>
      <xdr:row>87</xdr:row>
      <xdr:rowOff>0</xdr:rowOff>
    </xdr:from>
    <xdr:ext cx="901700" cy="0"/>
    <xdr:pic>
      <xdr:nvPicPr>
        <xdr:cNvPr id="20" name="Picture 19" descr="page3image534550128">
          <a:extLst>
            <a:ext uri="{FF2B5EF4-FFF2-40B4-BE49-F238E27FC236}">
              <a16:creationId xmlns:a16="http://schemas.microsoft.com/office/drawing/2014/main" id="{F105A91F-BAC5-EE45-BE0B-F2FDA457D7B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9697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44</xdr:col>
      <xdr:colOff>736600</xdr:colOff>
      <xdr:row>87</xdr:row>
      <xdr:rowOff>0</xdr:rowOff>
    </xdr:from>
    <xdr:ext cx="901700" cy="0"/>
    <xdr:pic>
      <xdr:nvPicPr>
        <xdr:cNvPr id="21" name="Picture 20" descr="page3image534550400">
          <a:extLst>
            <a:ext uri="{FF2B5EF4-FFF2-40B4-BE49-F238E27FC236}">
              <a16:creationId xmlns:a16="http://schemas.microsoft.com/office/drawing/2014/main" id="{1DF2F418-151B-604B-A2BF-5BB57AA13B1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8841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46</xdr:col>
      <xdr:colOff>0</xdr:colOff>
      <xdr:row>87</xdr:row>
      <xdr:rowOff>0</xdr:rowOff>
    </xdr:from>
    <xdr:ext cx="12700" cy="12700"/>
    <xdr:pic>
      <xdr:nvPicPr>
        <xdr:cNvPr id="22" name="Picture 21" descr="page3image534551120">
          <a:extLst>
            <a:ext uri="{FF2B5EF4-FFF2-40B4-BE49-F238E27FC236}">
              <a16:creationId xmlns:a16="http://schemas.microsoft.com/office/drawing/2014/main" id="{BF330DF1-A308-A64A-AEBF-DC5A4072CF8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798500" y="15849600"/>
          <a:ext cx="12700" cy="127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46</xdr:col>
      <xdr:colOff>25400</xdr:colOff>
      <xdr:row>87</xdr:row>
      <xdr:rowOff>0</xdr:rowOff>
    </xdr:from>
    <xdr:ext cx="3162300" cy="0"/>
    <xdr:pic>
      <xdr:nvPicPr>
        <xdr:cNvPr id="23" name="Picture 22" descr="page3image534551344">
          <a:extLst>
            <a:ext uri="{FF2B5EF4-FFF2-40B4-BE49-F238E27FC236}">
              <a16:creationId xmlns:a16="http://schemas.microsoft.com/office/drawing/2014/main" id="{C9F7DB60-7AB5-644F-AA82-C2F92BA3F2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8239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49</xdr:col>
      <xdr:colOff>723900</xdr:colOff>
      <xdr:row>87</xdr:row>
      <xdr:rowOff>0</xdr:rowOff>
    </xdr:from>
    <xdr:ext cx="3162300" cy="0"/>
    <xdr:pic>
      <xdr:nvPicPr>
        <xdr:cNvPr id="24" name="Picture 23" descr="page3image534551552">
          <a:extLst>
            <a:ext uri="{FF2B5EF4-FFF2-40B4-BE49-F238E27FC236}">
              <a16:creationId xmlns:a16="http://schemas.microsoft.com/office/drawing/2014/main" id="{08F16C9D-F381-A442-97C2-5489DE0BDB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989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53</xdr:col>
      <xdr:colOff>596900</xdr:colOff>
      <xdr:row>87</xdr:row>
      <xdr:rowOff>0</xdr:rowOff>
    </xdr:from>
    <xdr:ext cx="901700" cy="0"/>
    <xdr:pic>
      <xdr:nvPicPr>
        <xdr:cNvPr id="25" name="Picture 24" descr="page3image534551760">
          <a:extLst>
            <a:ext uri="{FF2B5EF4-FFF2-40B4-BE49-F238E27FC236}">
              <a16:creationId xmlns:a16="http://schemas.microsoft.com/office/drawing/2014/main" id="{3D197B69-4C49-8542-BFC7-E155B856258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1739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54</xdr:col>
      <xdr:colOff>685800</xdr:colOff>
      <xdr:row>87</xdr:row>
      <xdr:rowOff>0</xdr:rowOff>
    </xdr:from>
    <xdr:ext cx="901700" cy="0"/>
    <xdr:pic>
      <xdr:nvPicPr>
        <xdr:cNvPr id="26" name="Picture 25" descr="page3image534552032">
          <a:extLst>
            <a:ext uri="{FF2B5EF4-FFF2-40B4-BE49-F238E27FC236}">
              <a16:creationId xmlns:a16="http://schemas.microsoft.com/office/drawing/2014/main" id="{2E1BAC14-6987-5846-97A3-ED2B2D1497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0883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55</xdr:col>
      <xdr:colOff>774700</xdr:colOff>
      <xdr:row>87</xdr:row>
      <xdr:rowOff>0</xdr:rowOff>
    </xdr:from>
    <xdr:ext cx="3162300" cy="0"/>
    <xdr:pic>
      <xdr:nvPicPr>
        <xdr:cNvPr id="27" name="Picture 26" descr="page3image534552304">
          <a:extLst>
            <a:ext uri="{FF2B5EF4-FFF2-40B4-BE49-F238E27FC236}">
              <a16:creationId xmlns:a16="http://schemas.microsoft.com/office/drawing/2014/main" id="{791DAA02-8AD7-7948-9125-EF304894FA8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0027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59</xdr:col>
      <xdr:colOff>647700</xdr:colOff>
      <xdr:row>87</xdr:row>
      <xdr:rowOff>0</xdr:rowOff>
    </xdr:from>
    <xdr:ext cx="3162300" cy="0"/>
    <xdr:pic>
      <xdr:nvPicPr>
        <xdr:cNvPr id="28" name="Picture 27" descr="page3image534552576">
          <a:extLst>
            <a:ext uri="{FF2B5EF4-FFF2-40B4-BE49-F238E27FC236}">
              <a16:creationId xmlns:a16="http://schemas.microsoft.com/office/drawing/2014/main" id="{96FFFBD9-EA38-0245-9FC5-D0AB79144D7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1777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63</xdr:col>
      <xdr:colOff>520700</xdr:colOff>
      <xdr:row>87</xdr:row>
      <xdr:rowOff>0</xdr:rowOff>
    </xdr:from>
    <xdr:ext cx="901700" cy="0"/>
    <xdr:pic>
      <xdr:nvPicPr>
        <xdr:cNvPr id="29" name="Picture 28" descr="page3image534552848">
          <a:extLst>
            <a:ext uri="{FF2B5EF4-FFF2-40B4-BE49-F238E27FC236}">
              <a16:creationId xmlns:a16="http://schemas.microsoft.com/office/drawing/2014/main" id="{D2135ACB-52B2-C64A-9D2F-6C3DE939135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33527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64</xdr:col>
      <xdr:colOff>609600</xdr:colOff>
      <xdr:row>87</xdr:row>
      <xdr:rowOff>0</xdr:rowOff>
    </xdr:from>
    <xdr:ext cx="901700" cy="0"/>
    <xdr:pic>
      <xdr:nvPicPr>
        <xdr:cNvPr id="30" name="Picture 29" descr="page3image534553120">
          <a:extLst>
            <a:ext uri="{FF2B5EF4-FFF2-40B4-BE49-F238E27FC236}">
              <a16:creationId xmlns:a16="http://schemas.microsoft.com/office/drawing/2014/main" id="{A3945AD7-5C50-DA4C-981E-3B28C74A761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42671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65</xdr:col>
      <xdr:colOff>698500</xdr:colOff>
      <xdr:row>87</xdr:row>
      <xdr:rowOff>0</xdr:rowOff>
    </xdr:from>
    <xdr:ext cx="3162300" cy="0"/>
    <xdr:pic>
      <xdr:nvPicPr>
        <xdr:cNvPr id="31" name="Picture 30" descr="page3image534553392">
          <a:extLst>
            <a:ext uri="{FF2B5EF4-FFF2-40B4-BE49-F238E27FC236}">
              <a16:creationId xmlns:a16="http://schemas.microsoft.com/office/drawing/2014/main" id="{E921E9EA-820D-CF44-B266-EB544ACF2F7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51815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69</xdr:col>
      <xdr:colOff>571500</xdr:colOff>
      <xdr:row>87</xdr:row>
      <xdr:rowOff>0</xdr:rowOff>
    </xdr:from>
    <xdr:ext cx="3162300" cy="0"/>
    <xdr:pic>
      <xdr:nvPicPr>
        <xdr:cNvPr id="32" name="Picture 31" descr="page3image534553664">
          <a:extLst>
            <a:ext uri="{FF2B5EF4-FFF2-40B4-BE49-F238E27FC236}">
              <a16:creationId xmlns:a16="http://schemas.microsoft.com/office/drawing/2014/main" id="{EEDD2868-1EF3-B749-B2ED-B5B718349BA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3565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73</xdr:col>
      <xdr:colOff>444500</xdr:colOff>
      <xdr:row>87</xdr:row>
      <xdr:rowOff>0</xdr:rowOff>
    </xdr:from>
    <xdr:ext cx="901700" cy="0"/>
    <xdr:pic>
      <xdr:nvPicPr>
        <xdr:cNvPr id="33" name="Picture 32" descr="page3image534553936">
          <a:extLst>
            <a:ext uri="{FF2B5EF4-FFF2-40B4-BE49-F238E27FC236}">
              <a16:creationId xmlns:a16="http://schemas.microsoft.com/office/drawing/2014/main" id="{9E9CC751-F377-824D-BECA-9A6853990B2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15315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74</xdr:col>
      <xdr:colOff>533400</xdr:colOff>
      <xdr:row>87</xdr:row>
      <xdr:rowOff>0</xdr:rowOff>
    </xdr:from>
    <xdr:ext cx="901700" cy="0"/>
    <xdr:pic>
      <xdr:nvPicPr>
        <xdr:cNvPr id="34" name="Picture 33" descr="page3image534554208">
          <a:extLst>
            <a:ext uri="{FF2B5EF4-FFF2-40B4-BE49-F238E27FC236}">
              <a16:creationId xmlns:a16="http://schemas.microsoft.com/office/drawing/2014/main" id="{C9A7B68F-051C-1148-BFFB-89E0DA9BAFC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24459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75</xdr:col>
      <xdr:colOff>622300</xdr:colOff>
      <xdr:row>87</xdr:row>
      <xdr:rowOff>0</xdr:rowOff>
    </xdr:from>
    <xdr:ext cx="3162300" cy="0"/>
    <xdr:pic>
      <xdr:nvPicPr>
        <xdr:cNvPr id="35" name="Picture 34" descr="page3image534554480">
          <a:extLst>
            <a:ext uri="{FF2B5EF4-FFF2-40B4-BE49-F238E27FC236}">
              <a16:creationId xmlns:a16="http://schemas.microsoft.com/office/drawing/2014/main" id="{9AA66649-5872-184E-B1A6-59CE1050376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3603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79</xdr:col>
      <xdr:colOff>495300</xdr:colOff>
      <xdr:row>87</xdr:row>
      <xdr:rowOff>0</xdr:rowOff>
    </xdr:from>
    <xdr:ext cx="3162300" cy="0"/>
    <xdr:pic>
      <xdr:nvPicPr>
        <xdr:cNvPr id="36" name="Picture 35" descr="page3image534554752">
          <a:extLst>
            <a:ext uri="{FF2B5EF4-FFF2-40B4-BE49-F238E27FC236}">
              <a16:creationId xmlns:a16="http://schemas.microsoft.com/office/drawing/2014/main" id="{DF94F9EC-7B6A-BA43-A6EE-4DD19E6ED6A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5353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83</xdr:col>
      <xdr:colOff>368300</xdr:colOff>
      <xdr:row>87</xdr:row>
      <xdr:rowOff>0</xdr:rowOff>
    </xdr:from>
    <xdr:ext cx="901700" cy="0"/>
    <xdr:pic>
      <xdr:nvPicPr>
        <xdr:cNvPr id="37" name="Picture 36" descr="page3image534555024">
          <a:extLst>
            <a:ext uri="{FF2B5EF4-FFF2-40B4-BE49-F238E27FC236}">
              <a16:creationId xmlns:a16="http://schemas.microsoft.com/office/drawing/2014/main" id="{6AF327E7-43AA-894A-93D0-5B9C77191FD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7103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84</xdr:col>
      <xdr:colOff>457200</xdr:colOff>
      <xdr:row>87</xdr:row>
      <xdr:rowOff>0</xdr:rowOff>
    </xdr:from>
    <xdr:ext cx="901700" cy="0"/>
    <xdr:pic>
      <xdr:nvPicPr>
        <xdr:cNvPr id="38" name="Picture 37" descr="page3image534555296">
          <a:extLst>
            <a:ext uri="{FF2B5EF4-FFF2-40B4-BE49-F238E27FC236}">
              <a16:creationId xmlns:a16="http://schemas.microsoft.com/office/drawing/2014/main" id="{C5FBA2A8-C572-9B42-9FFD-F4345589C6F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6247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85</xdr:col>
      <xdr:colOff>546100</xdr:colOff>
      <xdr:row>87</xdr:row>
      <xdr:rowOff>0</xdr:rowOff>
    </xdr:from>
    <xdr:ext cx="3162300" cy="0"/>
    <xdr:pic>
      <xdr:nvPicPr>
        <xdr:cNvPr id="39" name="Picture 38" descr="page3image534555840">
          <a:extLst>
            <a:ext uri="{FF2B5EF4-FFF2-40B4-BE49-F238E27FC236}">
              <a16:creationId xmlns:a16="http://schemas.microsoft.com/office/drawing/2014/main" id="{B7AA2DCB-8CA7-F844-BDDA-F34219F63B1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5391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89</xdr:col>
      <xdr:colOff>419100</xdr:colOff>
      <xdr:row>87</xdr:row>
      <xdr:rowOff>0</xdr:rowOff>
    </xdr:from>
    <xdr:ext cx="3162300" cy="0"/>
    <xdr:pic>
      <xdr:nvPicPr>
        <xdr:cNvPr id="40" name="Picture 39" descr="page3image534556112">
          <a:extLst>
            <a:ext uri="{FF2B5EF4-FFF2-40B4-BE49-F238E27FC236}">
              <a16:creationId xmlns:a16="http://schemas.microsoft.com/office/drawing/2014/main" id="{3267781F-C210-C249-AF26-435A019C846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714100" y="15849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93</xdr:col>
      <xdr:colOff>292100</xdr:colOff>
      <xdr:row>87</xdr:row>
      <xdr:rowOff>0</xdr:rowOff>
    </xdr:from>
    <xdr:ext cx="901700" cy="0"/>
    <xdr:pic>
      <xdr:nvPicPr>
        <xdr:cNvPr id="41" name="Picture 40" descr="page3image534556384">
          <a:extLst>
            <a:ext uri="{FF2B5EF4-FFF2-40B4-BE49-F238E27FC236}">
              <a16:creationId xmlns:a16="http://schemas.microsoft.com/office/drawing/2014/main" id="{89F9104A-21AC-3D4F-B441-CEACAF2091C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8891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94</xdr:col>
      <xdr:colOff>381000</xdr:colOff>
      <xdr:row>87</xdr:row>
      <xdr:rowOff>0</xdr:rowOff>
    </xdr:from>
    <xdr:ext cx="901700" cy="0"/>
    <xdr:pic>
      <xdr:nvPicPr>
        <xdr:cNvPr id="42" name="Picture 41" descr="page3image534556656">
          <a:extLst>
            <a:ext uri="{FF2B5EF4-FFF2-40B4-BE49-F238E27FC236}">
              <a16:creationId xmlns:a16="http://schemas.microsoft.com/office/drawing/2014/main" id="{33C55E1D-D423-C548-82B2-0E4E94A49E4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8035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93</xdr:row>
      <xdr:rowOff>0</xdr:rowOff>
    </xdr:from>
    <xdr:ext cx="3162300" cy="0"/>
    <xdr:pic>
      <xdr:nvPicPr>
        <xdr:cNvPr id="43" name="Picture 42" descr="page3image534559968">
          <a:extLst>
            <a:ext uri="{FF2B5EF4-FFF2-40B4-BE49-F238E27FC236}">
              <a16:creationId xmlns:a16="http://schemas.microsoft.com/office/drawing/2014/main" id="{BACA07DA-786E-1148-BED8-28B1FB7A29E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7068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3175000</xdr:colOff>
      <xdr:row>93</xdr:row>
      <xdr:rowOff>0</xdr:rowOff>
    </xdr:from>
    <xdr:ext cx="3162300" cy="0"/>
    <xdr:pic>
      <xdr:nvPicPr>
        <xdr:cNvPr id="44" name="Picture 43" descr="page3image534560240">
          <a:extLst>
            <a:ext uri="{FF2B5EF4-FFF2-40B4-BE49-F238E27FC236}">
              <a16:creationId xmlns:a16="http://schemas.microsoft.com/office/drawing/2014/main" id="{82DABB02-7918-294F-9651-30FA181A973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5500" y="17068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9</xdr:col>
      <xdr:colOff>0</xdr:colOff>
      <xdr:row>93</xdr:row>
      <xdr:rowOff>0</xdr:rowOff>
    </xdr:from>
    <xdr:ext cx="901700" cy="0"/>
    <xdr:pic>
      <xdr:nvPicPr>
        <xdr:cNvPr id="45" name="Picture 44" descr="page3image534560512">
          <a:extLst>
            <a:ext uri="{FF2B5EF4-FFF2-40B4-BE49-F238E27FC236}">
              <a16:creationId xmlns:a16="http://schemas.microsoft.com/office/drawing/2014/main" id="{2448FED0-887F-E94F-BB4A-0B1325EB075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29500" y="17068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88900</xdr:colOff>
      <xdr:row>93</xdr:row>
      <xdr:rowOff>0</xdr:rowOff>
    </xdr:from>
    <xdr:ext cx="901700" cy="0"/>
    <xdr:pic>
      <xdr:nvPicPr>
        <xdr:cNvPr id="46" name="Picture 45" descr="page3image534560784">
          <a:extLst>
            <a:ext uri="{FF2B5EF4-FFF2-40B4-BE49-F238E27FC236}">
              <a16:creationId xmlns:a16="http://schemas.microsoft.com/office/drawing/2014/main" id="{E662F05C-3FC0-E14B-8308-9B928E13C1A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343900" y="17068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177800</xdr:colOff>
      <xdr:row>93</xdr:row>
      <xdr:rowOff>0</xdr:rowOff>
    </xdr:from>
    <xdr:ext cx="12700" cy="12700"/>
    <xdr:pic>
      <xdr:nvPicPr>
        <xdr:cNvPr id="47" name="Picture 46" descr="page3image534561056">
          <a:extLst>
            <a:ext uri="{FF2B5EF4-FFF2-40B4-BE49-F238E27FC236}">
              <a16:creationId xmlns:a16="http://schemas.microsoft.com/office/drawing/2014/main" id="{05AB409B-8EA6-9148-84FC-E000F436F67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258300" y="17068800"/>
          <a:ext cx="12700" cy="127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203200</xdr:colOff>
      <xdr:row>93</xdr:row>
      <xdr:rowOff>0</xdr:rowOff>
    </xdr:from>
    <xdr:ext cx="3162300" cy="0"/>
    <xdr:pic>
      <xdr:nvPicPr>
        <xdr:cNvPr id="48" name="Picture 47" descr="page3image534561344">
          <a:extLst>
            <a:ext uri="{FF2B5EF4-FFF2-40B4-BE49-F238E27FC236}">
              <a16:creationId xmlns:a16="http://schemas.microsoft.com/office/drawing/2014/main" id="{9606BB6B-64F8-034F-95EB-70233E962B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83700" y="17068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14</xdr:col>
      <xdr:colOff>76200</xdr:colOff>
      <xdr:row>93</xdr:row>
      <xdr:rowOff>0</xdr:rowOff>
    </xdr:from>
    <xdr:ext cx="3162300" cy="0"/>
    <xdr:pic>
      <xdr:nvPicPr>
        <xdr:cNvPr id="49" name="Picture 48" descr="page3image534561616">
          <a:extLst>
            <a:ext uri="{FF2B5EF4-FFF2-40B4-BE49-F238E27FC236}">
              <a16:creationId xmlns:a16="http://schemas.microsoft.com/office/drawing/2014/main" id="{FA9DDC6C-1E45-7445-A5A1-52D0468758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458700" y="17068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17</xdr:col>
      <xdr:colOff>774700</xdr:colOff>
      <xdr:row>93</xdr:row>
      <xdr:rowOff>0</xdr:rowOff>
    </xdr:from>
    <xdr:ext cx="901700" cy="0"/>
    <xdr:pic>
      <xdr:nvPicPr>
        <xdr:cNvPr id="50" name="Picture 49" descr="page3image534561888">
          <a:extLst>
            <a:ext uri="{FF2B5EF4-FFF2-40B4-BE49-F238E27FC236}">
              <a16:creationId xmlns:a16="http://schemas.microsoft.com/office/drawing/2014/main" id="{D03F67C4-F506-6A4D-82F4-97CC84E8CE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633700" y="17068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19</xdr:col>
      <xdr:colOff>38100</xdr:colOff>
      <xdr:row>93</xdr:row>
      <xdr:rowOff>0</xdr:rowOff>
    </xdr:from>
    <xdr:ext cx="901700" cy="0"/>
    <xdr:pic>
      <xdr:nvPicPr>
        <xdr:cNvPr id="51" name="Picture 50" descr="page3image534562160">
          <a:extLst>
            <a:ext uri="{FF2B5EF4-FFF2-40B4-BE49-F238E27FC236}">
              <a16:creationId xmlns:a16="http://schemas.microsoft.com/office/drawing/2014/main" id="{28A86B4D-0CF2-3342-8C8D-49AD376D8A2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548100" y="17068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127000</xdr:colOff>
      <xdr:row>93</xdr:row>
      <xdr:rowOff>0</xdr:rowOff>
    </xdr:from>
    <xdr:ext cx="3162300" cy="0"/>
    <xdr:pic>
      <xdr:nvPicPr>
        <xdr:cNvPr id="52" name="Picture 51" descr="page3image534550672">
          <a:extLst>
            <a:ext uri="{FF2B5EF4-FFF2-40B4-BE49-F238E27FC236}">
              <a16:creationId xmlns:a16="http://schemas.microsoft.com/office/drawing/2014/main" id="{38E3F6AD-848A-7F43-84EE-E50FFA3FE7E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62500" y="17068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24</xdr:col>
      <xdr:colOff>0</xdr:colOff>
      <xdr:row>93</xdr:row>
      <xdr:rowOff>0</xdr:rowOff>
    </xdr:from>
    <xdr:ext cx="3162300" cy="0"/>
    <xdr:pic>
      <xdr:nvPicPr>
        <xdr:cNvPr id="53" name="Picture 52" descr="page3image534562368">
          <a:extLst>
            <a:ext uri="{FF2B5EF4-FFF2-40B4-BE49-F238E27FC236}">
              <a16:creationId xmlns:a16="http://schemas.microsoft.com/office/drawing/2014/main" id="{0C273CBC-90D6-F244-9EE0-C4FBA8990FC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637500" y="17068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27</xdr:col>
      <xdr:colOff>698500</xdr:colOff>
      <xdr:row>93</xdr:row>
      <xdr:rowOff>0</xdr:rowOff>
    </xdr:from>
    <xdr:ext cx="901700" cy="0"/>
    <xdr:pic>
      <xdr:nvPicPr>
        <xdr:cNvPr id="54" name="Picture 53" descr="page3image534562576">
          <a:extLst>
            <a:ext uri="{FF2B5EF4-FFF2-40B4-BE49-F238E27FC236}">
              <a16:creationId xmlns:a16="http://schemas.microsoft.com/office/drawing/2014/main" id="{69710AAE-D8F9-3D44-98C2-7CDDDF6E43F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3812500" y="17068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28</xdr:col>
      <xdr:colOff>787400</xdr:colOff>
      <xdr:row>93</xdr:row>
      <xdr:rowOff>0</xdr:rowOff>
    </xdr:from>
    <xdr:ext cx="901700" cy="0"/>
    <xdr:pic>
      <xdr:nvPicPr>
        <xdr:cNvPr id="55" name="Picture 54" descr="page3image534562784">
          <a:extLst>
            <a:ext uri="{FF2B5EF4-FFF2-40B4-BE49-F238E27FC236}">
              <a16:creationId xmlns:a16="http://schemas.microsoft.com/office/drawing/2014/main" id="{8211B0AE-BCD4-2445-9B74-BA7C6598D6C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726900" y="17068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30</xdr:col>
      <xdr:colOff>50800</xdr:colOff>
      <xdr:row>93</xdr:row>
      <xdr:rowOff>0</xdr:rowOff>
    </xdr:from>
    <xdr:ext cx="3162300" cy="0"/>
    <xdr:pic>
      <xdr:nvPicPr>
        <xdr:cNvPr id="56" name="Picture 55" descr="page3image534563056">
          <a:extLst>
            <a:ext uri="{FF2B5EF4-FFF2-40B4-BE49-F238E27FC236}">
              <a16:creationId xmlns:a16="http://schemas.microsoft.com/office/drawing/2014/main" id="{31499D38-B284-1447-8BC7-988CF19EDC7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641300" y="17068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33</xdr:col>
      <xdr:colOff>749300</xdr:colOff>
      <xdr:row>93</xdr:row>
      <xdr:rowOff>0</xdr:rowOff>
    </xdr:from>
    <xdr:ext cx="3162300" cy="0"/>
    <xdr:pic>
      <xdr:nvPicPr>
        <xdr:cNvPr id="57" name="Picture 56" descr="page3image534563328">
          <a:extLst>
            <a:ext uri="{FF2B5EF4-FFF2-40B4-BE49-F238E27FC236}">
              <a16:creationId xmlns:a16="http://schemas.microsoft.com/office/drawing/2014/main" id="{B8800E48-AC8B-EE4C-AA8D-3AF0D678DB6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816300" y="17068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37</xdr:col>
      <xdr:colOff>622300</xdr:colOff>
      <xdr:row>93</xdr:row>
      <xdr:rowOff>0</xdr:rowOff>
    </xdr:from>
    <xdr:ext cx="901700" cy="0"/>
    <xdr:pic>
      <xdr:nvPicPr>
        <xdr:cNvPr id="58" name="Picture 57" descr="page3image534563600">
          <a:extLst>
            <a:ext uri="{FF2B5EF4-FFF2-40B4-BE49-F238E27FC236}">
              <a16:creationId xmlns:a16="http://schemas.microsoft.com/office/drawing/2014/main" id="{9160FE3E-800A-A74D-84E3-1D8C92D8BF9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991300" y="17068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38</xdr:col>
      <xdr:colOff>711200</xdr:colOff>
      <xdr:row>93</xdr:row>
      <xdr:rowOff>0</xdr:rowOff>
    </xdr:from>
    <xdr:ext cx="901700" cy="0"/>
    <xdr:pic>
      <xdr:nvPicPr>
        <xdr:cNvPr id="59" name="Picture 58" descr="page3image534563872">
          <a:extLst>
            <a:ext uri="{FF2B5EF4-FFF2-40B4-BE49-F238E27FC236}">
              <a16:creationId xmlns:a16="http://schemas.microsoft.com/office/drawing/2014/main" id="{A9595BCE-86E6-2947-A503-A6E135A428F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905700" y="17068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3175000</xdr:colOff>
      <xdr:row>97</xdr:row>
      <xdr:rowOff>0</xdr:rowOff>
    </xdr:from>
    <xdr:ext cx="3162300" cy="0"/>
    <xdr:pic>
      <xdr:nvPicPr>
        <xdr:cNvPr id="61" name="Picture 60" descr="page3image534565360">
          <a:extLst>
            <a:ext uri="{FF2B5EF4-FFF2-40B4-BE49-F238E27FC236}">
              <a16:creationId xmlns:a16="http://schemas.microsoft.com/office/drawing/2014/main" id="{3D78EAE2-F846-F84E-A62D-335EEC764FB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5500" y="17881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9</xdr:col>
      <xdr:colOff>0</xdr:colOff>
      <xdr:row>97</xdr:row>
      <xdr:rowOff>0</xdr:rowOff>
    </xdr:from>
    <xdr:ext cx="901700" cy="0"/>
    <xdr:pic>
      <xdr:nvPicPr>
        <xdr:cNvPr id="62" name="Picture 61" descr="page3image534565632">
          <a:extLst>
            <a:ext uri="{FF2B5EF4-FFF2-40B4-BE49-F238E27FC236}">
              <a16:creationId xmlns:a16="http://schemas.microsoft.com/office/drawing/2014/main" id="{1C97E3A3-B876-6744-8568-25994B5609D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29500" y="17881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88900</xdr:colOff>
      <xdr:row>97</xdr:row>
      <xdr:rowOff>0</xdr:rowOff>
    </xdr:from>
    <xdr:ext cx="901700" cy="0"/>
    <xdr:pic>
      <xdr:nvPicPr>
        <xdr:cNvPr id="63" name="Picture 62" descr="page3image534565904">
          <a:extLst>
            <a:ext uri="{FF2B5EF4-FFF2-40B4-BE49-F238E27FC236}">
              <a16:creationId xmlns:a16="http://schemas.microsoft.com/office/drawing/2014/main" id="{4927BBB9-66D1-1541-B84B-AB4BF70DD29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343900" y="17881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177800</xdr:colOff>
      <xdr:row>97</xdr:row>
      <xdr:rowOff>0</xdr:rowOff>
    </xdr:from>
    <xdr:ext cx="3162300" cy="0"/>
    <xdr:pic>
      <xdr:nvPicPr>
        <xdr:cNvPr id="64" name="Picture 63" descr="page3image534566448">
          <a:extLst>
            <a:ext uri="{FF2B5EF4-FFF2-40B4-BE49-F238E27FC236}">
              <a16:creationId xmlns:a16="http://schemas.microsoft.com/office/drawing/2014/main" id="{FEF00E03-7DAB-BE48-8A6B-1ABAA838775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8300" y="17881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14</xdr:col>
      <xdr:colOff>50800</xdr:colOff>
      <xdr:row>97</xdr:row>
      <xdr:rowOff>0</xdr:rowOff>
    </xdr:from>
    <xdr:ext cx="3162300" cy="0"/>
    <xdr:pic>
      <xdr:nvPicPr>
        <xdr:cNvPr id="65" name="Picture 64" descr="page3image534566720">
          <a:extLst>
            <a:ext uri="{FF2B5EF4-FFF2-40B4-BE49-F238E27FC236}">
              <a16:creationId xmlns:a16="http://schemas.microsoft.com/office/drawing/2014/main" id="{78825F3F-8744-5949-849C-18A9A95743A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433300" y="17881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17</xdr:col>
      <xdr:colOff>749300</xdr:colOff>
      <xdr:row>97</xdr:row>
      <xdr:rowOff>0</xdr:rowOff>
    </xdr:from>
    <xdr:ext cx="901700" cy="0"/>
    <xdr:pic>
      <xdr:nvPicPr>
        <xdr:cNvPr id="66" name="Picture 65" descr="page3image534566992">
          <a:extLst>
            <a:ext uri="{FF2B5EF4-FFF2-40B4-BE49-F238E27FC236}">
              <a16:creationId xmlns:a16="http://schemas.microsoft.com/office/drawing/2014/main" id="{5285A90E-3E07-A247-8DFC-9A09C33DB4B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608300" y="17881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19</xdr:col>
      <xdr:colOff>12700</xdr:colOff>
      <xdr:row>97</xdr:row>
      <xdr:rowOff>0</xdr:rowOff>
    </xdr:from>
    <xdr:ext cx="901700" cy="0"/>
    <xdr:pic>
      <xdr:nvPicPr>
        <xdr:cNvPr id="67" name="Picture 66" descr="page3image534567264">
          <a:extLst>
            <a:ext uri="{FF2B5EF4-FFF2-40B4-BE49-F238E27FC236}">
              <a16:creationId xmlns:a16="http://schemas.microsoft.com/office/drawing/2014/main" id="{915DD811-74F0-3A4A-9850-C31FF9A5140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522700" y="17881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103</xdr:row>
      <xdr:rowOff>0</xdr:rowOff>
    </xdr:from>
    <xdr:ext cx="3162300" cy="0"/>
    <xdr:pic>
      <xdr:nvPicPr>
        <xdr:cNvPr id="68" name="Picture 67" descr="page3image534570576">
          <a:extLst>
            <a:ext uri="{FF2B5EF4-FFF2-40B4-BE49-F238E27FC236}">
              <a16:creationId xmlns:a16="http://schemas.microsoft.com/office/drawing/2014/main" id="{54561091-38E6-2749-9155-A7214CE0D9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9100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3175000</xdr:colOff>
      <xdr:row>103</xdr:row>
      <xdr:rowOff>0</xdr:rowOff>
    </xdr:from>
    <xdr:ext cx="3162300" cy="0"/>
    <xdr:pic>
      <xdr:nvPicPr>
        <xdr:cNvPr id="69" name="Picture 68" descr="page3image534570848">
          <a:extLst>
            <a:ext uri="{FF2B5EF4-FFF2-40B4-BE49-F238E27FC236}">
              <a16:creationId xmlns:a16="http://schemas.microsoft.com/office/drawing/2014/main" id="{651EEAE7-B5B5-DE40-A89A-911121E2A2C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5500" y="19100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9</xdr:col>
      <xdr:colOff>0</xdr:colOff>
      <xdr:row>103</xdr:row>
      <xdr:rowOff>0</xdr:rowOff>
    </xdr:from>
    <xdr:ext cx="901700" cy="0"/>
    <xdr:pic>
      <xdr:nvPicPr>
        <xdr:cNvPr id="70" name="Picture 69" descr="page3image534571120">
          <a:extLst>
            <a:ext uri="{FF2B5EF4-FFF2-40B4-BE49-F238E27FC236}">
              <a16:creationId xmlns:a16="http://schemas.microsoft.com/office/drawing/2014/main" id="{BCDAB0AB-A15F-FF44-ABAE-61098FA25F1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29500" y="19100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88900</xdr:colOff>
      <xdr:row>103</xdr:row>
      <xdr:rowOff>0</xdr:rowOff>
    </xdr:from>
    <xdr:ext cx="901700" cy="0"/>
    <xdr:pic>
      <xdr:nvPicPr>
        <xdr:cNvPr id="71" name="Picture 70" descr="page3image534571392">
          <a:extLst>
            <a:ext uri="{FF2B5EF4-FFF2-40B4-BE49-F238E27FC236}">
              <a16:creationId xmlns:a16="http://schemas.microsoft.com/office/drawing/2014/main" id="{676BFE2C-806F-CE40-96AC-3C9B42EC360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343900" y="19100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177800</xdr:colOff>
      <xdr:row>103</xdr:row>
      <xdr:rowOff>0</xdr:rowOff>
    </xdr:from>
    <xdr:ext cx="12700" cy="12700"/>
    <xdr:pic>
      <xdr:nvPicPr>
        <xdr:cNvPr id="72" name="Picture 71" descr="page3image534571664">
          <a:extLst>
            <a:ext uri="{FF2B5EF4-FFF2-40B4-BE49-F238E27FC236}">
              <a16:creationId xmlns:a16="http://schemas.microsoft.com/office/drawing/2014/main" id="{33C1E558-6AB7-8B47-9A34-97317CD6B22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258300" y="19100800"/>
          <a:ext cx="12700" cy="127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203200</xdr:colOff>
      <xdr:row>103</xdr:row>
      <xdr:rowOff>0</xdr:rowOff>
    </xdr:from>
    <xdr:ext cx="3162300" cy="0"/>
    <xdr:pic>
      <xdr:nvPicPr>
        <xdr:cNvPr id="73" name="Picture 72" descr="page3image534571952">
          <a:extLst>
            <a:ext uri="{FF2B5EF4-FFF2-40B4-BE49-F238E27FC236}">
              <a16:creationId xmlns:a16="http://schemas.microsoft.com/office/drawing/2014/main" id="{DAC780E5-6036-9840-89DD-678E5019C1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83700" y="19100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15</xdr:col>
      <xdr:colOff>76200</xdr:colOff>
      <xdr:row>103</xdr:row>
      <xdr:rowOff>0</xdr:rowOff>
    </xdr:from>
    <xdr:ext cx="3162300" cy="0"/>
    <xdr:pic>
      <xdr:nvPicPr>
        <xdr:cNvPr id="74" name="Picture 73" descr="page3image534572224">
          <a:extLst>
            <a:ext uri="{FF2B5EF4-FFF2-40B4-BE49-F238E27FC236}">
              <a16:creationId xmlns:a16="http://schemas.microsoft.com/office/drawing/2014/main" id="{B5E0F87E-EFA1-4848-902C-07D796E749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458700" y="19100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18</xdr:col>
      <xdr:colOff>774700</xdr:colOff>
      <xdr:row>103</xdr:row>
      <xdr:rowOff>0</xdr:rowOff>
    </xdr:from>
    <xdr:ext cx="901700" cy="0"/>
    <xdr:pic>
      <xdr:nvPicPr>
        <xdr:cNvPr id="75" name="Picture 74" descr="page3image534572496">
          <a:extLst>
            <a:ext uri="{FF2B5EF4-FFF2-40B4-BE49-F238E27FC236}">
              <a16:creationId xmlns:a16="http://schemas.microsoft.com/office/drawing/2014/main" id="{979FED3E-F3F1-6943-94A7-9F0EC4B79B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633700" y="19100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38100</xdr:colOff>
      <xdr:row>103</xdr:row>
      <xdr:rowOff>0</xdr:rowOff>
    </xdr:from>
    <xdr:ext cx="901700" cy="0"/>
    <xdr:pic>
      <xdr:nvPicPr>
        <xdr:cNvPr id="76" name="Picture 75" descr="page3image534572768">
          <a:extLst>
            <a:ext uri="{FF2B5EF4-FFF2-40B4-BE49-F238E27FC236}">
              <a16:creationId xmlns:a16="http://schemas.microsoft.com/office/drawing/2014/main" id="{DFEE690D-F1E7-5449-A00E-E329E2DF9FC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548100" y="19100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21</xdr:col>
      <xdr:colOff>127000</xdr:colOff>
      <xdr:row>103</xdr:row>
      <xdr:rowOff>0</xdr:rowOff>
    </xdr:from>
    <xdr:ext cx="3162300" cy="0"/>
    <xdr:pic>
      <xdr:nvPicPr>
        <xdr:cNvPr id="77" name="Picture 76" descr="page3image534573040">
          <a:extLst>
            <a:ext uri="{FF2B5EF4-FFF2-40B4-BE49-F238E27FC236}">
              <a16:creationId xmlns:a16="http://schemas.microsoft.com/office/drawing/2014/main" id="{7F4F356F-039C-9046-8D05-53823D51549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62500" y="19100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25</xdr:col>
      <xdr:colOff>0</xdr:colOff>
      <xdr:row>103</xdr:row>
      <xdr:rowOff>0</xdr:rowOff>
    </xdr:from>
    <xdr:ext cx="3162300" cy="0"/>
    <xdr:pic>
      <xdr:nvPicPr>
        <xdr:cNvPr id="78" name="Picture 77" descr="page3image534573312">
          <a:extLst>
            <a:ext uri="{FF2B5EF4-FFF2-40B4-BE49-F238E27FC236}">
              <a16:creationId xmlns:a16="http://schemas.microsoft.com/office/drawing/2014/main" id="{F6A8C14A-1F04-2347-917C-74946F563A8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637500" y="19100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28</xdr:col>
      <xdr:colOff>698500</xdr:colOff>
      <xdr:row>103</xdr:row>
      <xdr:rowOff>0</xdr:rowOff>
    </xdr:from>
    <xdr:ext cx="901700" cy="0"/>
    <xdr:pic>
      <xdr:nvPicPr>
        <xdr:cNvPr id="79" name="Picture 78" descr="page3image534573584">
          <a:extLst>
            <a:ext uri="{FF2B5EF4-FFF2-40B4-BE49-F238E27FC236}">
              <a16:creationId xmlns:a16="http://schemas.microsoft.com/office/drawing/2014/main" id="{ABB24E3E-F00C-4141-8EB9-3913962B52C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3812500" y="19100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787400</xdr:colOff>
      <xdr:row>103</xdr:row>
      <xdr:rowOff>0</xdr:rowOff>
    </xdr:from>
    <xdr:ext cx="901700" cy="0"/>
    <xdr:pic>
      <xdr:nvPicPr>
        <xdr:cNvPr id="80" name="Picture 79" descr="page3image534573856">
          <a:extLst>
            <a:ext uri="{FF2B5EF4-FFF2-40B4-BE49-F238E27FC236}">
              <a16:creationId xmlns:a16="http://schemas.microsoft.com/office/drawing/2014/main" id="{57D78964-68FA-A14B-927F-42371CFF536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726900" y="19100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31</xdr:col>
      <xdr:colOff>50800</xdr:colOff>
      <xdr:row>103</xdr:row>
      <xdr:rowOff>0</xdr:rowOff>
    </xdr:from>
    <xdr:ext cx="3162300" cy="0"/>
    <xdr:pic>
      <xdr:nvPicPr>
        <xdr:cNvPr id="81" name="Picture 80" descr="page3image534574128">
          <a:extLst>
            <a:ext uri="{FF2B5EF4-FFF2-40B4-BE49-F238E27FC236}">
              <a16:creationId xmlns:a16="http://schemas.microsoft.com/office/drawing/2014/main" id="{DF33F816-C54A-4B4D-9BD4-EB3D096234F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641300" y="19100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34</xdr:col>
      <xdr:colOff>749300</xdr:colOff>
      <xdr:row>103</xdr:row>
      <xdr:rowOff>0</xdr:rowOff>
    </xdr:from>
    <xdr:ext cx="3162300" cy="0"/>
    <xdr:pic>
      <xdr:nvPicPr>
        <xdr:cNvPr id="82" name="Picture 81" descr="page3image534574400">
          <a:extLst>
            <a:ext uri="{FF2B5EF4-FFF2-40B4-BE49-F238E27FC236}">
              <a16:creationId xmlns:a16="http://schemas.microsoft.com/office/drawing/2014/main" id="{9942B40F-C3DC-3A4C-94FE-9E8A25BA09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816300" y="19100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38</xdr:col>
      <xdr:colOff>622300</xdr:colOff>
      <xdr:row>103</xdr:row>
      <xdr:rowOff>0</xdr:rowOff>
    </xdr:from>
    <xdr:ext cx="901700" cy="0"/>
    <xdr:pic>
      <xdr:nvPicPr>
        <xdr:cNvPr id="83" name="Picture 82" descr="page3image534574672">
          <a:extLst>
            <a:ext uri="{FF2B5EF4-FFF2-40B4-BE49-F238E27FC236}">
              <a16:creationId xmlns:a16="http://schemas.microsoft.com/office/drawing/2014/main" id="{AF24EF0F-88DE-8746-81F7-F767C07DF58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991300" y="19100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39</xdr:col>
      <xdr:colOff>711200</xdr:colOff>
      <xdr:row>103</xdr:row>
      <xdr:rowOff>0</xdr:rowOff>
    </xdr:from>
    <xdr:ext cx="901700" cy="0"/>
    <xdr:pic>
      <xdr:nvPicPr>
        <xdr:cNvPr id="84" name="Picture 83" descr="page3image534574944">
          <a:extLst>
            <a:ext uri="{FF2B5EF4-FFF2-40B4-BE49-F238E27FC236}">
              <a16:creationId xmlns:a16="http://schemas.microsoft.com/office/drawing/2014/main" id="{245D61CD-43D3-4849-B798-7D822E314B43}"/>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905700" y="19100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40</xdr:col>
      <xdr:colOff>800100</xdr:colOff>
      <xdr:row>103</xdr:row>
      <xdr:rowOff>0</xdr:rowOff>
    </xdr:from>
    <xdr:ext cx="3162300" cy="0"/>
    <xdr:pic>
      <xdr:nvPicPr>
        <xdr:cNvPr id="85" name="Picture 84" descr="page3image534575216">
          <a:extLst>
            <a:ext uri="{FF2B5EF4-FFF2-40B4-BE49-F238E27FC236}">
              <a16:creationId xmlns:a16="http://schemas.microsoft.com/office/drawing/2014/main" id="{CC26FFC1-3208-F041-89DE-C04010960FA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820100" y="19100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44</xdr:col>
      <xdr:colOff>673100</xdr:colOff>
      <xdr:row>103</xdr:row>
      <xdr:rowOff>0</xdr:rowOff>
    </xdr:from>
    <xdr:ext cx="3162300" cy="0"/>
    <xdr:pic>
      <xdr:nvPicPr>
        <xdr:cNvPr id="86" name="Picture 85" descr="page3image534575488">
          <a:extLst>
            <a:ext uri="{FF2B5EF4-FFF2-40B4-BE49-F238E27FC236}">
              <a16:creationId xmlns:a16="http://schemas.microsoft.com/office/drawing/2014/main" id="{E0EAE051-458B-0146-9166-B1F6E9D57D6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6995100" y="19100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48</xdr:col>
      <xdr:colOff>546100</xdr:colOff>
      <xdr:row>103</xdr:row>
      <xdr:rowOff>0</xdr:rowOff>
    </xdr:from>
    <xdr:ext cx="901700" cy="0"/>
    <xdr:pic>
      <xdr:nvPicPr>
        <xdr:cNvPr id="87" name="Picture 86" descr="page3image534575760">
          <a:extLst>
            <a:ext uri="{FF2B5EF4-FFF2-40B4-BE49-F238E27FC236}">
              <a16:creationId xmlns:a16="http://schemas.microsoft.com/office/drawing/2014/main" id="{F8F1B929-1DC9-0D4D-B096-F640F3E9AA9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0170100" y="19100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49</xdr:col>
      <xdr:colOff>635000</xdr:colOff>
      <xdr:row>103</xdr:row>
      <xdr:rowOff>0</xdr:rowOff>
    </xdr:from>
    <xdr:ext cx="901700" cy="0"/>
    <xdr:pic>
      <xdr:nvPicPr>
        <xdr:cNvPr id="88" name="Picture 87" descr="page3image534576032">
          <a:extLst>
            <a:ext uri="{FF2B5EF4-FFF2-40B4-BE49-F238E27FC236}">
              <a16:creationId xmlns:a16="http://schemas.microsoft.com/office/drawing/2014/main" id="{A5047F53-6692-364A-9115-898D07D080C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1084500" y="191008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107</xdr:row>
      <xdr:rowOff>0</xdr:rowOff>
    </xdr:from>
    <xdr:ext cx="3162300" cy="0"/>
    <xdr:pic>
      <xdr:nvPicPr>
        <xdr:cNvPr id="89" name="Picture 88" descr="page3image534577280">
          <a:extLst>
            <a:ext uri="{FF2B5EF4-FFF2-40B4-BE49-F238E27FC236}">
              <a16:creationId xmlns:a16="http://schemas.microsoft.com/office/drawing/2014/main" id="{2138FA5D-B5A7-E544-B213-467B7FC313B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9913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3175000</xdr:colOff>
      <xdr:row>107</xdr:row>
      <xdr:rowOff>0</xdr:rowOff>
    </xdr:from>
    <xdr:ext cx="3162300" cy="0"/>
    <xdr:pic>
      <xdr:nvPicPr>
        <xdr:cNvPr id="90" name="Picture 89" descr="page3image534577552">
          <a:extLst>
            <a:ext uri="{FF2B5EF4-FFF2-40B4-BE49-F238E27FC236}">
              <a16:creationId xmlns:a16="http://schemas.microsoft.com/office/drawing/2014/main" id="{B2FFA262-AFF9-374C-ADA7-F2C91E4F49F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5500" y="19913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9</xdr:col>
      <xdr:colOff>0</xdr:colOff>
      <xdr:row>107</xdr:row>
      <xdr:rowOff>0</xdr:rowOff>
    </xdr:from>
    <xdr:ext cx="901700" cy="0"/>
    <xdr:pic>
      <xdr:nvPicPr>
        <xdr:cNvPr id="91" name="Picture 90" descr="page3image534577824">
          <a:extLst>
            <a:ext uri="{FF2B5EF4-FFF2-40B4-BE49-F238E27FC236}">
              <a16:creationId xmlns:a16="http://schemas.microsoft.com/office/drawing/2014/main" id="{7A3FCD57-E1E1-DC46-8C5D-05C6ABB4EA3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429500" y="19913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88900</xdr:colOff>
      <xdr:row>107</xdr:row>
      <xdr:rowOff>0</xdr:rowOff>
    </xdr:from>
    <xdr:ext cx="901700" cy="0"/>
    <xdr:pic>
      <xdr:nvPicPr>
        <xdr:cNvPr id="92" name="Picture 91" descr="page3image534578096">
          <a:extLst>
            <a:ext uri="{FF2B5EF4-FFF2-40B4-BE49-F238E27FC236}">
              <a16:creationId xmlns:a16="http://schemas.microsoft.com/office/drawing/2014/main" id="{70925A8F-1BBA-704E-87E0-E43B4AAA9D5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343900" y="19913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177800</xdr:colOff>
      <xdr:row>107</xdr:row>
      <xdr:rowOff>0</xdr:rowOff>
    </xdr:from>
    <xdr:ext cx="3162300" cy="0"/>
    <xdr:pic>
      <xdr:nvPicPr>
        <xdr:cNvPr id="93" name="Picture 92" descr="page3image534578640">
          <a:extLst>
            <a:ext uri="{FF2B5EF4-FFF2-40B4-BE49-F238E27FC236}">
              <a16:creationId xmlns:a16="http://schemas.microsoft.com/office/drawing/2014/main" id="{686FE45B-8872-024A-9333-D50A605CDEA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8300" y="19913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15</xdr:col>
      <xdr:colOff>50800</xdr:colOff>
      <xdr:row>107</xdr:row>
      <xdr:rowOff>0</xdr:rowOff>
    </xdr:from>
    <xdr:ext cx="3162300" cy="0"/>
    <xdr:pic>
      <xdr:nvPicPr>
        <xdr:cNvPr id="94" name="Picture 93" descr="page3image534578912">
          <a:extLst>
            <a:ext uri="{FF2B5EF4-FFF2-40B4-BE49-F238E27FC236}">
              <a16:creationId xmlns:a16="http://schemas.microsoft.com/office/drawing/2014/main" id="{AEA892F1-CCA5-2A43-B0DF-94DAF63EFE0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433300" y="199136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18</xdr:col>
      <xdr:colOff>749300</xdr:colOff>
      <xdr:row>107</xdr:row>
      <xdr:rowOff>0</xdr:rowOff>
    </xdr:from>
    <xdr:ext cx="901700" cy="0"/>
    <xdr:pic>
      <xdr:nvPicPr>
        <xdr:cNvPr id="95" name="Picture 94" descr="page3image534579184">
          <a:extLst>
            <a:ext uri="{FF2B5EF4-FFF2-40B4-BE49-F238E27FC236}">
              <a16:creationId xmlns:a16="http://schemas.microsoft.com/office/drawing/2014/main" id="{E2F3238E-2F80-7D47-95BE-5964D372912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608300" y="19913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12700</xdr:colOff>
      <xdr:row>107</xdr:row>
      <xdr:rowOff>0</xdr:rowOff>
    </xdr:from>
    <xdr:ext cx="901700" cy="0"/>
    <xdr:pic>
      <xdr:nvPicPr>
        <xdr:cNvPr id="96" name="Picture 95" descr="page3image534579456">
          <a:extLst>
            <a:ext uri="{FF2B5EF4-FFF2-40B4-BE49-F238E27FC236}">
              <a16:creationId xmlns:a16="http://schemas.microsoft.com/office/drawing/2014/main" id="{C0E62963-A962-0B47-8C75-CA4216A4B81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522700" y="19913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113</xdr:row>
      <xdr:rowOff>0</xdr:rowOff>
    </xdr:from>
    <xdr:ext cx="3162300" cy="0"/>
    <xdr:pic>
      <xdr:nvPicPr>
        <xdr:cNvPr id="97" name="Picture 96" descr="page3image534582768">
          <a:extLst>
            <a:ext uri="{FF2B5EF4-FFF2-40B4-BE49-F238E27FC236}">
              <a16:creationId xmlns:a16="http://schemas.microsoft.com/office/drawing/2014/main" id="{41D93A49-978A-7A4D-84DB-0444F34CDAD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1132800"/>
          <a:ext cx="31623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215900</xdr:colOff>
      <xdr:row>87</xdr:row>
      <xdr:rowOff>0</xdr:rowOff>
    </xdr:from>
    <xdr:ext cx="901700" cy="0"/>
    <xdr:pic>
      <xdr:nvPicPr>
        <xdr:cNvPr id="98" name="Picture 97" descr="page3image534545648">
          <a:extLst>
            <a:ext uri="{FF2B5EF4-FFF2-40B4-BE49-F238E27FC236}">
              <a16:creationId xmlns:a16="http://schemas.microsoft.com/office/drawing/2014/main" id="{66883C16-B00C-E04C-B3BB-12EC9E2783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669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215900</xdr:colOff>
      <xdr:row>87</xdr:row>
      <xdr:rowOff>0</xdr:rowOff>
    </xdr:from>
    <xdr:ext cx="901700" cy="0"/>
    <xdr:pic>
      <xdr:nvPicPr>
        <xdr:cNvPr id="99" name="Picture 98" descr="page3image534545648">
          <a:extLst>
            <a:ext uri="{FF2B5EF4-FFF2-40B4-BE49-F238E27FC236}">
              <a16:creationId xmlns:a16="http://schemas.microsoft.com/office/drawing/2014/main" id="{9ACC631D-3EE5-8844-9788-5E6EF4E7F68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924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215900</xdr:colOff>
      <xdr:row>87</xdr:row>
      <xdr:rowOff>0</xdr:rowOff>
    </xdr:from>
    <xdr:ext cx="901700" cy="0"/>
    <xdr:pic>
      <xdr:nvPicPr>
        <xdr:cNvPr id="100" name="Picture 99" descr="page3image534545648">
          <a:extLst>
            <a:ext uri="{FF2B5EF4-FFF2-40B4-BE49-F238E27FC236}">
              <a16:creationId xmlns:a16="http://schemas.microsoft.com/office/drawing/2014/main" id="{5B7DF9C4-23DD-6E42-A7C1-FAB0C3B29A4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179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215900</xdr:colOff>
      <xdr:row>87</xdr:row>
      <xdr:rowOff>0</xdr:rowOff>
    </xdr:from>
    <xdr:ext cx="901700" cy="0"/>
    <xdr:pic>
      <xdr:nvPicPr>
        <xdr:cNvPr id="101" name="Picture 100" descr="page3image534545648">
          <a:extLst>
            <a:ext uri="{FF2B5EF4-FFF2-40B4-BE49-F238E27FC236}">
              <a16:creationId xmlns:a16="http://schemas.microsoft.com/office/drawing/2014/main" id="{6A070F14-E498-FA45-AABB-6AF19BE232F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434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215900</xdr:colOff>
      <xdr:row>87</xdr:row>
      <xdr:rowOff>0</xdr:rowOff>
    </xdr:from>
    <xdr:ext cx="901700" cy="0"/>
    <xdr:pic>
      <xdr:nvPicPr>
        <xdr:cNvPr id="102" name="Picture 101" descr="page3image534545648">
          <a:extLst>
            <a:ext uri="{FF2B5EF4-FFF2-40B4-BE49-F238E27FC236}">
              <a16:creationId xmlns:a16="http://schemas.microsoft.com/office/drawing/2014/main" id="{FCA24FD4-ACCF-EE4D-A665-93EC0D8627F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68900" y="158496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215900</xdr:colOff>
      <xdr:row>87</xdr:row>
      <xdr:rowOff>0</xdr:rowOff>
    </xdr:from>
    <xdr:ext cx="901700" cy="0"/>
    <xdr:pic>
      <xdr:nvPicPr>
        <xdr:cNvPr id="103" name="Picture 102" descr="page3image534545648">
          <a:extLst>
            <a:ext uri="{FF2B5EF4-FFF2-40B4-BE49-F238E27FC236}">
              <a16:creationId xmlns:a16="http://schemas.microsoft.com/office/drawing/2014/main" id="{19F177BC-958B-2144-85A7-BD6A41E8206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70900" y="184912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215900</xdr:colOff>
      <xdr:row>87</xdr:row>
      <xdr:rowOff>0</xdr:rowOff>
    </xdr:from>
    <xdr:ext cx="901700" cy="0"/>
    <xdr:pic>
      <xdr:nvPicPr>
        <xdr:cNvPr id="104" name="Picture 103" descr="page3image534545648">
          <a:extLst>
            <a:ext uri="{FF2B5EF4-FFF2-40B4-BE49-F238E27FC236}">
              <a16:creationId xmlns:a16="http://schemas.microsoft.com/office/drawing/2014/main" id="{C73A6BA8-0E86-094D-BE84-6841E548DB9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70900" y="184912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9</xdr:col>
      <xdr:colOff>215900</xdr:colOff>
      <xdr:row>87</xdr:row>
      <xdr:rowOff>0</xdr:rowOff>
    </xdr:from>
    <xdr:ext cx="901700" cy="0"/>
    <xdr:pic>
      <xdr:nvPicPr>
        <xdr:cNvPr id="105" name="Picture 104" descr="page3image534545648">
          <a:extLst>
            <a:ext uri="{FF2B5EF4-FFF2-40B4-BE49-F238E27FC236}">
              <a16:creationId xmlns:a16="http://schemas.microsoft.com/office/drawing/2014/main" id="{6DE516FC-BCFC-CE49-9191-5782F83B9E4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7200" y="184912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9</xdr:col>
      <xdr:colOff>215900</xdr:colOff>
      <xdr:row>87</xdr:row>
      <xdr:rowOff>0</xdr:rowOff>
    </xdr:from>
    <xdr:ext cx="901700" cy="0"/>
    <xdr:pic>
      <xdr:nvPicPr>
        <xdr:cNvPr id="106" name="Picture 105" descr="page3image534545648">
          <a:extLst>
            <a:ext uri="{FF2B5EF4-FFF2-40B4-BE49-F238E27FC236}">
              <a16:creationId xmlns:a16="http://schemas.microsoft.com/office/drawing/2014/main" id="{8981F8C4-68CE-284F-946C-D8C917E555C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70900" y="184912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215900</xdr:colOff>
      <xdr:row>87</xdr:row>
      <xdr:rowOff>0</xdr:rowOff>
    </xdr:from>
    <xdr:ext cx="901700" cy="0"/>
    <xdr:pic>
      <xdr:nvPicPr>
        <xdr:cNvPr id="107" name="Picture 106" descr="page3image534545648">
          <a:extLst>
            <a:ext uri="{FF2B5EF4-FFF2-40B4-BE49-F238E27FC236}">
              <a16:creationId xmlns:a16="http://schemas.microsoft.com/office/drawing/2014/main" id="{72E96EE6-B6D0-0E42-AD6E-1EE922E14B2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7200" y="184912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215900</xdr:colOff>
      <xdr:row>87</xdr:row>
      <xdr:rowOff>0</xdr:rowOff>
    </xdr:from>
    <xdr:ext cx="901700" cy="0"/>
    <xdr:pic>
      <xdr:nvPicPr>
        <xdr:cNvPr id="108" name="Picture 107" descr="page3image534545648">
          <a:extLst>
            <a:ext uri="{FF2B5EF4-FFF2-40B4-BE49-F238E27FC236}">
              <a16:creationId xmlns:a16="http://schemas.microsoft.com/office/drawing/2014/main" id="{2200EBDC-90BB-F645-B8EC-ACF154CD55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70900" y="184912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215900</xdr:colOff>
      <xdr:row>87</xdr:row>
      <xdr:rowOff>0</xdr:rowOff>
    </xdr:from>
    <xdr:ext cx="901700" cy="0"/>
    <xdr:pic>
      <xdr:nvPicPr>
        <xdr:cNvPr id="109" name="Picture 108" descr="page3image534545648">
          <a:extLst>
            <a:ext uri="{FF2B5EF4-FFF2-40B4-BE49-F238E27FC236}">
              <a16:creationId xmlns:a16="http://schemas.microsoft.com/office/drawing/2014/main" id="{0282B4E5-F9AD-E64B-B00A-9A372BB5002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7200" y="184912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215900</xdr:colOff>
      <xdr:row>87</xdr:row>
      <xdr:rowOff>0</xdr:rowOff>
    </xdr:from>
    <xdr:ext cx="901700" cy="0"/>
    <xdr:pic>
      <xdr:nvPicPr>
        <xdr:cNvPr id="110" name="Picture 109" descr="page3image534545648">
          <a:extLst>
            <a:ext uri="{FF2B5EF4-FFF2-40B4-BE49-F238E27FC236}">
              <a16:creationId xmlns:a16="http://schemas.microsoft.com/office/drawing/2014/main" id="{EB8DCFA9-37E7-D241-B0F1-492E16FAB4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70900" y="184912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xdr:col>
      <xdr:colOff>215900</xdr:colOff>
      <xdr:row>87</xdr:row>
      <xdr:rowOff>0</xdr:rowOff>
    </xdr:from>
    <xdr:ext cx="901700" cy="0"/>
    <xdr:pic>
      <xdr:nvPicPr>
        <xdr:cNvPr id="111" name="Picture 110" descr="page3image534545648">
          <a:extLst>
            <a:ext uri="{FF2B5EF4-FFF2-40B4-BE49-F238E27FC236}">
              <a16:creationId xmlns:a16="http://schemas.microsoft.com/office/drawing/2014/main" id="{1350C7E1-94C5-2F49-B645-30C1357A71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7200" y="184912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xdr:col>
      <xdr:colOff>215900</xdr:colOff>
      <xdr:row>87</xdr:row>
      <xdr:rowOff>0</xdr:rowOff>
    </xdr:from>
    <xdr:ext cx="901700" cy="0"/>
    <xdr:pic>
      <xdr:nvPicPr>
        <xdr:cNvPr id="112" name="Picture 111" descr="page3image534545648">
          <a:extLst>
            <a:ext uri="{FF2B5EF4-FFF2-40B4-BE49-F238E27FC236}">
              <a16:creationId xmlns:a16="http://schemas.microsoft.com/office/drawing/2014/main" id="{3189462D-BE3B-A74E-A7DD-4FBC9075CB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70900" y="184912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0</xdr:colOff>
      <xdr:row>87</xdr:row>
      <xdr:rowOff>0</xdr:rowOff>
    </xdr:from>
    <xdr:ext cx="901700" cy="0"/>
    <xdr:pic>
      <xdr:nvPicPr>
        <xdr:cNvPr id="113" name="Picture 112" descr="page3image534545648">
          <a:extLst>
            <a:ext uri="{FF2B5EF4-FFF2-40B4-BE49-F238E27FC236}">
              <a16:creationId xmlns:a16="http://schemas.microsoft.com/office/drawing/2014/main" id="{18704CCB-D693-D84F-B20B-F8C48E43B09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7200" y="18491200"/>
          <a:ext cx="9017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C Prost" id="{336D8B79-611F-D94A-9FF2-25CFB8C0E963}" userId="2e5428d6df246b7e"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Prost" refreshedDate="43834.936505787038" createdVersion="6" refreshedVersion="6" minRefreshableVersion="3" recordCount="53" xr:uid="{D5DD2D37-D354-374C-BC81-BDBE67F98327}">
  <cacheSource type="worksheet">
    <worksheetSource name="Table3"/>
  </cacheSource>
  <cacheFields count="7">
    <cacheField name="Date" numFmtId="14">
      <sharedItems containsSemiMixedTypes="0" containsNonDate="0" containsDate="1" containsString="0" minDate="2019-01-01T00:00:00" maxDate="2019-12-29T00:00:00"/>
    </cacheField>
    <cacheField name="Month" numFmtId="14">
      <sharedItems count="9">
        <s v="Jan"/>
        <s v="Feb"/>
        <s v="Mar"/>
        <s v="Apr"/>
        <s v="May"/>
        <s v="Jun"/>
        <s v="Jul"/>
        <s v="Aug"/>
        <s v="Dec"/>
      </sharedItems>
    </cacheField>
    <cacheField name="Category type" numFmtId="14">
      <sharedItems containsBlank="1" count="3">
        <m/>
        <s v="1. Income"/>
        <s v="2. Expense"/>
      </sharedItems>
    </cacheField>
    <cacheField name="Category" numFmtId="14">
      <sharedItems count="7">
        <s v="Balanced Carried Forward"/>
        <s v="Gifts Received"/>
        <s v="Long Term Savings"/>
        <s v="Fortnite Expense"/>
        <s v="Good Grade Incentive"/>
        <s v="Household Labor"/>
        <s v="Madden Expense"/>
      </sharedItems>
    </cacheField>
    <cacheField name="Phil's Expenses" numFmtId="0">
      <sharedItems containsBlank="1"/>
    </cacheField>
    <cacheField name="Amount" numFmtId="0">
      <sharedItems containsSemiMixedTypes="0" containsString="0" containsNumber="1" minValue="-24.99" maxValue="40"/>
    </cacheField>
    <cacheField name="Running Balance" numFmtId="0">
      <sharedItems containsSemiMixedTypes="0" containsString="0" containsNumber="1" minValue="-4.8228000000000018" maxValue="35.24719999999999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Prost" refreshedDate="43834.937253124997" createdVersion="6" refreshedVersion="6" minRefreshableVersion="3" recordCount="56" xr:uid="{AC87E213-EC4B-6146-B4EC-3C4271166BFD}">
  <cacheSource type="worksheet">
    <worksheetSource name="Table1"/>
  </cacheSource>
  <cacheFields count="7">
    <cacheField name="Date" numFmtId="14">
      <sharedItems containsNonDate="0" containsDate="1" containsString="0" containsBlank="1" minDate="2018-01-31T00:00:00" maxDate="2018-12-28T00:00:00"/>
    </cacheField>
    <cacheField name="Month" numFmtId="14">
      <sharedItems containsBlank="1" count="9">
        <s v="Jan"/>
        <s v="Mar"/>
        <s v="Apr"/>
        <s v="Sep"/>
        <s v="Oct"/>
        <s v="Nov"/>
        <m/>
        <s v="Dec"/>
        <s v="Jun" u="1"/>
      </sharedItems>
    </cacheField>
    <cacheField name="Category type" numFmtId="14">
      <sharedItems containsBlank="1" count="3">
        <s v="1. Income"/>
        <s v="2. Expense"/>
        <m/>
      </sharedItems>
    </cacheField>
    <cacheField name="Category" numFmtId="14">
      <sharedItems containsBlank="1" count="12">
        <s v="Dad Gift/Owe"/>
        <s v="Good Grade Incentive"/>
        <s v="Xbox Expense"/>
        <s v="Madden Expense"/>
        <s v="Fortnite Expense"/>
        <s v="Household Labor"/>
        <s v="Gifts Received"/>
        <s v="Computer Equipment Purchase"/>
        <m/>
        <s v="Long Term Savings"/>
        <s v="Treat Expense"/>
        <s v="Reference" u="1"/>
      </sharedItems>
    </cacheField>
    <cacheField name="Phil's Expenses" numFmtId="0">
      <sharedItems containsBlank="1"/>
    </cacheField>
    <cacheField name="Amount" numFmtId="44">
      <sharedItems containsString="0" containsBlank="1" containsNumber="1" minValue="-44" maxValue="100"/>
    </cacheField>
    <cacheField name="Running Balance" numFmtId="44">
      <sharedItems containsString="0" containsBlank="1" containsNumber="1" minValue="-4.8387999999999973" maxValue="119.2171999999999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Prost" refreshedDate="43912.883009490739" createdVersion="6" refreshedVersion="6" minRefreshableVersion="3" recordCount="12" xr:uid="{5CAE9E08-E37F-2F41-ABC2-21F4186553EF}">
  <cacheSource type="worksheet">
    <worksheetSource ref="A116:G128" sheet="Phil Amount Summaries"/>
  </cacheSource>
  <cacheFields count="7">
    <cacheField name="Date" numFmtId="14">
      <sharedItems containsSemiMixedTypes="0" containsNonDate="0" containsDate="1" containsString="0" minDate="2019-12-31T00:00:00" maxDate="2020-03-18T00:00:00"/>
    </cacheField>
    <cacheField name="Month" numFmtId="14">
      <sharedItems containsBlank="1" count="4">
        <s v="Dec"/>
        <s v="Jan"/>
        <s v="Feb"/>
        <m/>
      </sharedItems>
    </cacheField>
    <cacheField name="Category type" numFmtId="14">
      <sharedItems/>
    </cacheField>
    <cacheField name="Category" numFmtId="0">
      <sharedItems count="6">
        <s v="Balance Carried Forward"/>
        <s v="Fornite Expense"/>
        <s v="Gift Received"/>
        <s v="Long Term Savings"/>
        <s v="Reimbursement"/>
        <s v="Earned Income"/>
      </sharedItems>
    </cacheField>
    <cacheField name="Phil's Expenses" numFmtId="0">
      <sharedItems/>
    </cacheField>
    <cacheField name="Amount" numFmtId="44">
      <sharedItems containsSemiMixedTypes="0" containsString="0" containsNumber="1" minValue="-24.99" maxValue="35" count="10">
        <n v="-4.82"/>
        <n v="-9.99"/>
        <n v="24.02"/>
        <n v="-9.2000000000000011"/>
        <n v="10"/>
        <n v="5"/>
        <n v="-4.99"/>
        <n v="0.22"/>
        <n v="35"/>
        <n v="-24.99"/>
      </sharedItems>
    </cacheField>
    <cacheField name="Running Balance" numFmtId="44">
      <sharedItems containsSemiMixedTypes="0" containsString="0" containsNumber="1" minValue="-14.81" maxValue="25.25999999999999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d v="2019-01-01T00:00:00"/>
    <x v="0"/>
    <x v="0"/>
    <x v="0"/>
    <m/>
    <n v="15.09"/>
    <n v="15.09"/>
  </r>
  <r>
    <d v="2019-01-21T00:00:00"/>
    <x v="0"/>
    <x v="1"/>
    <x v="1"/>
    <s v="$10 from Lauren"/>
    <n v="10"/>
    <n v="25.09"/>
  </r>
  <r>
    <d v="2019-01-21T00:00:00"/>
    <x v="0"/>
    <x v="1"/>
    <x v="1"/>
    <s v="$5 from Dad"/>
    <n v="5"/>
    <n v="30.09"/>
  </r>
  <r>
    <d v="2019-01-21T00:00:00"/>
    <x v="0"/>
    <x v="2"/>
    <x v="2"/>
    <s v="Transfer 40% to long term savings"/>
    <n v="-6"/>
    <n v="6.2171999999999983"/>
  </r>
  <r>
    <d v="2019-01-21T00:00:00"/>
    <x v="0"/>
    <x v="2"/>
    <x v="3"/>
    <s v="1000 Fortnite points at $9.99"/>
    <n v="-9.99"/>
    <n v="-3.7728000000000019"/>
  </r>
  <r>
    <d v="2019-02-27T00:00:00"/>
    <x v="1"/>
    <x v="1"/>
    <x v="4"/>
    <s v="Earned School Incentive $10 92% Math"/>
    <n v="10"/>
    <n v="6.2271999999999981"/>
  </r>
  <r>
    <d v="2019-03-02T00:00:00"/>
    <x v="2"/>
    <x v="1"/>
    <x v="5"/>
    <s v="$19.80 Bottle returns"/>
    <n v="19.8"/>
    <n v="26.027200000000001"/>
  </r>
  <r>
    <d v="2019-03-02T00:00:00"/>
    <x v="2"/>
    <x v="2"/>
    <x v="2"/>
    <s v="Transfer 40% to long term savings"/>
    <n v="-11.920000000000002"/>
    <n v="14.107199999999999"/>
  </r>
  <r>
    <d v="2019-03-02T00:00:00"/>
    <x v="2"/>
    <x v="2"/>
    <x v="3"/>
    <s v="1000 Fortnite points at $9.99"/>
    <n v="-9.99"/>
    <n v="4.1171999999999986"/>
  </r>
  <r>
    <d v="2019-03-02T00:00:00"/>
    <x v="2"/>
    <x v="2"/>
    <x v="3"/>
    <s v="Fortnite Cobalt Package"/>
    <n v="-4.99"/>
    <n v="-0.87280000000000157"/>
  </r>
  <r>
    <d v="2019-03-19T00:00:00"/>
    <x v="2"/>
    <x v="1"/>
    <x v="4"/>
    <s v="Earned School Incentive $12 100% 3/15 spelling test"/>
    <n v="12"/>
    <n v="11.127199999999998"/>
  </r>
  <r>
    <d v="2019-03-19T00:00:00"/>
    <x v="2"/>
    <x v="2"/>
    <x v="2"/>
    <s v="Transfer 40% to long term savings"/>
    <n v="-4.8000000000000007"/>
    <n v="6.3271999999999977"/>
  </r>
  <r>
    <d v="2019-04-13T00:00:00"/>
    <x v="3"/>
    <x v="1"/>
    <x v="4"/>
    <s v="Earned School Incentive $14 101% 3/29 Spelling Test"/>
    <n v="14"/>
    <n v="20.327199999999998"/>
  </r>
  <r>
    <d v="2019-04-13T00:00:00"/>
    <x v="3"/>
    <x v="2"/>
    <x v="3"/>
    <s v="ç"/>
    <n v="-5.6000000000000005"/>
    <n v="14.727199999999996"/>
  </r>
  <r>
    <d v="2019-04-13T00:00:00"/>
    <x v="3"/>
    <x v="2"/>
    <x v="3"/>
    <s v="Laguna Pack"/>
    <n v="-4.99"/>
    <n v="9.7371999999999961"/>
  </r>
  <r>
    <d v="2019-04-16T00:00:00"/>
    <x v="3"/>
    <x v="1"/>
    <x v="1"/>
    <s v="$10 Cash From Phil"/>
    <n v="10.5"/>
    <n v="20.237199999999994"/>
  </r>
  <r>
    <d v="2019-04-16T00:00:00"/>
    <x v="3"/>
    <x v="2"/>
    <x v="3"/>
    <s v="2800 Fortnite vBucks` $24.99"/>
    <n v="-24.99"/>
    <n v="-4.7528000000000041"/>
  </r>
  <r>
    <d v="2019-04-22T00:00:00"/>
    <x v="3"/>
    <x v="1"/>
    <x v="1"/>
    <s v="Gift to Phil for Easter"/>
    <n v="40"/>
    <n v="35.247199999999992"/>
  </r>
  <r>
    <d v="2019-04-22T00:00:00"/>
    <x v="3"/>
    <x v="2"/>
    <x v="6"/>
    <s v="Madden 19"/>
    <n v="-21.2"/>
    <n v="14.047199999999993"/>
  </r>
  <r>
    <d v="2019-04-22T00:00:00"/>
    <x v="3"/>
    <x v="1"/>
    <x v="5"/>
    <s v="Bottle Return"/>
    <n v="4.3"/>
    <n v="18.347199999999994"/>
  </r>
  <r>
    <d v="2019-04-22T00:00:00"/>
    <x v="3"/>
    <x v="1"/>
    <x v="5"/>
    <s v="Previous other income"/>
    <n v="2"/>
    <n v="20.347199999999994"/>
  </r>
  <r>
    <d v="2019-04-22T00:00:00"/>
    <x v="3"/>
    <x v="2"/>
    <x v="3"/>
    <s v="2800 Fortnite vBucks` $24.99"/>
    <n v="-24.99"/>
    <n v="-4.6428000000000047"/>
  </r>
  <r>
    <d v="2019-04-30T00:00:00"/>
    <x v="3"/>
    <x v="1"/>
    <x v="4"/>
    <s v="Earned School Incentive 93% Spelling Test"/>
    <n v="10"/>
    <n v="5.3571999999999953"/>
  </r>
  <r>
    <d v="2019-04-30T00:00:00"/>
    <x v="3"/>
    <x v="2"/>
    <x v="2"/>
    <s v="Transfer 40% to long term savings"/>
    <n v="-4"/>
    <n v="1.3571999999999953"/>
  </r>
  <r>
    <d v="2019-04-30T00:00:00"/>
    <x v="3"/>
    <x v="1"/>
    <x v="1"/>
    <s v="Misc. Input"/>
    <n v="4"/>
    <n v="5.3571999999999953"/>
  </r>
  <r>
    <d v="2019-04-30T00:00:00"/>
    <x v="3"/>
    <x v="2"/>
    <x v="3"/>
    <s v="Tier 99 Fortnite"/>
    <n v="-9.99"/>
    <n v="-4.6328000000000049"/>
  </r>
  <r>
    <d v="2019-05-08T00:00:00"/>
    <x v="4"/>
    <x v="1"/>
    <x v="4"/>
    <s v="93% Vocab test"/>
    <n v="10"/>
    <n v="5.3671999999999951"/>
  </r>
  <r>
    <d v="2019-05-08T00:00:00"/>
    <x v="4"/>
    <x v="2"/>
    <x v="2"/>
    <s v="Transfer 40% to long term savings"/>
    <n v="-4"/>
    <n v="1.3671999999999951"/>
  </r>
  <r>
    <d v="2019-05-08T00:00:00"/>
    <x v="4"/>
    <x v="1"/>
    <x v="1"/>
    <s v="Misc. Input"/>
    <n v="20"/>
    <n v="21.367199999999997"/>
  </r>
  <r>
    <d v="2019-05-08T00:00:00"/>
    <x v="4"/>
    <x v="2"/>
    <x v="3"/>
    <s v="2800 Fortnite vBucks` $24.99"/>
    <n v="-24.99"/>
    <n v="-3.6228000000000016"/>
  </r>
  <r>
    <d v="2019-05-20T00:00:00"/>
    <x v="4"/>
    <x v="1"/>
    <x v="4"/>
    <s v="Earned School Incentive 101% Spelling Test + Misc Income .25"/>
    <n v="14.25"/>
    <n v="10.627199999999998"/>
  </r>
  <r>
    <d v="2019-05-21T00:00:00"/>
    <x v="4"/>
    <x v="1"/>
    <x v="1"/>
    <s v="Gift from Dad"/>
    <n v="0.25"/>
    <n v="10.877199999999998"/>
  </r>
  <r>
    <d v="2019-05-20T00:00:00"/>
    <x v="4"/>
    <x v="2"/>
    <x v="2"/>
    <s v="Transfer 40% to long term savings"/>
    <n v="-5.6000000000000005"/>
    <n v="5.2771999999999979"/>
  </r>
  <r>
    <d v="2019-06-12T00:00:00"/>
    <x v="5"/>
    <x v="1"/>
    <x v="5"/>
    <s v="Pop  Can Return"/>
    <n v="10"/>
    <n v="15.277199999999997"/>
  </r>
  <r>
    <d v="2019-06-12T00:00:00"/>
    <x v="5"/>
    <x v="2"/>
    <x v="2"/>
    <s v="Transfer 40% to long term savings"/>
    <n v="-4"/>
    <n v="11.277199999999997"/>
  </r>
  <r>
    <d v="2019-06-12T00:00:00"/>
    <x v="5"/>
    <x v="2"/>
    <x v="6"/>
    <s v="Purchase Madden NFL 19 Ultimate Team 1050 Points Pack"/>
    <n v="-10.59"/>
    <n v="0.68719999999999715"/>
  </r>
  <r>
    <d v="2019-06-12T00:00:00"/>
    <x v="5"/>
    <x v="2"/>
    <x v="6"/>
    <s v="_x000a_ Madden NFL 19 Ultimate Team 500 Points Pack_x0009_Madden NFL 19 Ultimate Team 500 Points Pack"/>
    <n v="-5.29"/>
    <n v="-4.6028000000000029"/>
  </r>
  <r>
    <d v="2019-07-06T00:00:00"/>
    <x v="6"/>
    <x v="1"/>
    <x v="5"/>
    <s v="Work picking weeds in backyard for 1 hour"/>
    <n v="10"/>
    <n v="5.3971999999999971"/>
  </r>
  <r>
    <d v="2019-07-06T00:00:00"/>
    <x v="6"/>
    <x v="2"/>
    <x v="3"/>
    <s v="Fortnite Wilde pack"/>
    <n v="-4.99"/>
    <n v="0.4071999999999969"/>
  </r>
  <r>
    <d v="2019-08-06T00:00:00"/>
    <x v="7"/>
    <x v="2"/>
    <x v="3"/>
    <s v="HiPixel VIP Rank"/>
    <n v="-4.8899999999999997"/>
    <n v="-4.4828000000000028"/>
  </r>
  <r>
    <d v="2019-08-09T00:00:00"/>
    <x v="7"/>
    <x v="1"/>
    <x v="1"/>
    <s v="$20 for food at game"/>
    <n v="20"/>
    <n v="15.517199999999997"/>
  </r>
  <r>
    <d v="2019-08-09T00:00:00"/>
    <x v="7"/>
    <x v="2"/>
    <x v="2"/>
    <s v="Transfer 40% to long term savings"/>
    <n v="-8"/>
    <n v="7.5171999999999972"/>
  </r>
  <r>
    <d v="2019-08-09T00:00:00"/>
    <x v="7"/>
    <x v="2"/>
    <x v="3"/>
    <s v="1000 Fornite vBucks at $9.99"/>
    <n v="-9.99"/>
    <n v="-2.472800000000003"/>
  </r>
  <r>
    <d v="2019-08-17T00:00:00"/>
    <x v="7"/>
    <x v="1"/>
    <x v="1"/>
    <s v="$10 for stuff at football game"/>
    <n v="10"/>
    <n v="7.527199999999997"/>
  </r>
  <r>
    <d v="2019-08-18T00:00:00"/>
    <x v="7"/>
    <x v="2"/>
    <x v="3"/>
    <s v="Transfer 40% to long term savings"/>
    <n v="-4"/>
    <n v="3.527199999999997"/>
  </r>
  <r>
    <d v="2019-08-18T00:00:00"/>
    <x v="7"/>
    <x v="2"/>
    <x v="3"/>
    <s v="Red Strike Fortnite Pack"/>
    <n v="-4.99"/>
    <n v="-1.4628000000000032"/>
  </r>
  <r>
    <d v="2019-12-27T00:00:00"/>
    <x v="8"/>
    <x v="1"/>
    <x v="1"/>
    <s v="Gift from Aunt Betty"/>
    <n v="10"/>
    <n v="8.5371999999999968"/>
  </r>
  <r>
    <d v="2019-12-27T00:00:00"/>
    <x v="8"/>
    <x v="1"/>
    <x v="1"/>
    <s v="Gift from Grandma Prost"/>
    <n v="25"/>
    <n v="33.537199999999999"/>
  </r>
  <r>
    <d v="2019-12-28T00:00:00"/>
    <x v="8"/>
    <x v="2"/>
    <x v="2"/>
    <s v="Transfer 40% to long term savings"/>
    <n v="-14"/>
    <n v="19.537199999999999"/>
  </r>
  <r>
    <d v="2019-12-28T00:00:00"/>
    <x v="8"/>
    <x v="2"/>
    <x v="3"/>
    <s v="Fortnite WaveBreaker Pack"/>
    <n v="-4.99"/>
    <n v="14.547199999999998"/>
  </r>
  <r>
    <d v="2019-12-28T00:00:00"/>
    <x v="8"/>
    <x v="2"/>
    <x v="3"/>
    <s v="1000 Fornite vBucks at $9.99"/>
    <n v="-9.99"/>
    <n v="4.5571999999999981"/>
  </r>
  <r>
    <d v="2019-12-28T00:00:00"/>
    <x v="8"/>
    <x v="1"/>
    <x v="1"/>
    <s v="$.61 cents lying around"/>
    <n v="0.61"/>
    <n v="5.1671999999999985"/>
  </r>
  <r>
    <d v="2019-12-28T00:00:00"/>
    <x v="8"/>
    <x v="2"/>
    <x v="3"/>
    <s v="1000 Fornite vBucks at $9.99"/>
    <n v="-9.99"/>
    <n v="-4.822800000000001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d v="2018-01-31T00:00:00"/>
    <x v="0"/>
    <x v="0"/>
    <x v="0"/>
    <s v="Dad Owes"/>
    <n v="5"/>
    <n v="5"/>
  </r>
  <r>
    <d v="2018-03-04T00:00:00"/>
    <x v="1"/>
    <x v="0"/>
    <x v="1"/>
    <s v="Earned School Incentive"/>
    <n v="20"/>
    <n v="25"/>
  </r>
  <r>
    <d v="2018-03-04T00:00:00"/>
    <x v="1"/>
    <x v="1"/>
    <x v="2"/>
    <s v="Xbox 100 Madden18 points"/>
    <n v="-1.58"/>
    <n v="23.42"/>
  </r>
  <r>
    <d v="2018-03-04T00:00:00"/>
    <x v="1"/>
    <x v="1"/>
    <x v="2"/>
    <s v="Xbox Gold 3 months @ $5/month + tax"/>
    <n v="-15.89"/>
    <n v="7.5300000000000011"/>
  </r>
  <r>
    <d v="2018-03-20T00:00:00"/>
    <x v="1"/>
    <x v="0"/>
    <x v="1"/>
    <s v="March 20 Earned School Incentive"/>
    <n v="30"/>
    <n v="37.53"/>
  </r>
  <r>
    <d v="2018-03-20T00:00:00"/>
    <x v="1"/>
    <x v="1"/>
    <x v="3"/>
    <s v="500 Madden 18 points at $4.99 + 6% tax"/>
    <n v="-5.29"/>
    <n v="32.24"/>
  </r>
  <r>
    <d v="2018-03-20T00:00:00"/>
    <x v="1"/>
    <x v="1"/>
    <x v="2"/>
    <s v="2500 Xbox fortnight points at $24.99 + 6% tax"/>
    <n v="-26.4894"/>
    <n v="5.7506000000000022"/>
  </r>
  <r>
    <d v="2018-04-12T00:00:00"/>
    <x v="2"/>
    <x v="1"/>
    <x v="4"/>
    <s v="1000 Fornite points at $9.99 + 6% tax"/>
    <n v="-10.589399999999999"/>
    <n v="-4.8387999999999973"/>
  </r>
  <r>
    <d v="2018-09-27T00:00:00"/>
    <x v="3"/>
    <x v="0"/>
    <x v="5"/>
    <s v="Earned Household Labor Collect Bottles, Bring To Bottle return dispenser"/>
    <n v="14.6"/>
    <n v="9.7612000000000023"/>
  </r>
  <r>
    <d v="2018-09-27T00:00:00"/>
    <x v="3"/>
    <x v="1"/>
    <x v="4"/>
    <s v="Fortnite 1000 vBucks"/>
    <n v="-9.99"/>
    <n v="-0.22879999999999789"/>
  </r>
  <r>
    <d v="2018-09-29T00:00:00"/>
    <x v="3"/>
    <x v="0"/>
    <x v="5"/>
    <s v=" Earned Household Labor Cut lawn"/>
    <n v="20"/>
    <n v="19.7712"/>
  </r>
  <r>
    <d v="2018-09-29T00:00:00"/>
    <x v="3"/>
    <x v="1"/>
    <x v="4"/>
    <s v="Fortnite 2000 vBucks"/>
    <n v="-19.989999999999998"/>
    <n v="-0.21879999999999811"/>
  </r>
  <r>
    <d v="2018-10-11T00:00:00"/>
    <x v="4"/>
    <x v="0"/>
    <x v="5"/>
    <s v=" Earned Household Labor Cut lawn"/>
    <n v="20"/>
    <n v="19.781200000000002"/>
  </r>
  <r>
    <d v="2018-10-11T00:00:00"/>
    <x v="4"/>
    <x v="1"/>
    <x v="4"/>
    <s v="Fortnite 1000 vBucks"/>
    <n v="-9.99"/>
    <n v="9.7912000000000017"/>
  </r>
  <r>
    <d v="2018-10-11T00:00:00"/>
    <x v="4"/>
    <x v="1"/>
    <x v="4"/>
    <s v="Fortnite 1000 vBucks"/>
    <n v="-9.99"/>
    <n v="-0.19879999999999853"/>
  </r>
  <r>
    <d v="2018-10-15T00:00:00"/>
    <x v="4"/>
    <x v="0"/>
    <x v="1"/>
    <s v="Earned School Incentive Unit 3 Spelling Test 100%"/>
    <n v="12"/>
    <n v="11.801200000000001"/>
  </r>
  <r>
    <d v="2018-10-15T00:00:00"/>
    <x v="4"/>
    <x v="1"/>
    <x v="4"/>
    <s v="Fortnite 1000 vBucks"/>
    <n v="-9.99"/>
    <n v="1.8112000000000013"/>
  </r>
  <r>
    <d v="2018-10-24T00:00:00"/>
    <x v="4"/>
    <x v="0"/>
    <x v="6"/>
    <s v="Birthday Gift Money"/>
    <n v="35"/>
    <n v="36.811199999999999"/>
  </r>
  <r>
    <d v="2018-10-24T00:00:00"/>
    <x v="4"/>
    <x v="1"/>
    <x v="4"/>
    <s v="Fortnite 2500 vBucks"/>
    <n v="-24.99"/>
    <n v="11.821200000000001"/>
  </r>
  <r>
    <d v="2018-10-24T00:00:00"/>
    <x v="4"/>
    <x v="1"/>
    <x v="7"/>
    <s v="Gaming Mouse"/>
    <n v="-8.99"/>
    <n v="2.8312000000000008"/>
  </r>
  <r>
    <d v="2018-10-29T00:00:00"/>
    <x v="4"/>
    <x v="0"/>
    <x v="1"/>
    <s v="Earned School Incentive Unit 4 Spelling Test 100%"/>
    <n v="12"/>
    <n v="14.831200000000001"/>
  </r>
  <r>
    <d v="2018-10-29T00:00:00"/>
    <x v="4"/>
    <x v="1"/>
    <x v="4"/>
    <s v="1000 Fornite points at $9.99"/>
    <n v="-9.99"/>
    <n v="4.8412000000000006"/>
  </r>
  <r>
    <d v="2018-10-30T00:00:00"/>
    <x v="4"/>
    <x v="0"/>
    <x v="6"/>
    <s v="From Room"/>
    <n v="0.35"/>
    <n v="5.1912000000000003"/>
  </r>
  <r>
    <d v="2018-10-30T00:00:00"/>
    <x v="4"/>
    <x v="1"/>
    <x v="4"/>
    <s v="1000 Fornite points at $9.99"/>
    <n v="-9.99"/>
    <n v="-4.7988"/>
  </r>
  <r>
    <d v="2018-11-10T00:00:00"/>
    <x v="5"/>
    <x v="0"/>
    <x v="5"/>
    <s v="Rake Leaves front and back yards at $25"/>
    <n v="25"/>
    <n v="20.2012"/>
  </r>
  <r>
    <m/>
    <x v="6"/>
    <x v="2"/>
    <x v="8"/>
    <m/>
    <m/>
    <m/>
  </r>
  <r>
    <d v="2018-11-10T00:00:00"/>
    <x v="5"/>
    <x v="1"/>
    <x v="9"/>
    <s v="Transfer 40% to long term savings"/>
    <n v="-10"/>
    <n v="10.2012"/>
  </r>
  <r>
    <d v="2018-11-10T00:00:00"/>
    <x v="5"/>
    <x v="1"/>
    <x v="4"/>
    <s v="1000 Fornite points at $9.99"/>
    <n v="-9.99"/>
    <n v="0.21119999999999983"/>
  </r>
  <r>
    <d v="2018-11-12T00:00:00"/>
    <x v="5"/>
    <x v="0"/>
    <x v="5"/>
    <s v="Rake leaves back yard additional $10/hr * 1.5 hours"/>
    <n v="15"/>
    <n v="15.2112"/>
  </r>
  <r>
    <d v="2018-11-12T00:00:00"/>
    <x v="5"/>
    <x v="1"/>
    <x v="9"/>
    <s v="Transfer 40% to long term savings"/>
    <n v="-6"/>
    <n v="9.2111999999999998"/>
  </r>
  <r>
    <d v="2018-11-12T00:00:00"/>
    <x v="5"/>
    <x v="1"/>
    <x v="4"/>
    <s v="1000 Fornite points at $9.99"/>
    <n v="-9.99"/>
    <n v="-0.77880000000000038"/>
  </r>
  <r>
    <d v="2018-11-12T00:00:00"/>
    <x v="5"/>
    <x v="0"/>
    <x v="1"/>
    <s v="Earned School Incentive A+ + extra credit on spelling test"/>
    <n v="14"/>
    <n v="13.2212"/>
  </r>
  <r>
    <d v="2018-11-12T00:00:00"/>
    <x v="5"/>
    <x v="1"/>
    <x v="9"/>
    <s v="Transfer 40% to long term savings"/>
    <n v="-5.6000000000000005"/>
    <n v="7.6211999999999991"/>
  </r>
  <r>
    <d v="2018-11-12T00:00:00"/>
    <x v="5"/>
    <x v="1"/>
    <x v="4"/>
    <s v="1000 Fornite points at $9.99"/>
    <n v="-9.99"/>
    <n v="-2.3688000000000011"/>
  </r>
  <r>
    <d v="2018-12-05T00:00:00"/>
    <x v="7"/>
    <x v="0"/>
    <x v="5"/>
    <s v="Bottle return"/>
    <n v="12"/>
    <n v="9.6311999999999998"/>
  </r>
  <r>
    <d v="2018-12-05T00:00:00"/>
    <x v="7"/>
    <x v="0"/>
    <x v="6"/>
    <s v="From Phil"/>
    <n v="0.36"/>
    <n v="9.9911999999999992"/>
  </r>
  <r>
    <d v="2018-12-05T00:00:00"/>
    <x v="7"/>
    <x v="0"/>
    <x v="6"/>
    <s v="from Dad"/>
    <n v="0.25"/>
    <n v="10.241199999999999"/>
  </r>
  <r>
    <d v="2018-12-05T00:00:00"/>
    <x v="7"/>
    <x v="1"/>
    <x v="9"/>
    <s v="Transfer 40% to long term savings"/>
    <n v="-5.0440000000000005"/>
    <n v="5.1971999999999987"/>
  </r>
  <r>
    <d v="2018-12-05T00:00:00"/>
    <x v="7"/>
    <x v="1"/>
    <x v="4"/>
    <s v="1000 Fortnite points at $9.99"/>
    <n v="-9.99"/>
    <n v="-4.7928000000000015"/>
  </r>
  <r>
    <d v="2018-12-08T00:00:00"/>
    <x v="7"/>
    <x v="0"/>
    <x v="5"/>
    <s v="Help with Christmas attic stuff"/>
    <n v="5"/>
    <n v="0.2071999999999985"/>
  </r>
  <r>
    <d v="2018-12-08T00:00:00"/>
    <x v="7"/>
    <x v="0"/>
    <x v="5"/>
    <s v="Help with Christmas attic stuff"/>
    <n v="1.3333333333333333"/>
    <n v="1.5405333333333318"/>
  </r>
  <r>
    <d v="2018-12-09T00:00:00"/>
    <x v="7"/>
    <x v="0"/>
    <x v="5"/>
    <s v="Help with Christmas attic stuff"/>
    <n v="5"/>
    <n v="6.5405333333333315"/>
  </r>
  <r>
    <d v="2018-12-09T00:00:00"/>
    <x v="7"/>
    <x v="0"/>
    <x v="6"/>
    <s v="From Phil"/>
    <n v="2"/>
    <n v="8.5405333333333324"/>
  </r>
  <r>
    <d v="2018-12-09T00:00:00"/>
    <x v="7"/>
    <x v="0"/>
    <x v="5"/>
    <s v="Help set up Christmas Tree"/>
    <n v="5"/>
    <n v="13.540533333333332"/>
  </r>
  <r>
    <d v="2018-12-09T00:00:00"/>
    <x v="7"/>
    <x v="1"/>
    <x v="9"/>
    <s v="Transfer 40% to long term savings"/>
    <n v="-7.333333333333333"/>
    <n v="6.2071999999999994"/>
  </r>
  <r>
    <d v="2018-12-09T00:00:00"/>
    <x v="7"/>
    <x v="1"/>
    <x v="4"/>
    <s v="1000 Fortnite points at $9.99"/>
    <n v="-9.99"/>
    <n v="-3.7828000000000008"/>
  </r>
  <r>
    <d v="2018-12-21T00:00:00"/>
    <x v="7"/>
    <x v="0"/>
    <x v="1"/>
    <s v="Earned School Incentive 97% vocab test"/>
    <n v="10"/>
    <n v="6.2171999999999992"/>
  </r>
  <r>
    <d v="2018-12-21T00:00:00"/>
    <x v="7"/>
    <x v="1"/>
    <x v="9"/>
    <s v="Transfer 40% to long term savings"/>
    <n v="-4"/>
    <n v="2.2171999999999992"/>
  </r>
  <r>
    <d v="2018-12-21T00:00:00"/>
    <x v="7"/>
    <x v="0"/>
    <x v="5"/>
    <s v="work around the house"/>
    <n v="10"/>
    <n v="12.217199999999998"/>
  </r>
  <r>
    <d v="2018-12-27T00:00:00"/>
    <x v="7"/>
    <x v="1"/>
    <x v="10"/>
    <s v="Cash directly to Phil"/>
    <n v="-3"/>
    <n v="9.2171999999999983"/>
  </r>
  <r>
    <d v="2018-12-27T00:00:00"/>
    <x v="7"/>
    <x v="0"/>
    <x v="6"/>
    <s v="Christmas gift from Grandma"/>
    <n v="100"/>
    <n v="109.21719999999999"/>
  </r>
  <r>
    <d v="2018-12-27T00:00:00"/>
    <x v="7"/>
    <x v="0"/>
    <x v="6"/>
    <s v="From Aunt Betty"/>
    <n v="10"/>
    <n v="119.21719999999999"/>
  </r>
  <r>
    <d v="2018-12-27T00:00:00"/>
    <x v="7"/>
    <x v="1"/>
    <x v="9"/>
    <s v="Transfer 40% to long term savings"/>
    <n v="-44"/>
    <n v="75.217199999999991"/>
  </r>
  <r>
    <d v="2018-12-27T00:00:00"/>
    <x v="7"/>
    <x v="1"/>
    <x v="4"/>
    <s v="Fortnite deepfreeze bundle"/>
    <n v="-29.99"/>
    <n v="45.227199999999996"/>
  </r>
  <r>
    <d v="2018-12-27T00:00:00"/>
    <x v="7"/>
    <x v="1"/>
    <x v="4"/>
    <s v="Fortnite Frozen Legends"/>
    <n v="-24.99"/>
    <n v="20.237199999999998"/>
  </r>
  <r>
    <d v="2018-12-27T00:00:00"/>
    <x v="7"/>
    <x v="1"/>
    <x v="4"/>
    <s v="1000 Fortnite points at $9.99"/>
    <n v="-9.99"/>
    <n v="10.24719999999999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d v="2019-12-31T00:00:00"/>
    <x v="0"/>
    <s v="3. Not Tracked"/>
    <x v="0"/>
    <s v="Balance Carried Forward"/>
    <x v="0"/>
    <n v="-4.82"/>
  </r>
  <r>
    <d v="2020-01-01T00:00:00"/>
    <x v="1"/>
    <s v="2. Expense"/>
    <x v="1"/>
    <s v="1000 Fornite vBucks at $9.99 Identified in Visa / not recorded first"/>
    <x v="1"/>
    <n v="-14.81"/>
  </r>
  <r>
    <d v="2020-02-01T00:00:00"/>
    <x v="2"/>
    <s v="1. Income"/>
    <x v="2"/>
    <s v="$23 from Dad to bring balance above zero"/>
    <x v="2"/>
    <n v="9.2099999999999991"/>
  </r>
  <r>
    <d v="2020-02-01T00:00:00"/>
    <x v="2"/>
    <s v="3. Transfer"/>
    <x v="3"/>
    <s v="Transfer 40% to long term savings"/>
    <x v="3"/>
    <n v="9.9999999999980105E-3"/>
  </r>
  <r>
    <d v="2020-02-01T00:00:00"/>
    <x v="2"/>
    <s v="2. Expense"/>
    <x v="1"/>
    <s v="1000 Fornite vBucks at $9.99 Identified in Visa / not recorded first"/>
    <x v="1"/>
    <n v="-9.9800000000000022"/>
  </r>
  <r>
    <d v="2020-02-10T00:00:00"/>
    <x v="2"/>
    <s v="1. Income"/>
    <x v="4"/>
    <s v="$10 Reimbursement for loan"/>
    <x v="4"/>
    <n v="1.9999999999997797E-2"/>
  </r>
  <r>
    <d v="2020-02-15T00:00:00"/>
    <x v="2"/>
    <s v="2. Expense"/>
    <x v="1"/>
    <s v="$10 loan"/>
    <x v="1"/>
    <n v="-9.9700000000000024"/>
  </r>
  <r>
    <d v="2020-02-20T00:00:00"/>
    <x v="2"/>
    <s v="1. Income"/>
    <x v="2"/>
    <s v="$5 from Mom"/>
    <x v="5"/>
    <n v="-4.9700000000000024"/>
  </r>
  <r>
    <d v="2020-02-20T00:00:00"/>
    <x v="3"/>
    <s v="2. Expense"/>
    <x v="1"/>
    <s v="skin"/>
    <x v="6"/>
    <n v="-9.9600000000000026"/>
  </r>
  <r>
    <d v="2020-03-16T00:00:00"/>
    <x v="3"/>
    <s v="1. Income"/>
    <x v="5"/>
    <s v="Found $0.22 "/>
    <x v="7"/>
    <n v="-9.740000000000002"/>
  </r>
  <r>
    <d v="2020-03-17T00:00:00"/>
    <x v="3"/>
    <s v="1. Income"/>
    <x v="5"/>
    <s v="Worked for 3.5 hours around the house"/>
    <x v="8"/>
    <n v="25.259999999999998"/>
  </r>
  <r>
    <d v="2020-03-17T00:00:00"/>
    <x v="3"/>
    <s v="2. Expense"/>
    <x v="1"/>
    <s v="2500 vBucks"/>
    <x v="9"/>
    <n v="0.2699999999999995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BF529E-E8A3-3C48-876E-06D2C36C9D05}"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L2:U14" firstHeaderRow="1" firstDataRow="2" firstDataCol="1"/>
  <pivotFields count="7">
    <pivotField numFmtId="14" showAll="0"/>
    <pivotField axis="axisCol" showAll="0">
      <items count="10">
        <item x="0"/>
        <item x="1"/>
        <item x="2"/>
        <item m="1" x="8"/>
        <item x="3"/>
        <item x="4"/>
        <item x="5"/>
        <item x="7"/>
        <item x="6"/>
        <item t="default"/>
      </items>
    </pivotField>
    <pivotField axis="axisRow" showAll="0">
      <items count="4">
        <item sd="0" x="0"/>
        <item x="1"/>
        <item x="2"/>
        <item t="default"/>
      </items>
    </pivotField>
    <pivotField axis="axisRow" showAll="0">
      <items count="13">
        <item x="7"/>
        <item x="0"/>
        <item x="4"/>
        <item x="6"/>
        <item x="1"/>
        <item x="5"/>
        <item x="9"/>
        <item x="3"/>
        <item m="1" x="11"/>
        <item x="10"/>
        <item x="2"/>
        <item x="8"/>
        <item t="default"/>
      </items>
    </pivotField>
    <pivotField showAll="0"/>
    <pivotField dataField="1" showAll="0"/>
    <pivotField showAll="0"/>
  </pivotFields>
  <rowFields count="2">
    <field x="2"/>
    <field x="3"/>
  </rowFields>
  <rowItems count="11">
    <i>
      <x/>
    </i>
    <i>
      <x v="1"/>
    </i>
    <i r="1">
      <x/>
    </i>
    <i r="1">
      <x v="2"/>
    </i>
    <i r="1">
      <x v="6"/>
    </i>
    <i r="1">
      <x v="7"/>
    </i>
    <i r="1">
      <x v="9"/>
    </i>
    <i r="1">
      <x v="10"/>
    </i>
    <i>
      <x v="2"/>
    </i>
    <i r="1">
      <x v="11"/>
    </i>
    <i t="grand">
      <x/>
    </i>
  </rowItems>
  <colFields count="1">
    <field x="1"/>
  </colFields>
  <colItems count="9">
    <i>
      <x/>
    </i>
    <i>
      <x v="1"/>
    </i>
    <i>
      <x v="2"/>
    </i>
    <i>
      <x v="4"/>
    </i>
    <i>
      <x v="5"/>
    </i>
    <i>
      <x v="6"/>
    </i>
    <i>
      <x v="7"/>
    </i>
    <i>
      <x v="8"/>
    </i>
    <i t="grand">
      <x/>
    </i>
  </colItems>
  <dataFields count="1">
    <dataField name="Phil's Expenses 2018" fld="5" baseField="0" baseItem="0" numFmtId="44"/>
  </dataFields>
  <formats count="1">
    <format dxfId="29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5E6CED7-EFA6-6541-B69A-B35EED38BE2D}"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
  <location ref="L19:V31" firstHeaderRow="1" firstDataRow="2" firstDataCol="1"/>
  <pivotFields count="7">
    <pivotField numFmtId="14" showAll="0"/>
    <pivotField axis="axisCol" showAll="0">
      <items count="10">
        <item x="0"/>
        <item x="1"/>
        <item x="2"/>
        <item x="3"/>
        <item x="4"/>
        <item x="5"/>
        <item x="6"/>
        <item x="7"/>
        <item x="8"/>
        <item t="default"/>
      </items>
    </pivotField>
    <pivotField axis="axisRow" showAll="0">
      <items count="4">
        <item x="1"/>
        <item x="2"/>
        <item x="0"/>
        <item t="default"/>
      </items>
    </pivotField>
    <pivotField axis="axisRow" showAll="0">
      <items count="8">
        <item x="0"/>
        <item x="3"/>
        <item x="1"/>
        <item x="4"/>
        <item x="5"/>
        <item x="2"/>
        <item x="6"/>
        <item t="default"/>
      </items>
    </pivotField>
    <pivotField showAll="0"/>
    <pivotField dataField="1" showAll="0"/>
    <pivotField showAll="0"/>
  </pivotFields>
  <rowFields count="2">
    <field x="2"/>
    <field x="3"/>
  </rowFields>
  <rowItems count="11">
    <i>
      <x/>
    </i>
    <i r="1">
      <x v="2"/>
    </i>
    <i r="1">
      <x v="3"/>
    </i>
    <i r="1">
      <x v="4"/>
    </i>
    <i>
      <x v="1"/>
    </i>
    <i r="1">
      <x v="1"/>
    </i>
    <i r="1">
      <x v="5"/>
    </i>
    <i r="1">
      <x v="6"/>
    </i>
    <i>
      <x v="2"/>
    </i>
    <i r="1">
      <x/>
    </i>
    <i t="grand">
      <x/>
    </i>
  </rowItems>
  <colFields count="1">
    <field x="1"/>
  </colFields>
  <colItems count="10">
    <i>
      <x/>
    </i>
    <i>
      <x v="1"/>
    </i>
    <i>
      <x v="2"/>
    </i>
    <i>
      <x v="3"/>
    </i>
    <i>
      <x v="4"/>
    </i>
    <i>
      <x v="5"/>
    </i>
    <i>
      <x v="6"/>
    </i>
    <i>
      <x v="7"/>
    </i>
    <i>
      <x v="8"/>
    </i>
    <i t="grand">
      <x/>
    </i>
  </colItems>
  <dataFields count="1">
    <dataField name="2019 Phil's Income/Expense " fld="5" baseField="0" baseItem="0" numFmtId="44"/>
  </dataFields>
  <formats count="1">
    <format dxfId="29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FCCD1C-6DF7-DC4D-ABFD-8649BA7A4FF6}"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L33:Q41" firstHeaderRow="1" firstDataRow="2" firstDataCol="1"/>
  <pivotFields count="7">
    <pivotField numFmtId="14" showAll="0"/>
    <pivotField axis="axisCol" showAll="0">
      <items count="5">
        <item x="1"/>
        <item x="2"/>
        <item x="0"/>
        <item x="3"/>
        <item t="default"/>
      </items>
    </pivotField>
    <pivotField showAll="0"/>
    <pivotField axis="axisRow" showAll="0">
      <items count="7">
        <item x="0"/>
        <item x="5"/>
        <item x="1"/>
        <item x="2"/>
        <item x="3"/>
        <item x="4"/>
        <item t="default"/>
      </items>
    </pivotField>
    <pivotField showAll="0"/>
    <pivotField dataField="1" numFmtId="44" showAll="0">
      <items count="11">
        <item x="9"/>
        <item x="1"/>
        <item x="3"/>
        <item x="6"/>
        <item x="0"/>
        <item x="7"/>
        <item x="5"/>
        <item x="4"/>
        <item x="2"/>
        <item x="8"/>
        <item t="default"/>
      </items>
    </pivotField>
    <pivotField numFmtId="44" showAll="0"/>
  </pivotFields>
  <rowFields count="1">
    <field x="3"/>
  </rowFields>
  <rowItems count="7">
    <i>
      <x/>
    </i>
    <i>
      <x v="1"/>
    </i>
    <i>
      <x v="2"/>
    </i>
    <i>
      <x v="3"/>
    </i>
    <i>
      <x v="4"/>
    </i>
    <i>
      <x v="5"/>
    </i>
    <i t="grand">
      <x/>
    </i>
  </rowItems>
  <colFields count="1">
    <field x="1"/>
  </colFields>
  <colItems count="5">
    <i>
      <x/>
    </i>
    <i>
      <x v="1"/>
    </i>
    <i>
      <x v="2"/>
    </i>
    <i>
      <x v="3"/>
    </i>
    <i t="grand">
      <x/>
    </i>
  </colItems>
  <dataFields count="1">
    <dataField name="Sum of 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72E37F7-3930-9B47-8B4B-1DE730A4FAAE}" name="Table4" displayName="Table4" ref="A2:B14" totalsRowShown="0" headerRowDxfId="302">
  <autoFilter ref="A2:B14" xr:uid="{501BAC70-B4E0-FC46-A967-DAC48A31E7A7}"/>
  <tableColumns count="2">
    <tableColumn id="1" xr3:uid="{40F46FDC-E057-8148-95CE-CBF2CE6BD16D}" name="Month Number"/>
    <tableColumn id="2" xr3:uid="{0C7710F6-680D-4B45-824C-E1D0B89BE0C6}" name="Enumerated Mont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021DDF5-9D6C-C34B-BBD8-8CA422EFD83D}" name="Table2" displayName="Table2" ref="E1:K153" totalsRowShown="0" headerRowDxfId="301">
  <autoFilter ref="E1:K153" xr:uid="{9F8475DD-BCB1-1842-B210-6A055E170146}"/>
  <sortState xmlns:xlrd2="http://schemas.microsoft.com/office/spreadsheetml/2017/richdata2" ref="E2:G153">
    <sortCondition ref="F1:F153"/>
  </sortState>
  <tableColumns count="7">
    <tableColumn id="1" xr3:uid="{B607C5C1-5199-3347-A6DF-80EAA4279FBB}" name="Number words" dataDxfId="300">
      <calculatedColumnFormula>IF(LEN(TRIM(F2))=0,0,LEN(TRIM(F2))-LEN(SUBSTITUTE(F2," ",""))+1)</calculatedColumnFormula>
    </tableColumn>
    <tableColumn id="2" xr3:uid="{AF484D20-7904-6F4F-A425-E1BC097760FC}" name="Description" dataDxfId="299"/>
    <tableColumn id="3" xr3:uid="{90575F76-92A0-3D45-9CAA-12E2C54745F2}" name="Category" dataDxfId="298"/>
    <tableColumn id="6" xr3:uid="{D2E0E83F-4AF3-4CBB-A933-4341B5CC0007}" name="First Char Description" dataDxfId="297">
      <calculatedColumnFormula>CODE(F2)</calculatedColumnFormula>
    </tableColumn>
    <tableColumn id="7" xr3:uid="{88F21BAF-6935-4F17-BBC5-230B75E06F7F}" name="Last char Descr" dataDxfId="296">
      <calculatedColumnFormula>CODE(MID(Table2[[#This Row],[Description]],LEN(Table2[[#This Row],[Description]]),1))</calculatedColumnFormula>
    </tableColumn>
    <tableColumn id="4" xr3:uid="{D57AC46D-713E-4348-B590-85DDFDBFF0C3}" name="First Char Space?" dataDxfId="295">
      <calculatedColumnFormula>CODE(G2)</calculatedColumnFormula>
    </tableColumn>
    <tableColumn id="5" xr3:uid="{7E4649A9-5E52-408A-98AA-59DF3BE61681}" name="Last Char Space" dataDxfId="294">
      <calculatedColumnFormula>CODE(MID(Table2[[#This Row],[Category]],LEN(Table2[[#This Row],[Category]]),1))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0F6706-9602-4ADB-BBCF-1D46F7BFF9A8}" name="Table5" displayName="Table5" ref="A16:B24" totalsRowShown="0">
  <autoFilter ref="A16:B24" xr:uid="{D1DF279A-F1A4-4CE7-A424-0E68E261F433}"/>
  <tableColumns count="2">
    <tableColumn id="1" xr3:uid="{D15E7CF6-AADB-42EB-AFFC-59839F29A930}" name="Source"/>
    <tableColumn id="2" xr3:uid="{937D0AA2-06D0-4AA7-8923-D75A1046AAFD}" name="Col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085A21-5C39-664C-8A8C-176754C695D2}" name="Table3" displayName="Table3" ref="A60:G113" totalsRowShown="0">
  <autoFilter ref="A60:G113" xr:uid="{3DBC14AA-5271-AE40-885C-04A3E9CE2B3E}"/>
  <tableColumns count="7">
    <tableColumn id="1" xr3:uid="{B77448FE-E70F-B142-A98D-69EFEAB55DF8}" name="Date" dataDxfId="291"/>
    <tableColumn id="2" xr3:uid="{5D7E34E5-5232-504E-8DB6-1B4CCD590D0D}" name="Month" dataDxfId="290">
      <calculatedColumnFormula>VLOOKUP(MONTH(A61),'Lookup Tables'!$A$3:$B$14,2,FALSE)</calculatedColumnFormula>
    </tableColumn>
    <tableColumn id="7" xr3:uid="{31ADF4F2-28D8-2F43-8EE4-682512AD8E6F}" name="Category type" dataDxfId="289"/>
    <tableColumn id="3" xr3:uid="{88F65A6C-5A6A-E543-BDE9-66B92E85A978}" name="Category" dataDxfId="288"/>
    <tableColumn id="4" xr3:uid="{E520F011-1F77-0C49-B2FB-D515BF413FD1}" name="Phil's Expenses" dataDxfId="287"/>
    <tableColumn id="5" xr3:uid="{54E74367-B9ED-684A-9157-5D06B7856D21}" name="Amount" dataDxfId="286" dataCellStyle="Currency"/>
    <tableColumn id="6" xr3:uid="{8E6D1B2C-BE5E-2C43-B9F4-3A4C4218455D}" name="Running Balance" dataDxfId="285" dataCellStyle="Currency"/>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E8B492-72B9-7C42-B232-1BCA22BC6494}" name="Table1" displayName="Table1" ref="A1:H57" totalsRowShown="0">
  <tableColumns count="8">
    <tableColumn id="1" xr3:uid="{433351ED-E738-554D-898A-32B30262D7D9}" name="Date" dataDxfId="284"/>
    <tableColumn id="2" xr3:uid="{408C3559-3549-6B45-A591-CC3D7BB60E4D}" name="Month" dataDxfId="283">
      <calculatedColumnFormula>VLOOKUP(MONTH(A2),'Lookup Tables'!$A$3:$B$14,2,FALSE)</calculatedColumnFormula>
    </tableColumn>
    <tableColumn id="7" xr3:uid="{0D360E15-F99B-FF4B-9F3D-BF931FB4AA10}" name="Category type" dataDxfId="282">
      <calculatedColumnFormula>VLOOKUP(Table1[[#This Row],[Category]],$X$1:$Y$11,2,FALSE)</calculatedColumnFormula>
    </tableColumn>
    <tableColumn id="3" xr3:uid="{AFD918E2-1E1F-F54A-BB51-EB354DD4F293}" name="Category" dataDxfId="281"/>
    <tableColumn id="4" xr3:uid="{DF78FEA0-6A1B-CA4C-A7AF-60FC74F36C99}" name="Phil's Expenses" dataDxfId="280"/>
    <tableColumn id="5" xr3:uid="{15F3CA0B-B01C-D84D-8AAB-79014228CAFE}" name="Amount" dataDxfId="279" dataCellStyle="Currency"/>
    <tableColumn id="6" xr3:uid="{62BFAEA3-65EE-C449-BDEF-BB5F612AABFB}" name="Running Balance" dataDxfId="278" dataCellStyle="Currency">
      <calculatedColumnFormula>G1+F2</calculatedColumnFormula>
    </tableColumn>
    <tableColumn id="8" xr3:uid="{62471854-A1DC-2749-8B6E-89AEA3C8D24E}" name="Initials" dataDxfId="277" dataCellStyle="Currenc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 dT="2019-12-31T15:44:02.87" personId="{336D8B79-611F-D94A-9FF2-25CFB8C0E963}" id="{DD3DCE22-A831-FD4C-A56D-68E18FD43E96}">
    <text>$288 now, Currently working on increasing this amount.  2nd and 4th week each month</text>
  </threadedComment>
  <threadedComment ref="A7" dT="2019-12-31T15:45:08.99" personId="{336D8B79-611F-D94A-9FF2-25CFB8C0E963}" id="{2DF6FAF5-6228-CB4C-9A52-D3B2552A38DC}">
    <text>Perhaps $100 for birthday, $200 for Christmas</text>
  </threadedComment>
  <threadedComment ref="A9" dT="2019-12-31T15:45:49.65" personId="{336D8B79-611F-D94A-9FF2-25CFB8C0E963}" id="{44EB40E2-4243-7D4A-ADF3-FCF1376902E6}">
    <text>Use last year’s numbers, no expectation otherwise</text>
  </threadedComment>
  <threadedComment ref="A11" dT="2019-12-31T15:46:32.93" personId="{336D8B79-611F-D94A-9FF2-25CFB8C0E963}" id="{B8790A08-C8DD-2543-BF5D-51D6A4E471FE}">
    <text>Reimbursement for expenses outlined in section 8</text>
  </threadedComment>
  <threadedComment ref="A12" dT="2019-12-31T16:03:20.84" personId="{336D8B79-611F-D94A-9FF2-25CFB8C0E963}" id="{37AFC0A4-ADAD-5243-B500-5A34F4A188F5}">
    <text>I don’t want to plan to spend any money here</text>
  </threadedComment>
  <threadedComment ref="A15" dT="2019-12-31T16:43:45.64" personId="{336D8B79-611F-D94A-9FF2-25CFB8C0E963}" id="{E6BC2C7F-CCA3-784D-9823-320BBAFF3286}">
    <text>Not Anticipated Yet</text>
  </threadedComment>
  <threadedComment ref="A18" dT="2020-01-01T04:46:35.43" personId="{336D8B79-611F-D94A-9FF2-25CFB8C0E963}" id="{6BCA505E-3C56-A44A-8F44-B1BAC192E9C9}">
    <text xml:space="preserve">Easter For Phil
Paula’s Birthday
Mom’s Birthday
Ryan’s Birthday
Dennis’s Birthday
Lauren’s Birthday
Jack and Jill’s Birthday
Reily’s Birthday
Phil’s Birthday
Christmas for all
</text>
  </threadedComment>
  <threadedComment ref="A19" dT="2019-12-31T16:43:45.64" personId="{336D8B79-611F-D94A-9FF2-25CFB8C0E963}" id="{7C4DB7D6-AF81-4C42-B5AA-F80557710392}">
    <text>Not Anticipated Yet</text>
  </threadedComment>
  <threadedComment ref="A20" dT="2019-12-31T16:43:45.64" personId="{336D8B79-611F-D94A-9FF2-25CFB8C0E963}" id="{3D37C886-F7E8-434D-B107-252693D32D90}">
    <text>Not Anticipated Yet</text>
  </threadedComment>
  <threadedComment ref="A22" dT="2019-12-31T16:43:45.64" personId="{336D8B79-611F-D94A-9FF2-25CFB8C0E963}" id="{7688AC67-FA50-ED4B-85FE-37FC652FE813}">
    <text>Not Anticipated Yet</text>
  </threadedComment>
  <threadedComment ref="A24" dT="2019-12-31T15:45:49.65" personId="{336D8B79-611F-D94A-9FF2-25CFB8C0E963}" id="{0ABFA075-489F-7347-930D-17DE83C2A890}">
    <text>Use last year’s numbers, no expectation otherwise</text>
  </threadedComment>
  <threadedComment ref="A26" dT="2019-12-31T16:03:20.84" personId="{336D8B79-611F-D94A-9FF2-25CFB8C0E963}" id="{2B43C4E7-8008-074A-9933-18CDF2F13EB7}">
    <text>I don’t want to plan to spend any money here</text>
  </threadedComment>
  <threadedComment ref="A28" dT="2020-01-01T02:38:54.10" personId="{336D8B79-611F-D94A-9FF2-25CFB8C0E963}" id="{0401DB05-7455-7F43-8304-EDB0D331F5FC}">
    <text>Result of NSF costs</text>
  </threadedComment>
  <threadedComment ref="A30" dT="2020-01-01T01:23:47.07" personId="{336D8B79-611F-D94A-9FF2-25CFB8C0E963}" id="{32BF7363-CAB6-784E-9DDD-44F75CB8C808}">
    <text>Normally 100 / month for 8 months since don’t have car use profits from car to pay off purchase</text>
  </threadedComment>
  <threadedComment ref="A31" dT="2019-12-31T15:45:08.99" personId="{336D8B79-611F-D94A-9FF2-25CFB8C0E963}" id="{655B5589-0FBE-7B4F-97D0-75427B68FFF8}">
    <text>Perhaps $100 for birthday, $200 for Christmas</text>
  </threadedComment>
  <threadedComment ref="A32" dT="2020-01-01T01:35:13.84" personId="{336D8B79-611F-D94A-9FF2-25CFB8C0E963}" id="{38A38BD9-23DB-49B2-BCB8-4E1230BDB05A}">
    <text>Removed Home security keep Lush Lawn for now</text>
  </threadedComment>
  <threadedComment ref="A50" dT="2020-01-01T04:46:35.43" personId="{336D8B79-611F-D94A-9FF2-25CFB8C0E963}" id="{DDAD23A3-CD28-4733-AA6A-208BCF41BF3F}">
    <text xml:space="preserve">Easter For Phil
Paula’s Birthday
Mom’s Birthday
Ryan’s Birthday
Dennis’s Birthday
Lauren’s Birthday
Jack and Jill’s Birthday
Reily’s Birthday
Phil’s Birthday
Christmas for all
</text>
  </threadedComment>
  <threadedComment ref="A51" dT="2019-12-31T16:43:45.64" personId="{336D8B79-611F-D94A-9FF2-25CFB8C0E963}" id="{4DBEFA22-9B21-480A-8331-4D00FFE3A5AD}">
    <text>Not Anticipated Yet</text>
  </threadedComment>
  <threadedComment ref="A52" dT="2019-12-31T16:43:45.64" personId="{336D8B79-611F-D94A-9FF2-25CFB8C0E963}" id="{AEF16EBB-B110-4CFB-890B-DC38C4E45F92}">
    <text>Not Anticipated Yet</text>
  </threadedComment>
  <threadedComment ref="A54" dT="2019-12-31T15:44:02.87" personId="{336D8B79-611F-D94A-9FF2-25CFB8C0E963}" id="{A8024574-87DB-47D4-862B-99462B1F5FAF}">
    <text>$288 now, Currently working on increasing this amount.  2nd and 4th week each month</text>
  </threadedComment>
  <threadedComment ref="A55" dT="2020-01-01T02:03:36.72" personId="{336D8B79-611F-D94A-9FF2-25CFB8C0E963}" id="{C5EA1F25-C1E6-164C-8F49-D203CCD122BD}">
    <text>estimate $100 every 3 months for Phil</text>
  </threadedComment>
  <threadedComment ref="A59" dT="2020-01-05T21:00:27.14" personId="{336D8B79-611F-D94A-9FF2-25CFB8C0E963}" id="{D6A03584-7A3C-AD4C-8D16-84DA71F92F7A}">
    <text>$15/week=$60/month</text>
  </threadedComment>
  <threadedComment ref="A60" dT="2020-01-01T02:18:27.30" personId="{336D8B79-611F-D94A-9FF2-25CFB8C0E963}" id="{20EFAB50-2D5F-634D-B580-F1C2755AB160}">
    <text>Target breakfast 1x/week $10=$40
Going out for dinner 1x/2 weeks $20=$40, Total $80</text>
  </threadedComment>
  <threadedComment ref="A61" dT="2020-01-01T02:26:15.45" personId="{336D8B79-611F-D94A-9FF2-25CFB8C0E963}" id="{117F239E-35E7-A543-B934-89BA982603F1}">
    <text xml:space="preserve">Ice cream sundae 1x/month $8
icee 1x / 2 weeks $2
</text>
  </threadedComment>
  <threadedComment ref="A62" dT="2020-01-05T02:03:26.79" personId="{336D8B79-611F-D94A-9FF2-25CFB8C0E963}" id="{4E25E4D3-0A60-284A-AED4-C9E2F52ACE46}">
    <text>Movies, theature, etc</text>
  </threadedComment>
  <threadedComment ref="A63" dT="2020-01-01T04:46:35.43" personId="{336D8B79-611F-D94A-9FF2-25CFB8C0E963}" id="{64D00968-EE7D-5C4D-935F-E0ADBE33AEA8}">
    <text xml:space="preserve">Easter For Phil
Paula’s Birthday
Mom’s Birthday
Ryan’s Birthday
Dennis’s Birthday
Lauren’s Birthday
Jack and Jill’s Birthday
Reily’s Birthday
Phil’s Birthday
Christmas for all
</text>
  </threadedComment>
  <threadedComment ref="A64" dT="2020-01-01T02:56:35.30" personId="{336D8B79-611F-D94A-9FF2-25CFB8C0E963}" id="{561BEC7C-7554-A04B-8812-3AF67A8AC642}">
    <text>$250/mo based on last half 2019 usage</text>
  </threadedComment>
  <threadedComment ref="A65" dT="2020-01-01T01:24:15.06" personId="{336D8B79-611F-D94A-9FF2-25CFB8C0E963}" id="{F2C81144-92FA-7E44-A8C0-6C4F0F990FBA}">
    <text>Altrua $288/mo
Investigate getting rid of Altrua</text>
  </threadedComment>
  <threadedComment ref="A66" dT="2020-01-05T02:04:04.99" personId="{336D8B79-611F-D94A-9FF2-25CFB8C0E963}" id="{93DDAA28-7C51-4D43-B10E-5FF4904F94B4}">
    <text xml:space="preserve">Doctor, Dentist not covered by insurance
</text>
  </threadedComment>
  <threadedComment ref="A67" dT="2020-01-05T02:04:04.99" personId="{336D8B79-611F-D94A-9FF2-25CFB8C0E963}" id="{4100875E-EEFE-9346-A126-3417BBC8F76A}">
    <text xml:space="preserve">Doctor, Dentist not covered by insurance
</text>
  </threadedComment>
  <threadedComment ref="A68" dT="2020-01-01T03:45:29.86" personId="{336D8B79-611F-D94A-9FF2-25CFB8C0E963}" id="{6C29D04E-9905-F14F-86FD-80B632F38F67}">
    <text>Haircut every 2 months</text>
  </threadedComment>
  <threadedComment ref="A70" dT="2020-01-01T04:00:50.80" personId="{336D8B79-611F-D94A-9FF2-25CFB8C0E963}" id="{1BB00621-C277-D445-89EA-0AD3211C9C95}">
    <text>Religious education + field trips</text>
  </threadedComment>
  <threadedComment ref="A73" dT="2020-01-01T01:31:21.94" personId="{336D8B79-611F-D94A-9FF2-25CFB8C0E963}" id="{48BE3DFB-6190-E64E-ABE5-E3784DCBD048}">
    <text>don’t know what to project . . . Target 10% reduction each month</text>
  </threadedComment>
  <threadedComment ref="A74" dT="2020-01-01T01:35:13.84" personId="{336D8B79-611F-D94A-9FF2-25CFB8C0E963}" id="{C1A11585-6E55-1241-A647-ADAF3BF640B2}">
    <text>Removed Home security keep Lush Lawn for now</text>
  </threadedComment>
  <threadedComment ref="A75" dT="2020-01-01T03:33:47.63" personId="{336D8B79-611F-D94A-9FF2-25CFB8C0E963}" id="{FD1A902F-FCB5-0442-8081-75BEAB0B3DAF}">
    <text>School supplies before school starts about $100</text>
  </threadedComment>
  <threadedComment ref="A76" dT="2020-01-01T03:25:37.94" personId="{336D8B79-611F-D94A-9FF2-25CFB8C0E963}" id="{A47E063C-9E72-8B4B-BE03-8335FEC72593}">
    <text>This consists of home project costs.  It should be broken down by project</text>
  </threadedComment>
  <threadedComment ref="A80" dT="2020-01-01T02:02:11.80" personId="{336D8B79-611F-D94A-9FF2-25CFB8C0E963}" id="{08FBC8B5-BA7D-D543-9467-8E55CE38BE4A}">
    <text>$6/2 weeks for car wash, $30 premium oil change and rotation by self</text>
  </threadedComment>
  <threadedComment ref="I80" dT="2020-01-01T02:01:25.09" personId="{336D8B79-611F-D94A-9FF2-25CFB8C0E963}" id="{868A9549-0792-F745-B47F-6223A40F697D}">
    <text xml:space="preserve">New tires front brakes
</text>
  </threadedComment>
  <threadedComment ref="A81" dT="2020-01-01T02:56:02.61" personId="{336D8B79-611F-D94A-9FF2-25CFB8C0E963}" id="{1414969B-C20E-0A42-99A2-20BB638EA574}">
    <text>$30/week based on 2019 usage</text>
  </threadedComment>
  <threadedComment ref="A82" dT="2020-01-01T02:57:16.33" personId="{336D8B79-611F-D94A-9FF2-25CFB8C0E963}" id="{FEDD0A7E-4E46-4446-AC63-C65E743F2F72}">
    <text>1x amount identified for tax info</text>
  </threadedComment>
  <threadedComment ref="A84" dT="2020-01-01T01:22:57.84" personId="{336D8B79-611F-D94A-9FF2-25CFB8C0E963}" id="{352874BE-9904-0048-8758-B69EDB2CD28B}">
    <text>Reduced monthly premium from $1000 to $236 by getting Lauren off car and getting rid of it</text>
  </threadedComment>
  <threadedComment ref="A88" dT="2020-01-06T02:48:05.23" personId="{336D8B79-611F-D94A-9FF2-25CFB8C0E963}" id="{1F9256E3-3D57-2E42-8E33-DFAE24126605}">
    <text>Subscription 2 bags @ $30=$60/2 every odd month + 1 bag@$30/2 every even month</text>
  </threadedComment>
  <threadedComment ref="A89" dT="2020-01-01T03:39:10.03" personId="{336D8B79-611F-D94A-9FF2-25CFB8C0E963}" id="{10410A3E-A533-FD46-B719-BAB8905E9BB9}">
    <text>Interceptor flea, tick, heartworm medicine 1x/3 month $50 Jan Apr Jul Oct</text>
  </threadedComment>
  <threadedComment ref="A90" dT="2020-01-01T03:52:45.40" personId="{336D8B79-611F-D94A-9FF2-25CFB8C0E963}" id="{730C1A8B-E7EA-D94D-A893-084E56D6500D}">
    <text>haircuts $40 each dog x 2 dogs/4 months</text>
  </threadedComment>
  <threadedComment ref="A94" dT="2020-01-01T01:26:21.46" personId="{336D8B79-611F-D94A-9FF2-25CFB8C0E963}" id="{9F26A1EF-8766-554E-8B23-5D4BEAA08C0C}">
    <text xml:space="preserve">Remove Lauren $50/mo from service.  </text>
  </threadedComment>
  <threadedComment ref="A95" dT="2020-01-01T03:16:20.22" personId="{336D8B79-611F-D94A-9FF2-25CFB8C0E963}" id="{4D6FB39B-B77E-EC4C-AAFE-7CA2DF2D3326}">
    <text>$70 / mo to pay off Phil’s computer
$105 in October for MS Office subscription</text>
  </threadedComment>
  <threadedComment ref="A96" dT="2020-01-01T03:55:01.52" personId="{336D8B79-611F-D94A-9FF2-25CFB8C0E963}" id="{251AA714-1D8E-504E-8FAB-C9FFA1190BE9}">
    <text>McAfee Antivirus auto update $120/year</text>
  </threadedComment>
  <threadedComment ref="A97" dT="2020-01-01T01:32:28.97" personId="{336D8B79-611F-D94A-9FF2-25CFB8C0E963}" id="{6952A703-9F29-7A41-9D5F-A9713D750603}">
    <text>Cost is for Netflix each month.  Hulu is paid for by Sprint now</text>
  </threadedComment>
  <threadedComment ref="A98" dT="2020-01-02T21:49:47.76" personId="{336D8B79-611F-D94A-9FF2-25CFB8C0E963}" id="{052CAB75-E65D-2647-BF48-40D0B07DAF67}">
    <text xml:space="preserve">Upgrade Apple TV to Roku Express and remove need to rent Xfinity cable boxes $58.  Save $10/month payback in 6 months. </text>
  </threadedComment>
  <threadedComment ref="A99" dT="2020-01-02T21:53:45.03" personId="{336D8B79-611F-D94A-9FF2-25CFB8C0E963}" id="{F95E23B8-8889-264A-8196-40AC2BFA5D84}">
    <text>Replace Xfinity Cable Modem and Router $144.  Remove rental requirement.  Payback in 10 months.</text>
  </threadedComment>
  <threadedComment ref="A100" dT="2020-01-01T01:36:48.80" personId="{336D8B79-611F-D94A-9FF2-25CFB8C0E963}" id="{2960A1F8-C509-154B-944A-9ECD2B539C06}">
    <text>Get rid of regional sports bring it back for football in the fall, get rid of rented cable modem/router and cable boxes, start using Roku payoff in 4 months</text>
  </threadedComment>
  <threadedComment ref="A104" dT="2020-01-02T11:57:31.91" personId="{336D8B79-611F-D94A-9FF2-25CFB8C0E963}" id="{53550301-CAD4-FF48-9C08-BD553C71D2A9}">
    <text>$25 for phone, $25 for service</text>
  </threadedComment>
  <threadedComment ref="A105" dT="2020-01-02T11:49:13.56" personId="{336D8B79-611F-D94A-9FF2-25CFB8C0E963}" id="{9824562C-45AC-0F49-A0EA-BFFE56F7BB45}">
    <text>8 oz/day x 30.44 days/month=243.52oz/mo x 1lb/16oz=15.22lbs/mo x $31.26/29.1lbs=$16.35/mo</text>
  </threadedComment>
  <threadedComment ref="A106" dT="2020-01-02T12:01:21.41" personId="{336D8B79-611F-D94A-9FF2-25CFB8C0E963}" id="{E509452A-A5C1-F540-8288-10EABEBADC5B}">
    <text>$25 every 3 months</text>
  </threadedComment>
  <threadedComment ref="A107" dT="2019-12-31T15:46:32.93" personId="{336D8B79-611F-D94A-9FF2-25CFB8C0E963}" id="{3E643868-43E6-4DAC-903F-22151D48E206}">
    <text>Reimbursement for expenses outlined in section 8</text>
  </threadedComment>
  <threadedComment ref="A128" dT="2020-01-05T00:54:26.75" personId="{336D8B79-611F-D94A-9FF2-25CFB8C0E963}" id="{FF5884F1-143D-D849-9C98-CF54D6D6F35A}">
    <text xml:space="preserve">Amazon Prime March $169
Costco Membership $30 </text>
  </threadedComment>
  <threadedComment ref="A137" dT="2020-01-01T02:38:54.10" personId="{336D8B79-611F-D94A-9FF2-25CFB8C0E963}" id="{04AF7C4E-575B-2440-B40F-DEE4380A062D}">
    <text>Result of NSF costs</text>
  </threadedComment>
  <threadedComment ref="A145" dT="2020-01-01T02:02:11.80" personId="{336D8B79-611F-D94A-9FF2-25CFB8C0E963}" id="{665A898E-0619-DC43-9207-AD1830C848EF}">
    <text>$6/2 weeks for car wash, $30 premium oil change and rotation by self</text>
  </threadedComment>
  <threadedComment ref="A146" dT="2020-01-01T02:56:02.61" personId="{336D8B79-611F-D94A-9FF2-25CFB8C0E963}" id="{662A7CF5-5EC9-4348-B02F-C06872D875DB}">
    <text>$30/week based on 2019 usage</text>
  </threadedComment>
  <threadedComment ref="A148" dT="2020-01-01T01:23:47.07" personId="{336D8B79-611F-D94A-9FF2-25CFB8C0E963}" id="{632F517A-5F88-984E-9036-6ECA68E76FEA}">
    <text>Normally 100 / month for 8 months since don’t have car use profits from car to pay off purchase</text>
  </threadedComment>
</ThreadedComments>
</file>

<file path=xl/threadedComments/threadedComment2.xml><?xml version="1.0" encoding="utf-8"?>
<ThreadedComments xmlns="http://schemas.microsoft.com/office/spreadsheetml/2018/threadedcomments" xmlns:x="http://schemas.openxmlformats.org/spreadsheetml/2006/main">
  <threadedComment ref="G63" dT="2020-01-01T03:25:37.94" personId="{336D8B79-611F-D94A-9FF2-25CFB8C0E963}" id="{3FCFB99D-8D82-4E4F-9295-E36E3514754D}">
    <text>This consists of home project costs.  It should be broken down by project</text>
  </threadedComment>
  <threadedComment ref="G77" dT="2020-01-01T02:56:35.30" personId="{336D8B79-611F-D94A-9FF2-25CFB8C0E963}" id="{D0017ADF-6773-4785-A038-2D4CEEB20947}">
    <text>$250/mo based on last half 2019 usage</text>
  </threadedComment>
  <threadedComment ref="G107" dT="2019-12-31T16:43:45.64" personId="{336D8B79-611F-D94A-9FF2-25CFB8C0E963}" id="{B3272B4D-DD4E-423F-B9E0-178939FA6A5D}">
    <text>Not Anticipated Yet</text>
  </threadedComment>
  <threadedComment ref="G123" dT="2019-12-31T16:03:20.84" personId="{336D8B79-611F-D94A-9FF2-25CFB8C0E963}" id="{F52DFC52-A77A-4511-80B4-4389F18BBE5D}">
    <text>I don’t want to plan to spend any money here</text>
  </threadedComment>
  <threadedComment ref="G133" dT="2019-12-31T16:03:20.84" personId="{336D8B79-611F-D94A-9FF2-25CFB8C0E963}" id="{D61FBF62-0697-4877-81E3-24A990252A14}">
    <text>I don’t want to plan to spend any money here</text>
  </threadedComment>
  <threadedComment ref="G153" dT="2020-01-01T02:02:11.80" personId="{336D8B79-611F-D94A-9FF2-25CFB8C0E963}" id="{153BF292-AF44-4C0C-AFA8-8F7ACE5C5DD7}">
    <text>$6/2 weeks for car wash, $30 premium oil change and rotation by self</text>
  </threadedComment>
</ThreadedComments>
</file>

<file path=xl/threadedComments/threadedComment3.xml><?xml version="1.0" encoding="utf-8"?>
<ThreadedComments xmlns="http://schemas.microsoft.com/office/spreadsheetml/2018/threadedcomments" xmlns:x="http://schemas.openxmlformats.org/spreadsheetml/2006/main">
  <threadedComment ref="F8" dT="2020-01-02T11:49:13.56" personId="{336D8B79-611F-D94A-9FF2-25CFB8C0E963}" id="{7A3E470A-5FD4-48EF-9209-81B4B11E5BFC}">
    <text>8 oz/day x 30.44 days/month=243.52oz/mo x 1lb/16oz=15.22lbs/mo x $31.26/29.1lbs=$16.35/mo</text>
  </threadedComment>
  <threadedComment ref="F10" dT="2020-01-02T11:49:13.56" personId="{336D8B79-611F-D94A-9FF2-25CFB8C0E963}" id="{FEADD1A5-EA9D-4765-8F3E-6E7BFD4B9EDC}">
    <text>8 oz/day x 30.44 days/month=243.52oz/mo x 1lb/16oz=15.22lbs/mo x $31.26/29.1lbs=$16.35/mo</text>
  </threadedComment>
  <threadedComment ref="F18" dT="2020-01-01T02:56:35.30" personId="{336D8B79-611F-D94A-9FF2-25CFB8C0E963}" id="{871931A3-9B1C-4D1E-BD4B-520BCE0548A9}">
    <text>$250/mo based on last half 2019 usage</text>
  </threadedComment>
  <threadedComment ref="F25" dT="2020-01-01T02:56:35.30" personId="{336D8B79-611F-D94A-9FF2-25CFB8C0E963}" id="{5EA00F32-60DE-42BE-9ADC-859FC0FA4886}">
    <text>$250/mo based on last half 2019 usage</text>
  </threadedComment>
  <threadedComment ref="F35" dT="2020-01-01T03:55:01.52" personId="{336D8B79-611F-D94A-9FF2-25CFB8C0E963}" id="{3FEEE301-B5F3-4313-ABDC-9FA077EEE8C0}">
    <text>McAfee Antivirus auto update $120/year</text>
  </threadedComment>
  <threadedComment ref="F76" dT="2020-01-02T11:49:13.56" personId="{336D8B79-611F-D94A-9FF2-25CFB8C0E963}" id="{84B37241-D3B3-4315-B809-E6EA163E5600}">
    <text>8 oz/day x 30.44 days/month=243.52oz/mo x 1lb/16oz=15.22lbs/mo x $31.26/29.1lbs=$16.35/mo</text>
  </threadedComment>
  <threadedComment ref="F169" dT="2020-01-01T02:56:35.30" personId="{336D8B79-611F-D94A-9FF2-25CFB8C0E963}" id="{904E4CD9-9708-47E6-903F-7002EC43A050}">
    <text>$250/mo based on last half 2019 usage</text>
  </threadedComment>
  <threadedComment ref="F185" dT="2020-01-01T02:57:16.33" personId="{336D8B79-611F-D94A-9FF2-25CFB8C0E963}" id="{B7EDE037-5BEF-443D-875E-38E7B8F1A5A9}">
    <text>1x amount identified for tax info</text>
  </threadedComment>
  <threadedComment ref="F233" dT="2020-01-01T02:02:11.80" personId="{336D8B79-611F-D94A-9FF2-25CFB8C0E963}" id="{E2B18C33-D780-43C8-A839-3A44D3DB030E}">
    <text>$6/2 weeks for car wash, $30 premium oil change and rotation by self</text>
  </threadedComment>
  <threadedComment ref="F234" dT="2020-01-01T02:02:11.80" personId="{336D8B79-611F-D94A-9FF2-25CFB8C0E963}" id="{7D2747A8-4E24-4702-8E34-761CD9271B3A}">
    <text>$6/2 weeks for car wash, $30 premium oil change and rotation by self</text>
  </threadedComment>
  <threadedComment ref="F251" dT="2020-01-01T02:38:54.10" personId="{336D8B79-611F-D94A-9FF2-25CFB8C0E963}" id="{A7F83B1E-CFEC-408D-8E1D-87B0277290D3}">
    <text>Result of NSF costs</text>
  </threadedComment>
  <threadedComment ref="D382" dT="2019-12-31T16:43:45.64" personId="{336D8B79-611F-D94A-9FF2-25CFB8C0E963}" id="{CB830A4B-7882-4A8E-B57D-2C64B4F68A2A}">
    <text>Not Anticipated Yet</text>
  </threadedComment>
  <threadedComment ref="F382" dT="2019-12-31T16:43:45.64" personId="{336D8B79-611F-D94A-9FF2-25CFB8C0E963}" id="{8C09CF5B-56B3-4BDE-A6F7-695D926BDAF2}">
    <text>Not Anticipated Yet</text>
  </threadedComment>
  <threadedComment ref="F386" dT="2020-01-01T01:23:47.07" personId="{336D8B79-611F-D94A-9FF2-25CFB8C0E963}" id="{2504872D-B7EA-45A7-8342-1E18CA8C9772}">
    <text>Normally 100 / month for 8 months since don’t have car use profits from car to pay off purchase</text>
  </threadedComment>
  <threadedComment ref="F387" dT="2019-12-31T16:43:45.64" personId="{336D8B79-611F-D94A-9FF2-25CFB8C0E963}" id="{4F621046-C6F1-494E-96AF-CF81EE7DBDE2}">
    <text>Not Anticipated Yet</text>
  </threadedComment>
  <threadedComment ref="F393" dT="2019-12-31T15:45:08.99" personId="{336D8B79-611F-D94A-9FF2-25CFB8C0E963}" id="{BAA24D06-1374-4B9B-9635-5CC2FB8B94CE}">
    <text>Perhaps $100 for birthday, $200 for Christmas</text>
  </threadedComment>
  <threadedComment ref="F394" dT="2019-12-31T15:45:08.99" personId="{336D8B79-611F-D94A-9FF2-25CFB8C0E963}" id="{247D47F4-4301-4B0D-97CA-0C4F5ED1A175}">
    <text>Perhaps $100 for birthday, $200 for Christmas</text>
  </threadedComment>
  <threadedComment ref="D396" dT="2019-12-31T16:43:45.64" personId="{336D8B79-611F-D94A-9FF2-25CFB8C0E963}" id="{C43B6BD7-7E6C-40A7-B51F-9FC4390516F9}">
    <text>Not Anticipated Yet</text>
  </threadedComment>
  <threadedComment ref="F396" dT="2019-12-31T16:43:45.64" personId="{336D8B79-611F-D94A-9FF2-25CFB8C0E963}" id="{57E39674-3E92-4A03-A814-54A9AB62F952}">
    <text>Not Anticipated Yet</text>
  </threadedComment>
  <threadedComment ref="F397" dT="2019-12-31T16:43:45.64" personId="{336D8B79-611F-D94A-9FF2-25CFB8C0E963}" id="{A289B19E-E5AA-4D14-8F0A-A59FE423C087}">
    <text>Not Anticipated Yet</text>
  </threadedComment>
  <threadedComment ref="F402" dT="2019-12-31T15:46:32.93" personId="{336D8B79-611F-D94A-9FF2-25CFB8C0E963}" id="{17044BD1-19CF-4F1A-AFFA-63223ADA2A54}">
    <text>Reimbursement for expenses outlined in section 8</text>
  </threadedComment>
  <threadedComment ref="F403" dT="2019-12-31T16:43:45.64" personId="{336D8B79-611F-D94A-9FF2-25CFB8C0E963}" id="{8208F337-C1F8-4154-BAD6-C0437C36C37F}">
    <text>Not Anticipated Yet</text>
  </threadedComment>
  <threadedComment ref="F409" dT="2019-12-31T16:43:45.64" personId="{336D8B79-611F-D94A-9FF2-25CFB8C0E963}" id="{AC7DFA17-EC46-44B5-A5B2-5C1754D91A72}">
    <text>Not Anticipated Yet</text>
  </threadedComment>
  <threadedComment ref="F410" dT="2019-12-31T15:45:08.99" personId="{336D8B79-611F-D94A-9FF2-25CFB8C0E963}" id="{8BEABE0B-CA36-44E3-98DB-FEC7204E9CDB}">
    <text>Perhaps $100 for birthday, $200 for Christmas</text>
  </threadedComment>
  <threadedComment ref="F412" dT="2019-12-31T16:43:45.64" personId="{336D8B79-611F-D94A-9FF2-25CFB8C0E963}" id="{C25A51BD-07F5-4770-AD3F-EB82E5987474}">
    <text>Not Anticipated Yet</text>
  </threadedComment>
  <threadedComment ref="F416" dT="2019-12-31T16:43:45.64" personId="{336D8B79-611F-D94A-9FF2-25CFB8C0E963}" id="{1D628EA2-2699-4C41-9B6D-4D5CC1528697}">
    <text>Not Anticipated Yet</text>
  </threadedComment>
  <threadedComment ref="F420" dT="2020-01-01T01:23:47.07" personId="{336D8B79-611F-D94A-9FF2-25CFB8C0E963}" id="{4C9D975F-688F-4D6A-8B89-8B9FBF5D8A0E}">
    <text>Normally 100 / month for 8 months since don’t have car use profits from car to pay off purchase</text>
  </threadedComment>
  <threadedComment ref="F421" dT="2019-12-31T16:43:45.64" personId="{336D8B79-611F-D94A-9FF2-25CFB8C0E963}" id="{C5E50733-524D-462A-83A6-460E299A13BC}">
    <text>Not Anticipated Yet</text>
  </threadedComment>
  <threadedComment ref="F426" dT="2019-12-31T15:45:49.65" personId="{336D8B79-611F-D94A-9FF2-25CFB8C0E963}" id="{CBEA97B4-56EF-4B94-9ECF-E28727A1F4BF}">
    <text>Use last year’s numbers, no expectation otherwise</text>
  </threadedComment>
  <threadedComment ref="F431" dT="2019-12-31T15:45:49.65" personId="{336D8B79-611F-D94A-9FF2-25CFB8C0E963}" id="{E4063162-8F09-45BB-9744-83318B669409}">
    <text>Use last year’s numbers, no expectation otherwise</text>
  </threadedComment>
  <threadedComment ref="F432" dT="2019-12-31T15:45:08.99" personId="{336D8B79-611F-D94A-9FF2-25CFB8C0E963}" id="{2F6C61DE-F317-45D4-BBD3-751F76A44C58}">
    <text>Perhaps $100 for birthday, $200 for Christmas</text>
  </threadedComment>
  <threadedComment ref="F433" dT="2019-12-31T16:43:45.64" personId="{336D8B79-611F-D94A-9FF2-25CFB8C0E963}" id="{178B7B00-A32C-448E-A307-B1AF46EEC37C}">
    <text>Not Anticipated Yet</text>
  </threadedComment>
  <threadedComment ref="F434" dT="2019-12-31T16:43:45.64" personId="{336D8B79-611F-D94A-9FF2-25CFB8C0E963}" id="{F710F3C1-72FC-4A99-A595-F87EA8D1F04B}">
    <text>Not Anticipated Yet</text>
  </threadedComment>
  <threadedComment ref="F438" dT="2019-12-31T16:43:45.64" personId="{336D8B79-611F-D94A-9FF2-25CFB8C0E963}" id="{364EB9F3-1C31-42BB-A702-EA4ED80627AA}">
    <text>Not Anticipated Yet</text>
  </threadedComment>
  <threadedComment ref="F444" dT="2019-12-31T15:45:08.99" personId="{336D8B79-611F-D94A-9FF2-25CFB8C0E963}" id="{BA871A1E-DA3A-4348-A747-B4E2574E2FE5}">
    <text>Perhaps $100 for birthday, $200 for Christmas</text>
  </threadedComment>
  <threadedComment ref="F445" dT="2019-12-31T16:43:45.64" personId="{336D8B79-611F-D94A-9FF2-25CFB8C0E963}" id="{EDB53C26-D59B-4CA9-86FB-6F5DFA6AC3E9}">
    <text>Not Anticipated Yet</text>
  </threadedComment>
  <threadedComment ref="F446" dT="2019-12-31T16:43:45.64" personId="{336D8B79-611F-D94A-9FF2-25CFB8C0E963}" id="{E6C33D7C-3CCF-41D2-B436-DA14E31DB525}">
    <text>Not Anticipated Yet</text>
  </threadedComment>
  <threadedComment ref="F447" dT="2019-12-31T15:45:08.99" personId="{336D8B79-611F-D94A-9FF2-25CFB8C0E963}" id="{383D70A8-D555-4437-ACC2-31D4C23E79B8}">
    <text>Perhaps $100 for birthday, $200 for Christmas</text>
  </threadedComment>
  <threadedComment ref="F449" dT="2019-12-31T16:43:45.64" personId="{336D8B79-611F-D94A-9FF2-25CFB8C0E963}" id="{E40C86EC-9DBB-4B4D-9B29-75087D3CDADA}">
    <text>Not Anticipated Yet</text>
  </threadedComment>
  <threadedComment ref="F450" dT="2019-12-31T15:45:49.65" personId="{336D8B79-611F-D94A-9FF2-25CFB8C0E963}" id="{07E53B00-9703-42D1-B043-598B824B85F9}">
    <text>Use last year’s numbers, no expectation otherwise</text>
  </threadedComment>
  <threadedComment ref="F451" dT="2019-12-31T15:45:08.99" personId="{336D8B79-611F-D94A-9FF2-25CFB8C0E963}" id="{D719195A-5E58-48DE-AE97-259DFC159DF2}">
    <text>Perhaps $100 for birthday, $200 for Christmas</text>
  </threadedComment>
  <threadedComment ref="F452" dT="2020-01-01T01:23:47.07" personId="{336D8B79-611F-D94A-9FF2-25CFB8C0E963}" id="{FF7E2DA2-B5A8-4F9E-B615-99B19CC3913A}">
    <text>Normally 100 / month for 8 months since don’t have car use profits from car to pay off purchase</text>
  </threadedComment>
  <threadedComment ref="F456" dT="2020-01-01T01:23:47.07" personId="{336D8B79-611F-D94A-9FF2-25CFB8C0E963}" id="{91C13FB7-3FEB-4098-AEF2-0C120B304353}">
    <text>Normally 100 / month for 8 months since don’t have car use profits from car to pay off purchase</text>
  </threadedComment>
  <threadedComment ref="F457" dT="2019-12-31T16:03:20.84" personId="{336D8B79-611F-D94A-9FF2-25CFB8C0E963}" id="{5FBBD484-C511-455F-93FD-D1E1EB41C1D3}">
    <text>I don’t want to plan to spend any money here</text>
  </threadedComment>
  <threadedComment ref="F460" dT="2019-12-31T16:03:20.84" personId="{336D8B79-611F-D94A-9FF2-25CFB8C0E963}" id="{2591754E-A742-4BE0-BA1C-D39D23297AC1}">
    <text>I don’t want to plan to spend any money here</text>
  </threadedComment>
  <threadedComment ref="F464" dT="2019-12-31T16:43:45.64" personId="{336D8B79-611F-D94A-9FF2-25CFB8C0E963}" id="{106350EB-CA88-449C-84DA-F8E1038F8352}">
    <text>Not Anticipated Yet</text>
  </threadedComment>
  <threadedComment ref="F465" dT="2019-12-31T16:43:45.64" personId="{336D8B79-611F-D94A-9FF2-25CFB8C0E963}" id="{046C9446-2B20-4412-93B0-2017BCF55543}">
    <text>Not Anticipated Yet</text>
  </threadedComment>
  <threadedComment ref="F471" dT="2019-12-31T16:03:20.84" personId="{336D8B79-611F-D94A-9FF2-25CFB8C0E963}" id="{DDA2EA5B-3A93-495D-A1AE-9B735B08A904}">
    <text>I don’t want to plan to spend any money here</text>
  </threadedComment>
  <threadedComment ref="F474" dT="2019-12-31T16:43:45.64" personId="{336D8B79-611F-D94A-9FF2-25CFB8C0E963}" id="{2B54E2DD-3886-4134-B7B8-696142DF09AB}">
    <text>Not Anticipated Yet</text>
  </threadedComment>
  <threadedComment ref="F475" dT="2019-12-31T16:43:45.64" personId="{336D8B79-611F-D94A-9FF2-25CFB8C0E963}" id="{84AAB669-AB9F-47EB-BE3F-E82D14AEBB09}">
    <text>Not Anticipated Yet</text>
  </threadedComment>
  <threadedComment ref="F476" dT="2019-12-31T16:43:45.64" personId="{336D8B79-611F-D94A-9FF2-25CFB8C0E963}" id="{ABAFA440-407F-4D8D-8590-26AFBE32F09C}">
    <text>Not Anticipated Yet</text>
  </threadedComment>
  <threadedComment ref="F479" dT="2019-12-31T16:43:45.64" personId="{336D8B79-611F-D94A-9FF2-25CFB8C0E963}" id="{0EB6801D-8877-4B79-8B9F-2049DAECD71F}">
    <text>Not Anticipated Yet</text>
  </threadedComment>
  <threadedComment ref="F480" dT="2019-12-31T16:43:45.64" personId="{336D8B79-611F-D94A-9FF2-25CFB8C0E963}" id="{2487AC8E-9390-4ACE-AEA8-49F16F5AE3E8}">
    <text>Not Anticipated Yet</text>
  </threadedComment>
  <threadedComment ref="F487" dT="2019-12-31T16:43:45.64" personId="{336D8B79-611F-D94A-9FF2-25CFB8C0E963}" id="{E6589AE8-476E-44B9-9AD4-E7F1166EC21A}">
    <text>Not Anticipated Yet</text>
  </threadedComment>
  <threadedComment ref="F488" dT="2019-12-31T15:45:49.65" personId="{336D8B79-611F-D94A-9FF2-25CFB8C0E963}" id="{3EA2D438-BBEA-4A09-B78E-037D81C24766}">
    <text>Use last year’s numbers, no expectation otherwise</text>
  </threadedComment>
  <threadedComment ref="F489" dT="2019-12-31T16:43:45.64" personId="{336D8B79-611F-D94A-9FF2-25CFB8C0E963}" id="{CCCDEDF2-CF80-4C1E-AD8B-148A1B1985E7}">
    <text>Not Anticipated Yet</text>
  </threadedComment>
  <threadedComment ref="F493" dT="2019-12-31T15:45:49.65" personId="{336D8B79-611F-D94A-9FF2-25CFB8C0E963}" id="{CC7D33BF-5746-4BA5-92A5-CC8044450BD5}">
    <text>Use last year’s numbers, no expectation otherwise</text>
  </threadedComment>
  <threadedComment ref="F497" dT="2019-12-31T15:45:49.65" personId="{336D8B79-611F-D94A-9FF2-25CFB8C0E963}" id="{CAACDD02-6440-4A98-89D7-1CAD3DD2F739}">
    <text>Use last year’s numbers, no expectation otherwise</text>
  </threadedComment>
  <threadedComment ref="F498" dT="2019-12-31T15:45:08.99" personId="{336D8B79-611F-D94A-9FF2-25CFB8C0E963}" id="{BDB98185-9E03-4C1C-BBB6-71823B7B58FA}">
    <text>Perhaps $100 for birthday, $200 for Christmas</text>
  </threadedComment>
  <threadedComment ref="F501" dT="2019-12-31T15:45:08.99" personId="{336D8B79-611F-D94A-9FF2-25CFB8C0E963}" id="{C5CCB023-976A-4876-9D18-F740C1412094}">
    <text>Perhaps $100 for birthday, $200 for Christmas</text>
  </threadedComment>
  <threadedComment ref="F503" dT="2020-01-01T01:23:47.07" personId="{336D8B79-611F-D94A-9FF2-25CFB8C0E963}" id="{99CB8615-F625-42AA-BD9A-6FCE0BEEFE36}">
    <text>Normally 100 / month for 8 months since don’t have car use profits from car to pay off purchase</text>
  </threadedComment>
  <threadedComment ref="F504" dT="2019-12-31T15:45:08.99" personId="{336D8B79-611F-D94A-9FF2-25CFB8C0E963}" id="{29C73A8D-33AB-49F7-9076-EE974473CD3F}">
    <text>Perhaps $100 for birthday, $200 for Christmas</text>
  </threadedComment>
  <threadedComment ref="F505" dT="2019-12-31T15:45:49.65" personId="{336D8B79-611F-D94A-9FF2-25CFB8C0E963}" id="{CB98F827-ECA2-48C9-8FED-33AAD1669D87}">
    <text>Use last year’s numbers, no expectation otherwise</text>
  </threadedComment>
  <threadedComment ref="F511" dT="2019-12-31T15:45:49.65" personId="{336D8B79-611F-D94A-9FF2-25CFB8C0E963}" id="{07A16093-D108-41FC-B584-3B73A2F94F1B}">
    <text>Use last year’s numbers, no expectation otherwise</text>
  </threadedComment>
  <threadedComment ref="F513" dT="2019-12-31T15:45:49.65" personId="{336D8B79-611F-D94A-9FF2-25CFB8C0E963}" id="{58073DEC-CCF7-4843-A888-92F497FAC803}">
    <text>Use last year’s numbers, no expectation otherwise</text>
  </threadedComment>
  <threadedComment ref="F514" dT="2019-12-31T16:43:45.64" personId="{336D8B79-611F-D94A-9FF2-25CFB8C0E963}" id="{124C601E-D4ED-4E48-A499-B6EF39D7545C}">
    <text>Not Anticipated Yet</text>
  </threadedComment>
  <threadedComment ref="F515" dT="2019-12-31T16:43:45.64" personId="{336D8B79-611F-D94A-9FF2-25CFB8C0E963}" id="{560E9D2F-00FB-4D53-B125-40A99F3AE411}">
    <text>Not Anticipated Yet</text>
  </threadedComment>
  <threadedComment ref="F529" dT="2020-01-01T01:23:47.07" personId="{336D8B79-611F-D94A-9FF2-25CFB8C0E963}" id="{E6B18489-13CA-4153-8650-0F9CFB0F309E}">
    <text>Normally 100 / month for 8 months since don’t have car use profits from car to pay off purchase</text>
  </threadedComment>
  <threadedComment ref="D611" dT="2019-12-31T16:03:20.84" personId="{336D8B79-611F-D94A-9FF2-25CFB8C0E963}" id="{E5DB57FD-8EAC-4D43-9B72-9C63FCD0D3E9}">
    <text>I don’t want to plan to spend any money here</text>
  </threadedComment>
  <threadedComment ref="F611" dT="2019-12-31T16:03:20.84" personId="{336D8B79-611F-D94A-9FF2-25CFB8C0E963}" id="{E45A8D49-AA18-4A51-B1EB-152F04F72444}">
    <text>I don’t want to plan to spend any money here</text>
  </threadedComment>
  <threadedComment ref="F621" dT="2020-01-01T01:35:13.84" personId="{336D8B79-611F-D94A-9FF2-25CFB8C0E963}" id="{86803E32-AB20-48EB-8B30-6327D97BFEBC}">
    <text>Removed Home security keep Lush Lawn for now</text>
  </threadedComment>
  <threadedComment ref="F622" dT="2020-01-01T01:35:13.84" personId="{336D8B79-611F-D94A-9FF2-25CFB8C0E963}" id="{4BF36074-4D11-4AB2-8928-254908E80FEB}">
    <text>Removed Home security keep Lush Lawn for now</text>
  </threadedComment>
  <threadedComment ref="F623" dT="2020-01-01T01:35:13.84" personId="{336D8B79-611F-D94A-9FF2-25CFB8C0E963}" id="{84E600A0-3327-42FB-AC6F-875BFE675F2E}">
    <text>Removed Home security keep Lush Lawn for now</text>
  </threadedComment>
  <threadedComment ref="F624" dT="2020-01-01T01:35:13.84" personId="{336D8B79-611F-D94A-9FF2-25CFB8C0E963}" id="{8F94B58B-EB62-4B8F-8E94-3D5035F7CEE7}">
    <text>Removed Home security keep Lush Lawn for now</text>
  </threadedComment>
  <threadedComment ref="F625" dT="2020-01-01T01:35:13.84" personId="{336D8B79-611F-D94A-9FF2-25CFB8C0E963}" id="{B00D99D1-D6AC-472D-8083-30CCE4C6306E}">
    <text>Removed Home security keep Lush Lawn for now</text>
  </threadedComment>
  <threadedComment ref="F626" dT="2020-01-01T01:35:13.84" personId="{336D8B79-611F-D94A-9FF2-25CFB8C0E963}" id="{7D384BA5-FB8E-431F-89AD-A6F60DDF8FF4}">
    <text>Removed Home security keep Lush Lawn for now</text>
  </threadedComment>
  <threadedComment ref="F627" dT="2020-01-01T01:35:13.84" personId="{336D8B79-611F-D94A-9FF2-25CFB8C0E963}" id="{063A2BFF-E628-481F-9E00-F0F9DC3B2ABF}">
    <text>Removed Home security keep Lush Lawn for now</text>
  </threadedComment>
  <threadedComment ref="F628" dT="2020-01-01T01:35:13.84" personId="{336D8B79-611F-D94A-9FF2-25CFB8C0E963}" id="{97B56427-8C7C-4A88-BF98-C4A9F5EF23BC}">
    <text>Removed Home security keep Lush Lawn for now</text>
  </threadedComment>
  <threadedComment ref="F629" dT="2020-01-01T01:35:13.84" personId="{336D8B79-611F-D94A-9FF2-25CFB8C0E963}" id="{6C27DCAD-A11A-4449-9E31-3627266653BB}">
    <text>Removed Home security keep Lush Lawn for now</text>
  </threadedComment>
  <threadedComment ref="F631" dT="2020-01-01T01:35:13.84" personId="{336D8B79-611F-D94A-9FF2-25CFB8C0E963}" id="{3B342BEC-2B28-4B11-A114-7E67F69DDA6E}">
    <text>Removed Home security keep Lush Lawn for now</text>
  </threadedComment>
  <threadedComment ref="F632" dT="2020-01-01T01:35:13.84" personId="{336D8B79-611F-D94A-9FF2-25CFB8C0E963}" id="{4C34D5CD-E96D-4CC5-B15C-71910174F8F1}">
    <text>Removed Home security keep Lush Lawn for now</text>
  </threadedComment>
  <threadedComment ref="F638" dT="2019-12-31T15:45:49.65" personId="{336D8B79-611F-D94A-9FF2-25CFB8C0E963}" id="{3FE9BF50-B078-4054-8B48-A9D90D75D0FB}">
    <text>Use last year’s numbers, no expectation otherwise</text>
  </threadedComment>
  <threadedComment ref="F641" dT="2020-01-01T01:35:13.84" personId="{336D8B79-611F-D94A-9FF2-25CFB8C0E963}" id="{B9EEFAC6-797E-4ECD-A2E7-DBC0530DD4E0}">
    <text>Removed Home security keep Lush Lawn for now</text>
  </threadedComment>
  <threadedComment ref="F643" dT="2019-12-31T15:45:08.99" personId="{336D8B79-611F-D94A-9FF2-25CFB8C0E963}" id="{4162EA3A-96A5-4301-A131-D49D59A94D1C}">
    <text>Perhaps $100 for birthday, $200 for Christmas</text>
  </threadedComment>
  <threadedComment ref="F644" dT="2019-12-31T15:45:08.99" personId="{336D8B79-611F-D94A-9FF2-25CFB8C0E963}" id="{A203D10F-02D6-4E5B-B2DA-9FE90E350F18}">
    <text>Perhaps $100 for birthday, $200 for Christmas</text>
  </threadedComment>
  <threadedComment ref="H644" dT="2020-01-01T01:35:13.84" personId="{336D8B79-611F-D94A-9FF2-25CFB8C0E963}" id="{E1FCA60D-2CF5-47F4-8A00-21673672E403}">
    <text>Removed Home security keep Lush Lawn for now</text>
  </threadedComment>
  <threadedComment ref="D646" dT="2019-12-31T16:03:20.84" personId="{336D8B79-611F-D94A-9FF2-25CFB8C0E963}" id="{4E5240AB-A1A4-4651-B12A-9178E9BAB835}">
    <text>I don’t want to plan to spend any money here</text>
  </threadedComment>
  <threadedComment ref="F646" dT="2019-12-31T16:03:20.84" personId="{336D8B79-611F-D94A-9FF2-25CFB8C0E963}" id="{2D6BE74D-BC44-45CF-823A-241FBCCBCFD2}">
    <text>I don’t want to plan to spend any money here</text>
  </threadedComment>
  <threadedComment ref="F647" dT="2019-12-31T15:45:49.65" personId="{336D8B79-611F-D94A-9FF2-25CFB8C0E963}" id="{45D4B311-C8FF-4D93-A2A0-FF8C9B761C3B}">
    <text>Use last year’s numbers, no expectation otherwise</text>
  </threadedComment>
  <threadedComment ref="F648" dT="2019-12-31T15:45:49.65" personId="{336D8B79-611F-D94A-9FF2-25CFB8C0E963}" id="{2968E314-D1DA-4363-A48C-4B240B52958F}">
    <text>Use last year’s numbers, no expectation otherwise</text>
  </threadedComment>
  <threadedComment ref="F649" dT="2019-12-31T15:45:49.65" personId="{336D8B79-611F-D94A-9FF2-25CFB8C0E963}" id="{C7FC4943-AF5D-436B-8C42-B69B35831E12}">
    <text>Use last year’s numbers, no expectation otherwise</text>
  </threadedComment>
  <threadedComment ref="F650" dT="2019-12-31T15:45:49.65" personId="{336D8B79-611F-D94A-9FF2-25CFB8C0E963}" id="{332BBC0D-0CC0-469E-9B20-C102D51F6379}">
    <text>Use last year’s numbers, no expectation otherwise</text>
  </threadedComment>
  <threadedComment ref="F651" dT="2019-12-31T15:45:49.65" personId="{336D8B79-611F-D94A-9FF2-25CFB8C0E963}" id="{045D6722-250E-4478-A3FF-8B6DAE1FBFB9}">
    <text>Use last year’s numbers, no expectation otherwise</text>
  </threadedComment>
  <threadedComment ref="F652" dT="2019-12-31T15:45:49.65" personId="{336D8B79-611F-D94A-9FF2-25CFB8C0E963}" id="{5093449E-0C11-4597-BD9F-F3686E912EEE}">
    <text>Use last year’s numbers, no expectation otherwise</text>
  </threadedComment>
  <threadedComment ref="F653" dT="2019-12-31T15:45:49.65" personId="{336D8B79-611F-D94A-9FF2-25CFB8C0E963}" id="{A3CEDB7D-8EC2-4A35-B8AA-875C7F9694EA}">
    <text>Use last year’s numbers, no expectation otherwise</text>
  </threadedComment>
  <threadedComment ref="F654" dT="2019-12-31T15:45:49.65" personId="{336D8B79-611F-D94A-9FF2-25CFB8C0E963}" id="{867FAC8A-8910-4DA0-88C6-8948D11FD16B}">
    <text>Use last year’s numbers, no expectation otherwise</text>
  </threadedComment>
  <threadedComment ref="F656" dT="2019-12-31T15:45:49.65" personId="{336D8B79-611F-D94A-9FF2-25CFB8C0E963}" id="{5ACE2C20-D5D1-48DB-B7A0-6AE5C1288E2A}">
    <text>Use last year’s numbers, no expectation otherwise</text>
  </threadedComment>
  <threadedComment ref="F680" dT="2020-01-01T02:56:35.30" personId="{336D8B79-611F-D94A-9FF2-25CFB8C0E963}" id="{C0509B46-5FE7-4BCC-89C3-3A1E6FAE132A}">
    <text>$250/mo based on last half 2019 usage</text>
  </threadedComment>
  <threadedComment ref="F681" dT="2020-01-01T02:56:35.30" personId="{336D8B79-611F-D94A-9FF2-25CFB8C0E963}" id="{968C7EC7-380F-4F2F-919E-528E170D5875}">
    <text>$250/mo based on last half 2019 usage</text>
  </threadedComment>
  <threadedComment ref="F691" dT="2020-01-01T02:56:35.30" personId="{336D8B79-611F-D94A-9FF2-25CFB8C0E963}" id="{459AC8EF-4DEB-427B-BFF1-C2F4AB8D49F3}">
    <text>$250/mo based on last half 2019 usage</text>
  </threadedComment>
  <threadedComment ref="F692" dT="2020-01-01T02:56:35.30" personId="{336D8B79-611F-D94A-9FF2-25CFB8C0E963}" id="{1EAB416F-21CF-436A-ABA6-249CBD3E54F4}">
    <text>$250/mo based on last half 2019 usage</text>
  </threadedComment>
  <threadedComment ref="F695" dT="2020-01-01T02:56:35.30" personId="{336D8B79-611F-D94A-9FF2-25CFB8C0E963}" id="{0AFABFF6-E720-4C13-95EF-E9738ACB2170}">
    <text>$250/mo based on last half 2019 usage</text>
  </threadedComment>
  <threadedComment ref="F707" dT="2020-01-05T00:54:26.75" personId="{336D8B79-611F-D94A-9FF2-25CFB8C0E963}" id="{1DB30B22-8ABC-4243-9627-371A97E64123}">
    <text xml:space="preserve">Amazon Prime March $169
Costco Membership $30 </text>
  </threadedComment>
  <threadedComment ref="F813" dT="2020-01-01T02:56:35.30" personId="{336D8B79-611F-D94A-9FF2-25CFB8C0E963}" id="{7D90C5C5-90F6-4EFE-ADF5-6C36D9EBA52E}">
    <text>$250/mo based on last half 2019 usage</text>
  </threadedComment>
  <threadedComment ref="F828" dT="2020-01-01T02:56:35.30" personId="{336D8B79-611F-D94A-9FF2-25CFB8C0E963}" id="{7AE89BEA-DAB0-4A40-92A7-8A92FD92DA48}">
    <text>$250/mo based on last half 2019 usage</text>
  </threadedComment>
  <threadedComment ref="F831" dT="2020-01-01T02:56:35.30" personId="{336D8B79-611F-D94A-9FF2-25CFB8C0E963}" id="{DF6626E1-CF32-4DB5-9B60-5AC6890ED36B}">
    <text>$250/mo based on last half 2019 usage</text>
  </threadedComment>
  <threadedComment ref="F836" dT="2020-01-01T02:56:35.30" personId="{336D8B79-611F-D94A-9FF2-25CFB8C0E963}" id="{F26F5244-547B-41E9-8FCC-EAB97371D399}">
    <text>$250/mo based on last half 2019 usage</text>
  </threadedComment>
  <threadedComment ref="F842" dT="2020-01-01T02:56:35.30" personId="{336D8B79-611F-D94A-9FF2-25CFB8C0E963}" id="{9C8BAB1E-2D21-4DB3-9AAB-27065382A6F1}">
    <text>$250/mo based on last half 2019 usage</text>
  </threadedComment>
  <threadedComment ref="F843" dT="2020-01-01T02:56:35.30" personId="{336D8B79-611F-D94A-9FF2-25CFB8C0E963}" id="{B8FE4DCD-CA86-475E-A8B5-3F52EE899534}">
    <text>$250/mo based on last half 2019 usage</text>
  </threadedComment>
  <threadedComment ref="F844" dT="2020-01-01T02:56:35.30" personId="{336D8B79-611F-D94A-9FF2-25CFB8C0E963}" id="{06370E05-3F87-497B-A8F7-F7C57DBD37BC}">
    <text>$250/mo based on last half 2019 usage</text>
  </threadedComment>
  <threadedComment ref="F851" dT="2020-01-01T02:56:35.30" personId="{336D8B79-611F-D94A-9FF2-25CFB8C0E963}" id="{31177DBB-0278-4D63-A555-5DAF0A058137}">
    <text>$250/mo based on last half 2019 usage</text>
  </threadedComment>
  <threadedComment ref="F853" dT="2020-01-01T02:56:35.30" personId="{336D8B79-611F-D94A-9FF2-25CFB8C0E963}" id="{476B0A91-90E3-426A-BD79-4D8F343611AE}">
    <text>$250/mo based on last half 2019 usage</text>
  </threadedComment>
  <threadedComment ref="F854" dT="2020-01-01T02:56:35.30" personId="{336D8B79-611F-D94A-9FF2-25CFB8C0E963}" id="{A1689C3A-8D7B-4147-B527-F8B1144D5ACE}">
    <text>$250/mo based on last half 2019 usage</text>
  </threadedComment>
  <threadedComment ref="F855" dT="2020-01-01T02:56:35.30" personId="{336D8B79-611F-D94A-9FF2-25CFB8C0E963}" id="{8A3C33DB-C721-4AA3-8813-70B20FBC1815}">
    <text>$250/mo based on last half 2019 usage</text>
  </threadedComment>
  <threadedComment ref="F861" dT="2020-01-01T02:56:35.30" personId="{336D8B79-611F-D94A-9FF2-25CFB8C0E963}" id="{13B28722-DCDC-4410-9BBD-257DE973F289}">
    <text>$250/mo based on last half 2019 usage</text>
  </threadedComment>
  <threadedComment ref="F869" dT="2020-01-01T02:56:35.30" personId="{336D8B79-611F-D94A-9FF2-25CFB8C0E963}" id="{AA080B17-DF24-4020-A232-31005CC0F3A3}">
    <text>$250/mo based on last half 2019 usage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2.vm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12311-4AA2-BD49-A0DD-CA194AAB5949}">
  <sheetPr codeName="Sheet1"/>
  <dimension ref="A1:AX400"/>
  <sheetViews>
    <sheetView zoomScale="115" workbookViewId="0">
      <pane xSplit="2" ySplit="2" topLeftCell="C113" activePane="bottomRight" state="frozenSplit"/>
      <selection sqref="A1:XFD1"/>
      <selection pane="topRight" sqref="A1:XFD1"/>
      <selection pane="bottomLeft" sqref="A1:XFD1"/>
      <selection pane="bottomRight" activeCell="A123" sqref="A123"/>
    </sheetView>
  </sheetViews>
  <sheetFormatPr defaultColWidth="11" defaultRowHeight="15.75" outlineLevelCol="1"/>
  <cols>
    <col min="1" max="1" width="33.625" customWidth="1"/>
    <col min="2" max="2" width="32.125" bestFit="1" customWidth="1"/>
    <col min="3" max="3" width="11.5" bestFit="1" customWidth="1"/>
    <col min="4" max="5" width="11.5" customWidth="1"/>
    <col min="6" max="6" width="11.125" bestFit="1" customWidth="1"/>
    <col min="7" max="8" width="11.125" customWidth="1"/>
    <col min="9" max="9" width="11.125" bestFit="1" customWidth="1"/>
    <col min="10" max="11" width="11.125" customWidth="1"/>
    <col min="12" max="12" width="11.125" bestFit="1" customWidth="1"/>
    <col min="13" max="14" width="11.125" customWidth="1"/>
    <col min="15" max="15" width="11.125" bestFit="1" customWidth="1" outlineLevel="1"/>
    <col min="16" max="17" width="11.125" customWidth="1" outlineLevel="1"/>
    <col min="18" max="18" width="11.125" bestFit="1" customWidth="1" outlineLevel="1"/>
    <col min="19" max="20" width="11.125" customWidth="1" outlineLevel="1"/>
    <col min="21" max="21" width="11.125" bestFit="1" customWidth="1" outlineLevel="1"/>
    <col min="22" max="23" width="11.125" customWidth="1" outlineLevel="1"/>
    <col min="24" max="24" width="11.125" bestFit="1" customWidth="1" outlineLevel="1"/>
    <col min="25" max="26" width="11.125" customWidth="1" outlineLevel="1"/>
    <col min="27" max="27" width="11.125" bestFit="1" customWidth="1" outlineLevel="1"/>
    <col min="28" max="29" width="11.125" customWidth="1" outlineLevel="1"/>
    <col min="30" max="30" width="11.125" bestFit="1" customWidth="1" outlineLevel="1"/>
    <col min="31" max="32" width="11.125" customWidth="1" outlineLevel="1"/>
    <col min="33" max="33" width="11.125" bestFit="1" customWidth="1" outlineLevel="1"/>
    <col min="34" max="35" width="11.125" customWidth="1" outlineLevel="1"/>
    <col min="36" max="36" width="11.125" bestFit="1" customWidth="1" outlineLevel="1"/>
    <col min="37" max="38" width="11.125" customWidth="1" outlineLevel="1"/>
    <col min="39" max="39" width="12.125" bestFit="1" customWidth="1"/>
    <col min="40" max="40" width="11.125" bestFit="1" customWidth="1"/>
    <col min="41" max="41" width="12.125" bestFit="1" customWidth="1"/>
    <col min="44" max="44" width="38.625" bestFit="1" customWidth="1"/>
    <col min="45" max="45" width="15.875" bestFit="1" customWidth="1"/>
  </cols>
  <sheetData>
    <row r="1" spans="1:50" s="7" customFormat="1">
      <c r="A1" s="285" t="s">
        <v>6</v>
      </c>
      <c r="B1" s="279" t="s">
        <v>7</v>
      </c>
      <c r="C1" s="281" t="s">
        <v>44</v>
      </c>
      <c r="D1" s="282"/>
      <c r="E1" s="283"/>
      <c r="F1" s="281" t="s">
        <v>45</v>
      </c>
      <c r="G1" s="282"/>
      <c r="H1" s="283"/>
      <c r="I1" s="281" t="s">
        <v>46</v>
      </c>
      <c r="J1" s="282"/>
      <c r="K1" s="283"/>
      <c r="L1" s="274" t="s">
        <v>47</v>
      </c>
      <c r="M1" s="274"/>
      <c r="N1" s="274"/>
      <c r="O1" s="274" t="s">
        <v>42</v>
      </c>
      <c r="P1" s="274"/>
      <c r="Q1" s="274"/>
      <c r="R1" s="274" t="s">
        <v>48</v>
      </c>
      <c r="S1" s="274"/>
      <c r="T1" s="274"/>
      <c r="U1" s="274" t="s">
        <v>43</v>
      </c>
      <c r="V1" s="274"/>
      <c r="W1" s="274"/>
      <c r="X1" s="274" t="s">
        <v>49</v>
      </c>
      <c r="Y1" s="274"/>
      <c r="Z1" s="274"/>
      <c r="AA1" s="274" t="s">
        <v>50</v>
      </c>
      <c r="AB1" s="274"/>
      <c r="AC1" s="274"/>
      <c r="AD1" s="274" t="s">
        <v>51</v>
      </c>
      <c r="AE1" s="274"/>
      <c r="AF1" s="274"/>
      <c r="AG1" s="274" t="s">
        <v>52</v>
      </c>
      <c r="AH1" s="274"/>
      <c r="AI1" s="274"/>
      <c r="AJ1" s="274" t="s">
        <v>53</v>
      </c>
      <c r="AK1" s="274"/>
      <c r="AL1" s="274"/>
      <c r="AM1" s="274" t="s">
        <v>40</v>
      </c>
      <c r="AN1" s="274"/>
      <c r="AO1" s="274"/>
    </row>
    <row r="2" spans="1:50">
      <c r="A2" s="285"/>
      <c r="B2" s="279"/>
      <c r="C2" s="38" t="s">
        <v>126</v>
      </c>
      <c r="D2" s="39" t="s">
        <v>127</v>
      </c>
      <c r="E2" s="40" t="s">
        <v>128</v>
      </c>
      <c r="F2" s="38" t="s">
        <v>126</v>
      </c>
      <c r="G2" s="39" t="s">
        <v>127</v>
      </c>
      <c r="H2" s="40" t="s">
        <v>128</v>
      </c>
      <c r="I2" s="38" t="s">
        <v>126</v>
      </c>
      <c r="J2" s="39" t="s">
        <v>127</v>
      </c>
      <c r="K2" s="40" t="s">
        <v>128</v>
      </c>
      <c r="L2" s="36" t="s">
        <v>126</v>
      </c>
      <c r="M2" s="36" t="s">
        <v>127</v>
      </c>
      <c r="N2" s="36" t="s">
        <v>128</v>
      </c>
      <c r="O2" s="36" t="s">
        <v>126</v>
      </c>
      <c r="P2" s="36" t="s">
        <v>127</v>
      </c>
      <c r="Q2" s="36" t="s">
        <v>128</v>
      </c>
      <c r="R2" s="36" t="s">
        <v>126</v>
      </c>
      <c r="S2" s="36" t="s">
        <v>127</v>
      </c>
      <c r="T2" s="36" t="s">
        <v>128</v>
      </c>
      <c r="U2" s="36" t="s">
        <v>126</v>
      </c>
      <c r="V2" s="36" t="s">
        <v>127</v>
      </c>
      <c r="W2" s="36" t="s">
        <v>128</v>
      </c>
      <c r="X2" s="36" t="s">
        <v>126</v>
      </c>
      <c r="Y2" s="36" t="s">
        <v>127</v>
      </c>
      <c r="Z2" s="36" t="s">
        <v>128</v>
      </c>
      <c r="AA2" s="36" t="s">
        <v>126</v>
      </c>
      <c r="AB2" s="36" t="s">
        <v>127</v>
      </c>
      <c r="AC2" s="36" t="s">
        <v>128</v>
      </c>
      <c r="AD2" s="36" t="s">
        <v>126</v>
      </c>
      <c r="AE2" s="36" t="s">
        <v>127</v>
      </c>
      <c r="AF2" s="36" t="s">
        <v>128</v>
      </c>
      <c r="AG2" s="36" t="s">
        <v>126</v>
      </c>
      <c r="AH2" s="36" t="s">
        <v>127</v>
      </c>
      <c r="AI2" s="36" t="s">
        <v>128</v>
      </c>
      <c r="AJ2" s="36" t="s">
        <v>126</v>
      </c>
      <c r="AK2" s="36" t="s">
        <v>127</v>
      </c>
      <c r="AL2" s="36" t="s">
        <v>128</v>
      </c>
      <c r="AM2" s="36" t="s">
        <v>126</v>
      </c>
      <c r="AN2" s="36" t="s">
        <v>127</v>
      </c>
      <c r="AO2" s="36" t="s">
        <v>128</v>
      </c>
      <c r="AP2" s="79">
        <f ca="1">TODAY()</f>
        <v>44099</v>
      </c>
    </row>
    <row r="3" spans="1:50" ht="23.25">
      <c r="A3" s="275" t="s">
        <v>349</v>
      </c>
      <c r="B3" s="276"/>
      <c r="C3" s="38"/>
      <c r="D3" s="47"/>
      <c r="E3" s="49"/>
      <c r="F3" s="48"/>
      <c r="G3" s="47"/>
      <c r="H3" s="49"/>
      <c r="I3" s="48"/>
      <c r="J3" s="47"/>
      <c r="K3" s="49"/>
      <c r="L3" s="50"/>
      <c r="M3" s="50"/>
      <c r="N3" s="49"/>
      <c r="O3" s="50"/>
      <c r="P3" s="50"/>
      <c r="Q3" s="49"/>
      <c r="R3" s="50"/>
      <c r="S3" s="50"/>
      <c r="T3" s="49"/>
      <c r="U3" s="50"/>
      <c r="V3" s="50"/>
      <c r="W3" s="49"/>
      <c r="X3" s="50"/>
      <c r="Y3" s="50"/>
      <c r="Z3" s="49"/>
      <c r="AA3" s="50"/>
      <c r="AB3" s="50"/>
      <c r="AC3" s="49"/>
      <c r="AD3" s="50"/>
      <c r="AE3" s="50"/>
      <c r="AF3" s="49"/>
      <c r="AG3" s="50"/>
      <c r="AH3" s="50"/>
      <c r="AI3" s="49"/>
      <c r="AJ3" s="50"/>
      <c r="AK3" s="50"/>
      <c r="AL3" s="49"/>
      <c r="AM3" s="50"/>
      <c r="AN3" s="50"/>
      <c r="AO3" s="49"/>
      <c r="AP3" s="1">
        <f ca="1">DATEVALUE(MONTH(TODAY())&amp;"/1/"&amp;YEAR(TODAY()))</f>
        <v>44075</v>
      </c>
    </row>
    <row r="4" spans="1:50">
      <c r="A4" s="18" t="s">
        <v>362</v>
      </c>
      <c r="B4" s="18" t="s">
        <v>349</v>
      </c>
      <c r="C4" s="143"/>
      <c r="D4" s="42">
        <f>SUMIF('Expense Detail Old'!$E$4:$E$5179,C$1&amp;" "&amp;$A4,'Expense Detail Old'!$H$4:$H$5179)</f>
        <v>0</v>
      </c>
      <c r="E4" s="144"/>
      <c r="F4" s="142"/>
      <c r="G4" s="142"/>
      <c r="H4" s="144"/>
      <c r="I4" s="142"/>
      <c r="J4" s="142"/>
      <c r="K4" s="144"/>
      <c r="L4" s="142"/>
      <c r="M4" s="142"/>
      <c r="N4" s="144"/>
      <c r="O4" s="142"/>
      <c r="P4" s="142"/>
      <c r="Q4" s="144"/>
      <c r="R4" s="142"/>
      <c r="S4" s="142"/>
      <c r="T4" s="144"/>
      <c r="U4" s="142"/>
      <c r="V4" s="142"/>
      <c r="W4" s="144"/>
      <c r="X4" s="142"/>
      <c r="Y4" s="142"/>
      <c r="Z4" s="144"/>
      <c r="AA4" s="142"/>
      <c r="AB4" s="142"/>
      <c r="AC4" s="144"/>
      <c r="AD4" s="142"/>
      <c r="AE4" s="142"/>
      <c r="AF4" s="144"/>
      <c r="AG4" s="142"/>
      <c r="AH4" s="142"/>
      <c r="AI4" s="144"/>
      <c r="AJ4" s="142"/>
      <c r="AK4" s="142"/>
      <c r="AL4" s="144"/>
      <c r="AM4" s="142"/>
      <c r="AN4" s="142"/>
      <c r="AO4" s="144"/>
      <c r="AP4" s="19"/>
      <c r="AQ4" s="19"/>
      <c r="AR4" s="19"/>
      <c r="AS4" s="19"/>
      <c r="AT4" s="19"/>
      <c r="AU4" s="19"/>
      <c r="AV4" s="19"/>
      <c r="AW4" s="19"/>
      <c r="AX4" s="19"/>
    </row>
    <row r="5" spans="1:50">
      <c r="A5" s="18" t="s">
        <v>631</v>
      </c>
      <c r="B5" s="18" t="s">
        <v>349</v>
      </c>
      <c r="C5" s="41">
        <v>0</v>
      </c>
      <c r="D5" s="42">
        <f>SUMIF('Expense Detail Old'!$E$4:$E$5179,C$1&amp;" "&amp;$A5,'Expense Detail Old'!$H$4:$H$5179)</f>
        <v>5.1699999999999875</v>
      </c>
      <c r="E5" s="82">
        <f t="shared" ref="E5:E15" si="0">D5-C5</f>
        <v>5.1699999999999875</v>
      </c>
      <c r="F5" s="42"/>
      <c r="G5" s="42">
        <f>SUMIF('Expense Detail Old'!$E$4:$E$5179,F$1&amp;" "&amp;$A5,'Expense Detail Old'!$H$4:$H$5179)</f>
        <v>0</v>
      </c>
      <c r="H5" s="82">
        <f t="shared" ref="H5:H15" si="1">G5-F5</f>
        <v>0</v>
      </c>
      <c r="I5" s="41"/>
      <c r="J5" s="42">
        <f>SUMIF('Expense Detail Old'!$E$4:$E$5179,I$1&amp;" "&amp;$A5,'Expense Detail Old'!$H$4:$H$5179)</f>
        <v>0</v>
      </c>
      <c r="K5" s="82">
        <f t="shared" ref="K5:K15" si="2">J5-I5</f>
        <v>0</v>
      </c>
      <c r="L5" s="42"/>
      <c r="M5" s="42">
        <f>SUMIF('Expense Detail Old'!$E$4:$E$5179,L$1&amp;" "&amp;$A5,'Expense Detail Old'!$H$4:$H$5179)</f>
        <v>0</v>
      </c>
      <c r="N5" s="82">
        <f t="shared" ref="N5:N15" si="3">M5-L5</f>
        <v>0</v>
      </c>
      <c r="O5" s="42"/>
      <c r="P5" s="42">
        <f>SUMIF('Expense Detail Old'!$E$4:$E$5179,O$1&amp;" "&amp;$A5,'Expense Detail Old'!$H$4:$H$5179)</f>
        <v>64</v>
      </c>
      <c r="Q5" s="82">
        <f t="shared" ref="Q5:Q15" si="4">P5-O5</f>
        <v>64</v>
      </c>
      <c r="R5" s="42"/>
      <c r="S5" s="42">
        <f>SUMIF('Expense Detail Old'!$E$4:$E$5179,R$1&amp;" "&amp;$A5,'Expense Detail Old'!$H$4:$H$5179)</f>
        <v>0</v>
      </c>
      <c r="T5" s="82">
        <f t="shared" ref="T5:T15" si="5">S5-R5</f>
        <v>0</v>
      </c>
      <c r="U5" s="42"/>
      <c r="V5" s="42">
        <f>SUMIF('Expense Detail Old'!$E$4:$E$5179,U$1&amp;" "&amp;$A5,'Expense Detail Old'!$H$4:$H$5179)</f>
        <v>0</v>
      </c>
      <c r="W5" s="82">
        <f t="shared" ref="W5:W15" si="6">V5-U5</f>
        <v>0</v>
      </c>
      <c r="X5" s="42"/>
      <c r="Y5" s="42">
        <f>SUMIF('Expense Detail Old'!$E$4:$E$5179,X$1&amp;" "&amp;$A5,'Expense Detail Old'!$H$4:$H$5179)</f>
        <v>0</v>
      </c>
      <c r="Z5" s="82">
        <f t="shared" ref="Z5:Z15" si="7">Y5-X5</f>
        <v>0</v>
      </c>
      <c r="AA5" s="42"/>
      <c r="AB5" s="42">
        <f>SUMIF('Expense Detail Old'!$E$4:$E$5179,AA$1&amp;" "&amp;$A5,'Expense Detail Old'!$H$4:$H$5179)</f>
        <v>0</v>
      </c>
      <c r="AC5" s="82">
        <f t="shared" ref="AC5:AC15" si="8">AB5-AA5</f>
        <v>0</v>
      </c>
      <c r="AD5" s="42"/>
      <c r="AE5" s="42">
        <f>SUMIF('Expense Detail Old'!$E$4:$E$5179,AD$1&amp;" "&amp;$A5,'Expense Detail Old'!$H$4:$H$5179)</f>
        <v>0</v>
      </c>
      <c r="AF5" s="82">
        <f t="shared" ref="AF5:AF15" si="9">AE5-AD5</f>
        <v>0</v>
      </c>
      <c r="AG5" s="42"/>
      <c r="AH5" s="42">
        <f>SUMIF('Expense Detail Old'!$E$4:$E$5179,AG$1&amp;" "&amp;$A5,'Expense Detail Old'!$H$4:$H$5179)</f>
        <v>0</v>
      </c>
      <c r="AI5" s="82">
        <f t="shared" ref="AI5:AI15" si="10">AH5-AG5</f>
        <v>0</v>
      </c>
      <c r="AJ5" s="42"/>
      <c r="AK5" s="42">
        <f>SUMIF('Expense Detail Old'!$E$4:$E$5179,AJ$1&amp;" "&amp;$A5,'Expense Detail Old'!$H$4:$H$5179)</f>
        <v>0</v>
      </c>
      <c r="AL5" s="82">
        <f t="shared" ref="AL5:AL15" si="11">AK5-AJ5</f>
        <v>0</v>
      </c>
      <c r="AM5" s="90">
        <f t="shared" ref="AM5:AM15" si="12">SUM(C5,F5,I5,L5,O5,R5,U5,X5,AA5,AD5,AG5,AJ5)</f>
        <v>0</v>
      </c>
      <c r="AN5" s="93">
        <f t="shared" ref="AN5:AN15" si="13">SUM(D5,G5,J5,M5,P5,S5,V5,Y5,AB5,AE5,AH5,AK5)</f>
        <v>69.169999999999987</v>
      </c>
      <c r="AO5" s="82">
        <f t="shared" ref="AO5:AO15" si="14">AN5-AM5</f>
        <v>69.169999999999987</v>
      </c>
    </row>
    <row r="6" spans="1:50">
      <c r="A6" s="18" t="s">
        <v>8</v>
      </c>
      <c r="B6" s="18" t="s">
        <v>353</v>
      </c>
      <c r="C6" s="41">
        <f>C54</f>
        <v>288</v>
      </c>
      <c r="D6" s="42">
        <f>SUMIF('Expense Detail Old'!$E$4:$E$5179,C$1&amp;" "&amp;$A6,'Expense Detail Old'!$H$4:$H$5179)</f>
        <v>288</v>
      </c>
      <c r="E6" s="82">
        <f t="shared" si="0"/>
        <v>0</v>
      </c>
      <c r="F6" s="41">
        <f>F54</f>
        <v>288</v>
      </c>
      <c r="G6" s="42">
        <f>SUMIF('Expense Detail Old'!$E$4:$E$5179,F$1&amp;" "&amp;$A6,'Expense Detail Old'!$H$4:$H$5179)</f>
        <v>288</v>
      </c>
      <c r="H6" s="82">
        <f t="shared" si="1"/>
        <v>0</v>
      </c>
      <c r="I6" s="41">
        <f>I54</f>
        <v>288</v>
      </c>
      <c r="J6" s="42">
        <f>SUMIF('Expense Detail Old'!$E$4:$E$5179,I$1&amp;" "&amp;$A6,'Expense Detail Old'!$H$4:$H$5179)</f>
        <v>288</v>
      </c>
      <c r="K6" s="82">
        <f t="shared" si="2"/>
        <v>0</v>
      </c>
      <c r="L6" s="41">
        <f>L54</f>
        <v>288</v>
      </c>
      <c r="M6" s="42">
        <f>SUMIF('Expense Detail Old'!$E$4:$E$5179,L$1&amp;" "&amp;$A6,'Expense Detail Old'!$H$4:$H$5179)</f>
        <v>288</v>
      </c>
      <c r="N6" s="82">
        <f t="shared" si="3"/>
        <v>0</v>
      </c>
      <c r="O6" s="41">
        <f>O54</f>
        <v>288</v>
      </c>
      <c r="P6" s="42">
        <f>SUMIF('Expense Detail Old'!$E$4:$E$5179,O$1&amp;" "&amp;$A6,'Expense Detail Old'!$H$4:$H$5179)</f>
        <v>484</v>
      </c>
      <c r="Q6" s="82">
        <f t="shared" si="4"/>
        <v>196</v>
      </c>
      <c r="R6" s="41">
        <f>R54</f>
        <v>288</v>
      </c>
      <c r="S6" s="42">
        <f>SUMIF('Expense Detail Old'!$E$4:$E$5179,R$1&amp;" "&amp;$A6,'Expense Detail Old'!$H$4:$H$5179)</f>
        <v>346.99999999999994</v>
      </c>
      <c r="T6" s="82">
        <f t="shared" si="5"/>
        <v>58.999999999999943</v>
      </c>
      <c r="U6" s="41">
        <f>U54</f>
        <v>288</v>
      </c>
      <c r="V6" s="42">
        <f>SUMIF('Expense Detail Old'!$E$4:$E$5179,U$1&amp;" "&amp;$A6,'Expense Detail Old'!$H$4:$H$5179)</f>
        <v>347</v>
      </c>
      <c r="W6" s="82">
        <f t="shared" si="6"/>
        <v>59</v>
      </c>
      <c r="X6" s="41">
        <f>X54</f>
        <v>288</v>
      </c>
      <c r="Y6" s="42">
        <f>SUMIF('Expense Detail Old'!$E$4:$E$5179,X$1&amp;" "&amp;$A6,'Expense Detail Old'!$H$4:$H$5179)</f>
        <v>0</v>
      </c>
      <c r="Z6" s="82">
        <f t="shared" si="7"/>
        <v>-288</v>
      </c>
      <c r="AA6" s="41">
        <f>AA54</f>
        <v>288</v>
      </c>
      <c r="AB6" s="42">
        <f>SUMIF('Expense Detail Old'!$E$4:$E$5179,AA$1&amp;" "&amp;$A6,'Expense Detail Old'!$H$4:$H$5179)</f>
        <v>0</v>
      </c>
      <c r="AC6" s="82">
        <f t="shared" si="8"/>
        <v>-288</v>
      </c>
      <c r="AD6" s="41">
        <f>AD54</f>
        <v>288</v>
      </c>
      <c r="AE6" s="42">
        <f>SUMIF('Expense Detail Old'!$E$4:$E$5179,AD$1&amp;" "&amp;$A6,'Expense Detail Old'!$H$4:$H$5179)</f>
        <v>0</v>
      </c>
      <c r="AF6" s="82">
        <f t="shared" si="9"/>
        <v>-288</v>
      </c>
      <c r="AG6" s="41">
        <f>AG54</f>
        <v>288</v>
      </c>
      <c r="AH6" s="42">
        <f>SUMIF('Expense Detail Old'!$E$4:$E$5179,AG$1&amp;" "&amp;$A6,'Expense Detail Old'!$H$4:$H$5179)</f>
        <v>0</v>
      </c>
      <c r="AI6" s="82">
        <f t="shared" si="10"/>
        <v>-288</v>
      </c>
      <c r="AJ6" s="41">
        <f>AJ54</f>
        <v>288</v>
      </c>
      <c r="AK6" s="42">
        <f>SUMIF('Expense Detail Old'!$E$4:$E$5179,AJ$1&amp;" "&amp;$A6,'Expense Detail Old'!$H$4:$H$5179)</f>
        <v>0</v>
      </c>
      <c r="AL6" s="82">
        <f t="shared" si="11"/>
        <v>-288</v>
      </c>
      <c r="AM6" s="90">
        <f t="shared" si="12"/>
        <v>3456</v>
      </c>
      <c r="AN6" s="93">
        <f t="shared" si="13"/>
        <v>2330</v>
      </c>
      <c r="AO6" s="82">
        <f t="shared" si="14"/>
        <v>-1126</v>
      </c>
    </row>
    <row r="7" spans="1:50">
      <c r="A7" s="18" t="s">
        <v>84</v>
      </c>
      <c r="B7" s="18" t="s">
        <v>349</v>
      </c>
      <c r="C7" s="41">
        <v>0</v>
      </c>
      <c r="D7" s="42">
        <v>0</v>
      </c>
      <c r="E7" s="82">
        <f t="shared" si="0"/>
        <v>0</v>
      </c>
      <c r="F7" s="42">
        <v>0</v>
      </c>
      <c r="G7" s="42">
        <f>SUMIF('Expense Detail Old'!$E$4:$E$5179,F$1&amp;" "&amp;$A7,'Expense Detail Old'!$H$4:$H$5179)</f>
        <v>0</v>
      </c>
      <c r="H7" s="82">
        <f t="shared" si="1"/>
        <v>0</v>
      </c>
      <c r="I7" s="41">
        <v>0</v>
      </c>
      <c r="J7" s="42">
        <f>SUMIF('Expense Detail Old'!$E$4:$E$5179,I$1&amp;" "&amp;$A7,'Expense Detail Old'!$H$4:$H$5179)</f>
        <v>20</v>
      </c>
      <c r="K7" s="82">
        <f t="shared" si="2"/>
        <v>20</v>
      </c>
      <c r="L7" s="41">
        <v>0</v>
      </c>
      <c r="M7" s="42">
        <f>SUMIF('Expense Detail Old'!$E$4:$E$5179,L$1&amp;" "&amp;$A7,'Expense Detail Old'!$H$4:$H$5179)</f>
        <v>0</v>
      </c>
      <c r="N7" s="82">
        <f t="shared" si="3"/>
        <v>0</v>
      </c>
      <c r="O7" s="41">
        <v>0</v>
      </c>
      <c r="P7" s="42">
        <f>SUMIF('Expense Detail Old'!$E$4:$E$5179,O$1&amp;" "&amp;$A7,'Expense Detail Old'!$H$4:$H$5179)</f>
        <v>0</v>
      </c>
      <c r="Q7" s="82">
        <f t="shared" si="4"/>
        <v>0</v>
      </c>
      <c r="R7" s="41">
        <v>0</v>
      </c>
      <c r="S7" s="42">
        <f>SUMIF('Expense Detail Old'!$E$4:$E$5179,R$1&amp;" "&amp;$A7,'Expense Detail Old'!$H$4:$H$5179)</f>
        <v>0</v>
      </c>
      <c r="T7" s="82">
        <f t="shared" si="5"/>
        <v>0</v>
      </c>
      <c r="U7" s="41">
        <v>0</v>
      </c>
      <c r="V7" s="42">
        <f>SUMIF('Expense Detail Old'!$E$4:$E$5179,U$1&amp;" "&amp;$A7,'Expense Detail Old'!$H$4:$H$5179)</f>
        <v>0</v>
      </c>
      <c r="W7" s="82">
        <f t="shared" si="6"/>
        <v>0</v>
      </c>
      <c r="X7" s="41">
        <v>0</v>
      </c>
      <c r="Y7" s="42">
        <f>SUMIF('Expense Detail Old'!$E$4:$E$5179,X$1&amp;" "&amp;$A7,'Expense Detail Old'!$H$4:$H$5179)</f>
        <v>0</v>
      </c>
      <c r="Z7" s="82">
        <f t="shared" si="7"/>
        <v>0</v>
      </c>
      <c r="AA7" s="41">
        <v>0</v>
      </c>
      <c r="AB7" s="42">
        <f>SUMIF('Expense Detail Old'!$E$4:$E$5179,AA$1&amp;" "&amp;$A7,'Expense Detail Old'!$H$4:$H$5179)</f>
        <v>0</v>
      </c>
      <c r="AC7" s="82">
        <f t="shared" si="8"/>
        <v>0</v>
      </c>
      <c r="AD7" s="41">
        <v>0</v>
      </c>
      <c r="AE7" s="42">
        <f>SUMIF('Expense Detail Old'!$E$4:$E$5179,AD$1&amp;" "&amp;$A7,'Expense Detail Old'!$H$4:$H$5179)</f>
        <v>0</v>
      </c>
      <c r="AF7" s="82">
        <f t="shared" si="9"/>
        <v>0</v>
      </c>
      <c r="AG7" s="41">
        <v>0</v>
      </c>
      <c r="AH7" s="42">
        <f>SUMIF('Expense Detail Old'!$E$4:$E$5179,AG$1&amp;" "&amp;$A7,'Expense Detail Old'!$H$4:$H$5179)</f>
        <v>0</v>
      </c>
      <c r="AI7" s="82">
        <f t="shared" si="10"/>
        <v>0</v>
      </c>
      <c r="AJ7" s="41">
        <v>0</v>
      </c>
      <c r="AK7" s="42">
        <f>SUMIF('Expense Detail Old'!$E$4:$E$5179,AJ$1&amp;" "&amp;$A7,'Expense Detail Old'!$H$4:$H$5179)</f>
        <v>0</v>
      </c>
      <c r="AL7" s="82">
        <f t="shared" si="11"/>
        <v>0</v>
      </c>
      <c r="AM7" s="90">
        <f t="shared" si="12"/>
        <v>0</v>
      </c>
      <c r="AN7" s="93">
        <f t="shared" si="13"/>
        <v>20</v>
      </c>
      <c r="AO7" s="82">
        <f t="shared" si="14"/>
        <v>20</v>
      </c>
      <c r="AP7" s="80">
        <f ca="1">(AP3-AP6)/30.4</f>
        <v>1449.8355263157896</v>
      </c>
    </row>
    <row r="8" spans="1:50">
      <c r="A8" s="18" t="s">
        <v>630</v>
      </c>
      <c r="B8" s="18" t="s">
        <v>349</v>
      </c>
      <c r="C8" s="41">
        <v>0</v>
      </c>
      <c r="D8" s="42">
        <v>25</v>
      </c>
      <c r="E8" s="82">
        <f t="shared" si="0"/>
        <v>25</v>
      </c>
      <c r="F8" s="42"/>
      <c r="G8" s="42"/>
      <c r="H8" s="82"/>
      <c r="I8" s="41"/>
      <c r="J8" s="42"/>
      <c r="K8" s="82"/>
      <c r="L8" s="41"/>
      <c r="M8" s="42"/>
      <c r="N8" s="82"/>
      <c r="O8" s="41"/>
      <c r="P8" s="42"/>
      <c r="Q8" s="82"/>
      <c r="R8" s="41"/>
      <c r="S8" s="42"/>
      <c r="T8" s="82"/>
      <c r="U8" s="41"/>
      <c r="V8" s="42"/>
      <c r="W8" s="82"/>
      <c r="X8" s="41"/>
      <c r="Y8" s="42"/>
      <c r="Z8" s="82"/>
      <c r="AA8" s="41"/>
      <c r="AB8" s="42"/>
      <c r="AC8" s="82"/>
      <c r="AD8" s="41"/>
      <c r="AE8" s="42"/>
      <c r="AF8" s="82"/>
      <c r="AG8" s="41"/>
      <c r="AH8" s="42"/>
      <c r="AI8" s="82"/>
      <c r="AJ8" s="41"/>
      <c r="AK8" s="42"/>
      <c r="AL8" s="82"/>
      <c r="AM8" s="90"/>
      <c r="AN8" s="93"/>
      <c r="AO8" s="82"/>
      <c r="AP8" s="80"/>
    </row>
    <row r="9" spans="1:50">
      <c r="A9" s="18" t="s">
        <v>9</v>
      </c>
      <c r="B9" s="18" t="s">
        <v>349</v>
      </c>
      <c r="C9" s="41">
        <v>0.05</v>
      </c>
      <c r="D9" s="42">
        <f>SUMIF('Expense Detail Old'!$E$4:$E$5179,C$1&amp;" "&amp;$A9,'Expense Detail Old'!$H$4:$H$5179)</f>
        <v>0.01</v>
      </c>
      <c r="E9" s="82">
        <f t="shared" si="0"/>
        <v>-0.04</v>
      </c>
      <c r="F9" s="42">
        <v>0.05</v>
      </c>
      <c r="G9" s="42">
        <f>SUMIF('Expense Detail Old'!$E$4:$E$5179,F$1&amp;" "&amp;$A9,'Expense Detail Old'!$H$4:$H$5179)</f>
        <v>0.03</v>
      </c>
      <c r="H9" s="82">
        <f t="shared" si="1"/>
        <v>-2.0000000000000004E-2</v>
      </c>
      <c r="I9" s="41">
        <v>0.05</v>
      </c>
      <c r="J9" s="42">
        <f>SUMIF('Expense Detail Old'!$E$4:$E$5179,I$1&amp;" "&amp;$A9,'Expense Detail Old'!$H$4:$H$5179)</f>
        <v>0.01</v>
      </c>
      <c r="K9" s="82">
        <f t="shared" si="2"/>
        <v>-0.04</v>
      </c>
      <c r="L9" s="41">
        <v>0.05</v>
      </c>
      <c r="M9" s="42">
        <f>SUMIF('Expense Detail Old'!$E$4:$E$5179,L$1&amp;" "&amp;$A9,'Expense Detail Old'!$H$4:$H$5179)</f>
        <v>0</v>
      </c>
      <c r="N9" s="82">
        <f t="shared" si="3"/>
        <v>-0.05</v>
      </c>
      <c r="O9" s="41">
        <v>0.05</v>
      </c>
      <c r="P9" s="42">
        <f>SUMIF('Expense Detail Old'!$E$4:$E$5179,O$1&amp;" "&amp;$A9,'Expense Detail Old'!$H$4:$H$5179)</f>
        <v>0</v>
      </c>
      <c r="Q9" s="82">
        <f t="shared" si="4"/>
        <v>-0.05</v>
      </c>
      <c r="R9" s="41">
        <v>0.05</v>
      </c>
      <c r="S9" s="42">
        <f>SUMIF('Expense Detail Old'!$E$4:$E$5179,R$1&amp;" "&amp;$A9,'Expense Detail Old'!$H$4:$H$5179)</f>
        <v>0.03</v>
      </c>
      <c r="T9" s="82">
        <f t="shared" si="5"/>
        <v>-2.0000000000000004E-2</v>
      </c>
      <c r="U9" s="41">
        <v>0.05</v>
      </c>
      <c r="V9" s="42">
        <f>SUMIF('Expense Detail Old'!$E$4:$E$5179,U$1&amp;" "&amp;$A9,'Expense Detail Old'!$H$4:$H$5179)</f>
        <v>0.02</v>
      </c>
      <c r="W9" s="82">
        <f t="shared" si="6"/>
        <v>-3.0000000000000002E-2</v>
      </c>
      <c r="X9" s="41">
        <v>0.05</v>
      </c>
      <c r="Y9" s="42">
        <f>SUMIF('Expense Detail Old'!$E$4:$E$5179,X$1&amp;" "&amp;$A9,'Expense Detail Old'!$H$4:$H$5179)</f>
        <v>0</v>
      </c>
      <c r="Z9" s="82">
        <f t="shared" si="7"/>
        <v>-0.05</v>
      </c>
      <c r="AA9" s="41">
        <v>0.05</v>
      </c>
      <c r="AB9" s="42">
        <f>SUMIF('Expense Detail Old'!$E$4:$E$5179,AA$1&amp;" "&amp;$A9,'Expense Detail Old'!$H$4:$H$5179)</f>
        <v>0</v>
      </c>
      <c r="AC9" s="82">
        <f t="shared" si="8"/>
        <v>-0.05</v>
      </c>
      <c r="AD9" s="41">
        <v>0.05</v>
      </c>
      <c r="AE9" s="42">
        <f>SUMIF('Expense Detail Old'!$E$4:$E$5179,AD$1&amp;" "&amp;$A9,'Expense Detail Old'!$H$4:$H$5179)</f>
        <v>0</v>
      </c>
      <c r="AF9" s="82">
        <f t="shared" si="9"/>
        <v>-0.05</v>
      </c>
      <c r="AG9" s="41">
        <v>0.05</v>
      </c>
      <c r="AH9" s="42">
        <f>SUMIF('Expense Detail Old'!$E$4:$E$5179,AG$1&amp;" "&amp;$A9,'Expense Detail Old'!$H$4:$H$5179)</f>
        <v>0</v>
      </c>
      <c r="AI9" s="82">
        <f t="shared" si="10"/>
        <v>-0.05</v>
      </c>
      <c r="AJ9" s="41">
        <v>0.05</v>
      </c>
      <c r="AK9" s="42">
        <f>SUMIF('Expense Detail Old'!$E$4:$E$5179,AJ$1&amp;" "&amp;$A9,'Expense Detail Old'!$H$4:$H$5179)</f>
        <v>0</v>
      </c>
      <c r="AL9" s="82">
        <f t="shared" si="11"/>
        <v>-0.05</v>
      </c>
      <c r="AM9" s="90">
        <f t="shared" si="12"/>
        <v>0.6</v>
      </c>
      <c r="AN9" s="93">
        <f t="shared" si="13"/>
        <v>0.1</v>
      </c>
      <c r="AO9" s="82">
        <f t="shared" si="14"/>
        <v>-0.5</v>
      </c>
      <c r="AP9" t="str">
        <f ca="1">VLOOKUP(MONTH(TODAY()),Table4[],2,FALSE)</f>
        <v>Sep</v>
      </c>
    </row>
    <row r="10" spans="1:50">
      <c r="A10" s="18" t="s">
        <v>358</v>
      </c>
      <c r="B10" s="18" t="s">
        <v>349</v>
      </c>
      <c r="C10" s="41">
        <v>0</v>
      </c>
      <c r="D10" s="42">
        <f>SUMIF('Expense Detail Old'!$E$4:$E$5179,C$1&amp;" "&amp;$A10,'Expense Detail Old'!$H$4:$H$5179)</f>
        <v>0</v>
      </c>
      <c r="E10" s="82">
        <f t="shared" si="0"/>
        <v>0</v>
      </c>
      <c r="F10" s="42">
        <v>0</v>
      </c>
      <c r="G10" s="42">
        <f>SUMIF('Expense Detail Old'!$E$4:$E$5179,F$1&amp;" "&amp;$A10,'Expense Detail Old'!$H$4:$H$5179)</f>
        <v>0</v>
      </c>
      <c r="H10" s="82">
        <f t="shared" si="1"/>
        <v>0</v>
      </c>
      <c r="I10" s="41">
        <v>0</v>
      </c>
      <c r="J10" s="42">
        <f>SUMIF('Expense Detail Old'!$E$4:$E$5179,I$1&amp;" "&amp;$A10,'Expense Detail Old'!$H$4:$H$5179)</f>
        <v>50</v>
      </c>
      <c r="K10" s="82">
        <f t="shared" si="2"/>
        <v>50</v>
      </c>
      <c r="L10" s="41">
        <v>0</v>
      </c>
      <c r="M10" s="42">
        <f>SUMIF('Expense Detail Old'!$E$4:$E$5179,L$1&amp;" "&amp;$A10,'Expense Detail Old'!$H$4:$H$5179)</f>
        <v>0</v>
      </c>
      <c r="N10" s="82">
        <f t="shared" si="3"/>
        <v>0</v>
      </c>
      <c r="O10" s="41">
        <v>0</v>
      </c>
      <c r="P10" s="42">
        <f>SUMIF('Expense Detail Old'!$E$4:$E$5179,O$1&amp;" "&amp;$A10,'Expense Detail Old'!$H$4:$H$5179)</f>
        <v>0</v>
      </c>
      <c r="Q10" s="82">
        <f t="shared" si="4"/>
        <v>0</v>
      </c>
      <c r="R10" s="41">
        <v>0</v>
      </c>
      <c r="S10" s="42">
        <f>SUMIF('Expense Detail Old'!$E$4:$E$5179,R$1&amp;" "&amp;$A10,'Expense Detail Old'!$H$4:$H$5179)</f>
        <v>0</v>
      </c>
      <c r="T10" s="82">
        <f t="shared" si="5"/>
        <v>0</v>
      </c>
      <c r="U10" s="41">
        <v>0</v>
      </c>
      <c r="V10" s="42">
        <f>SUMIF('Expense Detail Old'!$E$4:$E$5179,U$1&amp;" "&amp;$A10,'Expense Detail Old'!$H$4:$H$5179)</f>
        <v>0</v>
      </c>
      <c r="W10" s="82">
        <f t="shared" si="6"/>
        <v>0</v>
      </c>
      <c r="X10" s="41">
        <v>0</v>
      </c>
      <c r="Y10" s="42">
        <f>SUMIF('Expense Detail Old'!$E$4:$E$5179,X$1&amp;" "&amp;$A10,'Expense Detail Old'!$H$4:$H$5179)</f>
        <v>0</v>
      </c>
      <c r="Z10" s="82">
        <f t="shared" si="7"/>
        <v>0</v>
      </c>
      <c r="AA10" s="41">
        <v>0</v>
      </c>
      <c r="AB10" s="42">
        <f>SUMIF('Expense Detail Old'!$E$4:$E$5179,AA$1&amp;" "&amp;$A10,'Expense Detail Old'!$H$4:$H$5179)</f>
        <v>0</v>
      </c>
      <c r="AC10" s="82">
        <f t="shared" si="8"/>
        <v>0</v>
      </c>
      <c r="AD10" s="41">
        <v>0</v>
      </c>
      <c r="AE10" s="42">
        <f>SUMIF('Expense Detail Old'!$E$4:$E$5179,AD$1&amp;" "&amp;$A10,'Expense Detail Old'!$H$4:$H$5179)</f>
        <v>0</v>
      </c>
      <c r="AF10" s="82">
        <f t="shared" si="9"/>
        <v>0</v>
      </c>
      <c r="AG10" s="41">
        <v>0</v>
      </c>
      <c r="AH10" s="42">
        <f>SUMIF('Expense Detail Old'!$E$4:$E$5179,AG$1&amp;" "&amp;$A10,'Expense Detail Old'!$H$4:$H$5179)</f>
        <v>0</v>
      </c>
      <c r="AI10" s="82">
        <f t="shared" si="10"/>
        <v>0</v>
      </c>
      <c r="AJ10" s="41">
        <v>0</v>
      </c>
      <c r="AK10" s="42">
        <f>SUMIF('Expense Detail Old'!$E$4:$E$5179,AJ$1&amp;" "&amp;$A10,'Expense Detail Old'!$H$4:$H$5179)</f>
        <v>0</v>
      </c>
      <c r="AL10" s="82">
        <f t="shared" si="11"/>
        <v>0</v>
      </c>
      <c r="AM10" s="90">
        <f t="shared" si="12"/>
        <v>0</v>
      </c>
      <c r="AN10" s="93">
        <f t="shared" si="13"/>
        <v>50</v>
      </c>
      <c r="AO10" s="82">
        <f t="shared" si="14"/>
        <v>50</v>
      </c>
      <c r="AP10" s="42">
        <v>0</v>
      </c>
      <c r="AQ10" s="42">
        <f>SUMIF('Expense Detail Old'!$E$4:$E$5179,AP$1&amp;" "&amp;$A10,'Expense Detail Old'!$H$4:$H$5179)</f>
        <v>0</v>
      </c>
      <c r="AR10" s="93">
        <f>AQ10-AP10</f>
        <v>0</v>
      </c>
    </row>
    <row r="11" spans="1:50">
      <c r="A11" s="18" t="s">
        <v>133</v>
      </c>
      <c r="B11" s="18" t="s">
        <v>972</v>
      </c>
      <c r="C11" s="41">
        <v>289</v>
      </c>
      <c r="D11" s="42">
        <f>SUMIF('Expense Detail Old'!$E$4:$E$5179,C$1&amp;" "&amp;$A11,'Expense Detail Old'!$H$4:$H$5179)</f>
        <v>602.66</v>
      </c>
      <c r="E11" s="82">
        <f t="shared" si="0"/>
        <v>313.65999999999997</v>
      </c>
      <c r="F11" s="42">
        <v>0</v>
      </c>
      <c r="G11" s="42">
        <f>SUMIF('Expense Detail Old'!$E$4:$E$5179,F$1&amp;" "&amp;$A11,'Expense Detail Old'!$H$4:$H$5179)</f>
        <v>0</v>
      </c>
      <c r="H11" s="82">
        <f t="shared" si="1"/>
        <v>0</v>
      </c>
      <c r="I11" s="41">
        <v>0</v>
      </c>
      <c r="J11" s="42">
        <f>SUMIF('Expense Detail Old'!$E$4:$E$5179,I$1&amp;" "&amp;$A11,'Expense Detail Old'!$H$4:$H$5179)</f>
        <v>0</v>
      </c>
      <c r="K11" s="82">
        <f t="shared" si="2"/>
        <v>0</v>
      </c>
      <c r="L11" s="41"/>
      <c r="M11" s="42">
        <f>SUMIF('Expense Detail Old'!$E$4:$E$5179,L$1&amp;" "&amp;$A11,'Expense Detail Old'!$H$4:$H$5179)</f>
        <v>0</v>
      </c>
      <c r="N11" s="82">
        <f t="shared" si="3"/>
        <v>0</v>
      </c>
      <c r="O11" s="41">
        <v>95</v>
      </c>
      <c r="P11" s="42">
        <f>SUMIF('Expense Detail Old'!$E$4:$E$5179,O$1&amp;" "&amp;$A11,'Expense Detail Old'!$H$4:$H$5179)</f>
        <v>35</v>
      </c>
      <c r="Q11" s="82">
        <f t="shared" si="4"/>
        <v>-60</v>
      </c>
      <c r="R11" s="41">
        <v>60</v>
      </c>
      <c r="S11" s="42">
        <f>SUMIF('Expense Detail Old'!$E$4:$E$5179,R$1&amp;" "&amp;$A11,'Expense Detail Old'!$H$4:$H$5179)</f>
        <v>0</v>
      </c>
      <c r="T11" s="82">
        <f t="shared" si="5"/>
        <v>-60</v>
      </c>
      <c r="U11" s="41">
        <v>70</v>
      </c>
      <c r="V11" s="42">
        <f>SUMIF('Expense Detail Old'!$E$4:$E$5179,U$1&amp;" "&amp;$A11,'Expense Detail Old'!$H$4:$H$5179)</f>
        <v>0</v>
      </c>
      <c r="W11" s="82">
        <f t="shared" si="6"/>
        <v>-70</v>
      </c>
      <c r="X11" s="41">
        <v>60</v>
      </c>
      <c r="Y11" s="42">
        <f>SUMIF('Expense Detail Old'!$E$4:$E$5179,X$1&amp;" "&amp;$A11,'Expense Detail Old'!$H$4:$H$5179)</f>
        <v>0</v>
      </c>
      <c r="Z11" s="82">
        <f t="shared" si="7"/>
        <v>-60</v>
      </c>
      <c r="AA11" s="45">
        <v>95</v>
      </c>
      <c r="AB11" s="42">
        <f>SUMIF('Expense Detail Old'!$E$4:$E$5179,AA$1&amp;" "&amp;$A11,'Expense Detail Old'!$H$4:$H$5179)</f>
        <v>0</v>
      </c>
      <c r="AC11" s="82">
        <f t="shared" si="8"/>
        <v>-95</v>
      </c>
      <c r="AD11" s="45">
        <v>60</v>
      </c>
      <c r="AE11" s="42">
        <f>SUMIF('Expense Detail Old'!$E$4:$E$5179,AD$1&amp;" "&amp;$A11,'Expense Detail Old'!$H$4:$H$5179)</f>
        <v>0</v>
      </c>
      <c r="AF11" s="82">
        <f t="shared" si="9"/>
        <v>-60</v>
      </c>
      <c r="AG11" s="45">
        <v>70</v>
      </c>
      <c r="AH11" s="42">
        <f>SUMIF('Expense Detail Old'!$E$4:$E$5179,AG$1&amp;" "&amp;$A11,'Expense Detail Old'!$H$4:$H$5179)</f>
        <v>0</v>
      </c>
      <c r="AI11" s="82">
        <f t="shared" si="10"/>
        <v>-70</v>
      </c>
      <c r="AJ11" s="45">
        <v>60</v>
      </c>
      <c r="AK11" s="42">
        <f>SUMIF('Expense Detail Old'!$E$4:$E$5179,AJ$1&amp;" "&amp;$A11,'Expense Detail Old'!$H$4:$H$5179)</f>
        <v>0</v>
      </c>
      <c r="AL11" s="82">
        <f t="shared" si="11"/>
        <v>-60</v>
      </c>
      <c r="AM11" s="90">
        <f t="shared" si="12"/>
        <v>859</v>
      </c>
      <c r="AN11" s="93">
        <f t="shared" si="13"/>
        <v>637.66</v>
      </c>
      <c r="AO11" s="82">
        <f t="shared" si="14"/>
        <v>-221.34000000000003</v>
      </c>
    </row>
    <row r="12" spans="1:50">
      <c r="A12" s="18" t="s">
        <v>10</v>
      </c>
      <c r="B12" s="18" t="s">
        <v>349</v>
      </c>
      <c r="C12" s="41">
        <v>7000</v>
      </c>
      <c r="D12" s="42">
        <f>SUMIF('Expense Detail Old'!$E$4:$E$5179,C$1&amp;" "&amp;$A12,'Expense Detail Old'!$H$4:$H$5179)</f>
        <v>7075</v>
      </c>
      <c r="E12" s="82">
        <f t="shared" si="0"/>
        <v>75</v>
      </c>
      <c r="F12" s="42">
        <v>0</v>
      </c>
      <c r="G12" s="42">
        <f>SUMIF('Expense Detail Old'!$E$4:$E$5179,F$1&amp;" "&amp;$A12,'Expense Detail Old'!$H$4:$H$5179)</f>
        <v>0</v>
      </c>
      <c r="H12" s="82">
        <f t="shared" si="1"/>
        <v>0</v>
      </c>
      <c r="I12" s="81">
        <v>0</v>
      </c>
      <c r="J12" s="42">
        <f>SUMIF('Expense Detail Old'!$E$4:$E$5179,I$1&amp;" "&amp;$A12,'Expense Detail Old'!$H$4:$H$5179)</f>
        <v>0</v>
      </c>
      <c r="K12" s="82">
        <f t="shared" si="2"/>
        <v>0</v>
      </c>
      <c r="L12" s="81">
        <v>0</v>
      </c>
      <c r="M12" s="42">
        <f>SUMIF('Expense Detail Old'!$E$4:$E$5179,L$1&amp;" "&amp;$A12,'Expense Detail Old'!$H$4:$H$5179)</f>
        <v>5900</v>
      </c>
      <c r="N12" s="82">
        <f t="shared" si="3"/>
        <v>5900</v>
      </c>
      <c r="O12" s="81">
        <v>0</v>
      </c>
      <c r="P12" s="42">
        <f>SUMIF('Expense Detail Old'!$E$4:$E$5179,O$1&amp;" "&amp;$A12,'Expense Detail Old'!$H$4:$H$5179)</f>
        <v>8162.65</v>
      </c>
      <c r="Q12" s="82">
        <f t="shared" si="4"/>
        <v>8162.65</v>
      </c>
      <c r="R12" s="81">
        <v>0</v>
      </c>
      <c r="S12" s="42">
        <f>SUMIF('Expense Detail Old'!$E$4:$E$5179,R$1&amp;" "&amp;$A12,'Expense Detail Old'!$H$4:$H$5179)</f>
        <v>0</v>
      </c>
      <c r="T12" s="82">
        <f t="shared" si="5"/>
        <v>0</v>
      </c>
      <c r="U12" s="81">
        <v>0</v>
      </c>
      <c r="V12" s="42">
        <f>SUMIF('Expense Detail Old'!$E$4:$E$5179,U$1&amp;" "&amp;$A12,'Expense Detail Old'!$H$4:$H$5179)</f>
        <v>8500.42</v>
      </c>
      <c r="W12" s="82">
        <f t="shared" si="6"/>
        <v>8500.42</v>
      </c>
      <c r="X12" s="81">
        <v>0</v>
      </c>
      <c r="Y12" s="42">
        <f>SUMIF('Expense Detail Old'!$E$4:$E$5179,X$1&amp;" "&amp;$A12,'Expense Detail Old'!$H$4:$H$5179)</f>
        <v>0</v>
      </c>
      <c r="Z12" s="82">
        <f t="shared" si="7"/>
        <v>0</v>
      </c>
      <c r="AA12" s="81">
        <v>0</v>
      </c>
      <c r="AB12" s="42">
        <f>SUMIF('Expense Detail Old'!$E$4:$E$5179,AA$1&amp;" "&amp;$A12,'Expense Detail Old'!$H$4:$H$5179)</f>
        <v>0</v>
      </c>
      <c r="AC12" s="82">
        <f t="shared" si="8"/>
        <v>0</v>
      </c>
      <c r="AD12" s="81">
        <v>0</v>
      </c>
      <c r="AE12" s="42">
        <f>SUMIF('Expense Detail Old'!$E$4:$E$5179,AD$1&amp;" "&amp;$A12,'Expense Detail Old'!$H$4:$H$5179)</f>
        <v>0</v>
      </c>
      <c r="AF12" s="82">
        <f t="shared" si="9"/>
        <v>0</v>
      </c>
      <c r="AG12" s="81">
        <v>0</v>
      </c>
      <c r="AH12" s="42">
        <f>SUMIF('Expense Detail Old'!$E$4:$E$5179,AG$1&amp;" "&amp;$A12,'Expense Detail Old'!$H$4:$H$5179)</f>
        <v>0</v>
      </c>
      <c r="AI12" s="82">
        <f t="shared" si="10"/>
        <v>0</v>
      </c>
      <c r="AJ12" s="81">
        <v>0</v>
      </c>
      <c r="AK12" s="42">
        <f>SUMIF('Expense Detail Old'!$E$4:$E$5179,AJ$1&amp;" "&amp;$A12,'Expense Detail Old'!$H$4:$H$5179)</f>
        <v>0</v>
      </c>
      <c r="AL12" s="82">
        <f t="shared" si="11"/>
        <v>0</v>
      </c>
      <c r="AM12" s="90">
        <f t="shared" si="12"/>
        <v>7000</v>
      </c>
      <c r="AN12" s="93">
        <f t="shared" si="13"/>
        <v>29638.07</v>
      </c>
      <c r="AO12" s="82">
        <f t="shared" si="14"/>
        <v>22638.07</v>
      </c>
    </row>
    <row r="13" spans="1:50">
      <c r="A13" s="18" t="s">
        <v>587</v>
      </c>
      <c r="B13" s="18" t="s">
        <v>349</v>
      </c>
      <c r="C13" s="41">
        <v>3614.27</v>
      </c>
      <c r="D13" s="42">
        <f>SUMIF('Expense Detail Old'!$E$4:$E$5179,C$1&amp;" "&amp;$A13,'Expense Detail Old'!$H$4:$H$5179)</f>
        <v>0</v>
      </c>
      <c r="E13" s="82"/>
      <c r="F13" s="42">
        <v>0</v>
      </c>
      <c r="G13" s="42">
        <f>SUMIF('Expense Detail Old'!$E$4:$E$5179,F$1&amp;" "&amp;$A13,'Expense Detail Old'!$H$4:$H$5179)</f>
        <v>3614.77</v>
      </c>
      <c r="H13" s="82">
        <f t="shared" si="1"/>
        <v>3614.77</v>
      </c>
      <c r="I13" s="42"/>
      <c r="J13" s="42">
        <f>SUMIF('Expense Detail Old'!$E$4:$E$5179,I$1&amp;" "&amp;$A13,'Expense Detail Old'!$H$4:$H$5179)</f>
        <v>0</v>
      </c>
      <c r="K13" s="82"/>
      <c r="L13" s="42"/>
      <c r="M13" s="42">
        <f>SUMIF('Expense Detail Old'!$E$4:$E$5179,L$1&amp;" "&amp;$A13,'Expense Detail Old'!$H$4:$H$5179)</f>
        <v>0</v>
      </c>
      <c r="N13" s="82"/>
      <c r="O13" s="42"/>
      <c r="P13" s="42">
        <f>SUMIF('Expense Detail Old'!$E$4:$E$5179,O$1&amp;" "&amp;$A13,'Expense Detail Old'!$H$4:$H$5179)</f>
        <v>1700</v>
      </c>
      <c r="Q13" s="82"/>
      <c r="R13" s="42"/>
      <c r="S13" s="42"/>
      <c r="T13" s="82"/>
      <c r="U13" s="42"/>
      <c r="V13" s="42"/>
      <c r="W13" s="82"/>
      <c r="X13" s="42"/>
      <c r="Y13" s="42"/>
      <c r="Z13" s="82"/>
      <c r="AA13" s="42"/>
      <c r="AB13" s="42">
        <f>SUMIF('Expense Detail Old'!$E$4:$E$5179,AA$1&amp;" "&amp;$A13,'Expense Detail Old'!$H$4:$H$5179)</f>
        <v>0</v>
      </c>
      <c r="AC13" s="82"/>
      <c r="AD13" s="42"/>
      <c r="AE13" s="42">
        <f>SUMIF('Expense Detail Old'!$E$4:$E$5179,AD$1&amp;" "&amp;$A13,'Expense Detail Old'!$H$4:$H$5179)</f>
        <v>0</v>
      </c>
      <c r="AF13" s="82"/>
      <c r="AG13" s="42"/>
      <c r="AH13" s="42">
        <f>SUMIF('Expense Detail Old'!$E$4:$E$5179,AG$1&amp;" "&amp;$A13,'Expense Detail Old'!$H$4:$H$5179)</f>
        <v>0</v>
      </c>
      <c r="AI13" s="82"/>
      <c r="AJ13" s="42"/>
      <c r="AK13" s="42">
        <f>SUMIF('Expense Detail Old'!$E$4:$E$5179,AJ$1&amp;" "&amp;$A13,'Expense Detail Old'!$H$4:$H$5179)</f>
        <v>0</v>
      </c>
      <c r="AL13" s="82"/>
      <c r="AM13" s="90"/>
      <c r="AN13" s="93"/>
      <c r="AO13" s="82"/>
    </row>
    <row r="14" spans="1:50">
      <c r="A14" s="18" t="s">
        <v>124</v>
      </c>
      <c r="B14" s="18" t="s">
        <v>368</v>
      </c>
      <c r="C14" s="41">
        <v>2700</v>
      </c>
      <c r="D14" s="42">
        <f>SUMIF('Expense Detail Old'!$E$4:$E$5179,C$1&amp;" "&amp;$A14,'Expense Detail Old'!$H$4:$H$5179)</f>
        <v>2700</v>
      </c>
      <c r="E14" s="82">
        <f t="shared" si="0"/>
        <v>0</v>
      </c>
      <c r="F14" s="44">
        <v>0</v>
      </c>
      <c r="G14" s="42">
        <f>SUMIF('Expense Detail Old'!$E$4:$E$5179,F$1&amp;" "&amp;$A14,'Expense Detail Old'!$H$4:$H$5179)</f>
        <v>0</v>
      </c>
      <c r="H14" s="82">
        <f t="shared" si="1"/>
        <v>0</v>
      </c>
      <c r="I14" s="45">
        <v>0</v>
      </c>
      <c r="J14" s="42">
        <f>SUMIF('Expense Detail Old'!$E$4:$E$5179,I$1&amp;" "&amp;$A14,'Expense Detail Old'!$H$4:$H$5179)</f>
        <v>0</v>
      </c>
      <c r="K14" s="82">
        <f t="shared" si="2"/>
        <v>0</v>
      </c>
      <c r="L14" s="45">
        <v>0</v>
      </c>
      <c r="M14" s="42">
        <f>SUMIF('Expense Detail Old'!$E$4:$E$5179,L$1&amp;" "&amp;$A14,'Expense Detail Old'!$H$4:$H$5179)</f>
        <v>0</v>
      </c>
      <c r="N14" s="82">
        <f t="shared" si="3"/>
        <v>0</v>
      </c>
      <c r="O14" s="45">
        <v>0</v>
      </c>
      <c r="P14" s="42">
        <f>SUMIF('Expense Detail Old'!$E$4:$E$5179,O$1&amp;" "&amp;$A14,'Expense Detail Old'!$H$4:$H$5179)</f>
        <v>0</v>
      </c>
      <c r="Q14" s="82">
        <f t="shared" si="4"/>
        <v>0</v>
      </c>
      <c r="R14" s="45">
        <v>0</v>
      </c>
      <c r="S14" s="42">
        <f>SUMIF('Expense Detail Old'!$E$4:$E$5179,R$1&amp;" "&amp;$A14,'Expense Detail Old'!$H$4:$H$5179)</f>
        <v>0</v>
      </c>
      <c r="T14" s="82">
        <f t="shared" si="5"/>
        <v>0</v>
      </c>
      <c r="U14" s="45">
        <v>0</v>
      </c>
      <c r="V14" s="42">
        <f>SUMIF('Expense Detail Old'!$E$4:$E$5179,U$1&amp;" "&amp;$A14,'Expense Detail Old'!$H$4:$H$5179)</f>
        <v>0</v>
      </c>
      <c r="W14" s="82">
        <f t="shared" si="6"/>
        <v>0</v>
      </c>
      <c r="X14" s="45">
        <v>0</v>
      </c>
      <c r="Y14" s="42">
        <f>SUMIF('Expense Detail Old'!$E$4:$E$5179,X$1&amp;" "&amp;$A14,'Expense Detail Old'!$H$4:$H$5179)</f>
        <v>0</v>
      </c>
      <c r="Z14" s="82">
        <f t="shared" si="7"/>
        <v>0</v>
      </c>
      <c r="AA14" s="45">
        <v>0</v>
      </c>
      <c r="AB14" s="42">
        <f>SUMIF('Expense Detail Old'!$E$4:$E$5179,AA$1&amp;" "&amp;$A14,'Expense Detail Old'!$H$4:$H$5179)</f>
        <v>0</v>
      </c>
      <c r="AC14" s="82">
        <f t="shared" si="8"/>
        <v>0</v>
      </c>
      <c r="AD14" s="45">
        <v>0</v>
      </c>
      <c r="AE14" s="42">
        <f>SUMIF('Expense Detail Old'!$E$4:$E$5179,AD$1&amp;" "&amp;$A14,'Expense Detail Old'!$H$4:$H$5179)</f>
        <v>0</v>
      </c>
      <c r="AF14" s="82">
        <f t="shared" si="9"/>
        <v>0</v>
      </c>
      <c r="AG14" s="45">
        <v>0</v>
      </c>
      <c r="AH14" s="42">
        <f>SUMIF('Expense Detail Old'!$E$4:$E$5179,AG$1&amp;" "&amp;$A14,'Expense Detail Old'!$H$4:$H$5179)</f>
        <v>0</v>
      </c>
      <c r="AI14" s="82">
        <f t="shared" si="10"/>
        <v>0</v>
      </c>
      <c r="AJ14" s="45">
        <v>0</v>
      </c>
      <c r="AK14" s="42">
        <f>SUMIF('Expense Detail Old'!$E$4:$E$5179,AJ$1&amp;" "&amp;$A14,'Expense Detail Old'!$H$4:$H$5179)</f>
        <v>0</v>
      </c>
      <c r="AL14" s="82">
        <f t="shared" si="11"/>
        <v>0</v>
      </c>
      <c r="AM14" s="90">
        <f t="shared" si="12"/>
        <v>2700</v>
      </c>
      <c r="AN14" s="93">
        <f t="shared" si="13"/>
        <v>2700</v>
      </c>
      <c r="AO14" s="82">
        <f t="shared" si="14"/>
        <v>0</v>
      </c>
      <c r="AP14" s="92"/>
      <c r="AQ14" s="92"/>
      <c r="AR14" s="94"/>
    </row>
    <row r="15" spans="1:50" ht="16.5" thickBot="1">
      <c r="A15" s="18" t="s">
        <v>36</v>
      </c>
      <c r="B15" s="18" t="s">
        <v>349</v>
      </c>
      <c r="C15" s="101">
        <v>0</v>
      </c>
      <c r="D15" s="102">
        <f>SUMIF('Expense Detail Old'!$E$4:$E$5179,C$1&amp;" "&amp;$A15,'Expense Detail Old'!$H$4:$H$5179)</f>
        <v>0</v>
      </c>
      <c r="E15" s="103">
        <f t="shared" si="0"/>
        <v>0</v>
      </c>
      <c r="F15" s="42">
        <v>0</v>
      </c>
      <c r="G15" s="102">
        <f>SUMIF('Expense Detail Old'!$E$4:$E$5179,F$1&amp;" "&amp;$A15,'Expense Detail Old'!$H$4:$H$5179)</f>
        <v>0</v>
      </c>
      <c r="H15" s="103">
        <f t="shared" si="1"/>
        <v>0</v>
      </c>
      <c r="I15" s="41">
        <v>0</v>
      </c>
      <c r="J15" s="102">
        <f>SUMIF('Expense Detail Old'!$E$4:$E$5179,I$1&amp;" "&amp;$A15,'Expense Detail Old'!$H$4:$H$5179)</f>
        <v>0</v>
      </c>
      <c r="K15" s="103">
        <f t="shared" si="2"/>
        <v>0</v>
      </c>
      <c r="L15" s="41">
        <v>0</v>
      </c>
      <c r="M15" s="102">
        <f>SUMIF('Expense Detail Old'!$E$4:$E$5179,L$1&amp;" "&amp;$A15,'Expense Detail Old'!$H$4:$H$5179)</f>
        <v>0</v>
      </c>
      <c r="N15" s="103">
        <f t="shared" si="3"/>
        <v>0</v>
      </c>
      <c r="O15" s="41">
        <v>0</v>
      </c>
      <c r="P15" s="102">
        <f>SUMIF('Expense Detail Old'!$E$4:$E$5179,O$1&amp;" "&amp;$A15,'Expense Detail Old'!$H$4:$H$5179)</f>
        <v>0</v>
      </c>
      <c r="Q15" s="103">
        <f t="shared" si="4"/>
        <v>0</v>
      </c>
      <c r="R15" s="41">
        <v>0</v>
      </c>
      <c r="S15" s="102">
        <f>SUMIF('Expense Detail Old'!$E$4:$E$5179,R$1&amp;" "&amp;$A15,'Expense Detail Old'!$H$4:$H$5179)</f>
        <v>0</v>
      </c>
      <c r="T15" s="103">
        <f t="shared" si="5"/>
        <v>0</v>
      </c>
      <c r="U15" s="41">
        <v>0</v>
      </c>
      <c r="V15" s="102">
        <f>SUMIF('Expense Detail Old'!$E$4:$E$5179,U$1&amp;" "&amp;$A15,'Expense Detail Old'!$H$4:$H$5179)</f>
        <v>0</v>
      </c>
      <c r="W15" s="103">
        <f t="shared" si="6"/>
        <v>0</v>
      </c>
      <c r="X15" s="41">
        <v>0</v>
      </c>
      <c r="Y15" s="102">
        <f>SUMIF('Expense Detail Old'!$E$4:$E$5179,X$1&amp;" "&amp;$A15,'Expense Detail Old'!$H$4:$H$5179)</f>
        <v>0</v>
      </c>
      <c r="Z15" s="103">
        <f t="shared" si="7"/>
        <v>0</v>
      </c>
      <c r="AA15" s="42">
        <v>0</v>
      </c>
      <c r="AB15" s="102">
        <f>SUMIF('Expense Detail Old'!$E$4:$E$5179,AA$1&amp;" "&amp;$A15,'Expense Detail Old'!$H$4:$H$5179)</f>
        <v>0</v>
      </c>
      <c r="AC15" s="103">
        <f t="shared" si="8"/>
        <v>0</v>
      </c>
      <c r="AD15" s="42">
        <v>0</v>
      </c>
      <c r="AE15" s="102">
        <f>SUMIF('Expense Detail Old'!$E$4:$E$5179,AD$1&amp;" "&amp;$A15,'Expense Detail Old'!$H$4:$H$5179)</f>
        <v>0</v>
      </c>
      <c r="AF15" s="103">
        <f t="shared" si="9"/>
        <v>0</v>
      </c>
      <c r="AG15" s="42">
        <v>0</v>
      </c>
      <c r="AH15" s="102">
        <f>SUMIF('Expense Detail Old'!$E$4:$E$5179,AG$1&amp;" "&amp;$A15,'Expense Detail Old'!$H$4:$H$5179)</f>
        <v>0</v>
      </c>
      <c r="AI15" s="103">
        <f t="shared" si="10"/>
        <v>0</v>
      </c>
      <c r="AJ15" s="42">
        <v>0</v>
      </c>
      <c r="AK15" s="102">
        <f>SUMIF('Expense Detail Old'!$E$4:$E$5179,AJ$1&amp;" "&amp;$A15,'Expense Detail Old'!$H$4:$H$5179)</f>
        <v>0</v>
      </c>
      <c r="AL15" s="103">
        <f t="shared" si="11"/>
        <v>0</v>
      </c>
      <c r="AM15" s="90">
        <f t="shared" si="12"/>
        <v>0</v>
      </c>
      <c r="AN15" s="93">
        <f t="shared" si="13"/>
        <v>0</v>
      </c>
      <c r="AO15" s="103">
        <f t="shared" si="14"/>
        <v>0</v>
      </c>
    </row>
    <row r="16" spans="1:50" ht="16.5" thickBot="1">
      <c r="A16" s="36"/>
      <c r="B16" s="36" t="s">
        <v>357</v>
      </c>
      <c r="C16" s="95">
        <f>SUM(C6:C15)</f>
        <v>13891.32</v>
      </c>
      <c r="D16" s="96">
        <f>SUM(D5:D15)</f>
        <v>10695.84</v>
      </c>
      <c r="E16" s="97">
        <f>SUM(E6:E15)</f>
        <v>413.61999999999995</v>
      </c>
      <c r="F16" s="83">
        <f>SUM(F6:F11)</f>
        <v>288.05</v>
      </c>
      <c r="G16" s="96">
        <f>SUM(G5:G15)</f>
        <v>3902.8</v>
      </c>
      <c r="H16" s="97">
        <f>SUM(H6:H15)</f>
        <v>3614.75</v>
      </c>
      <c r="I16" s="83">
        <f>SUM(I6:I11)</f>
        <v>288.05</v>
      </c>
      <c r="J16" s="96">
        <f>SUM(J5:J15)</f>
        <v>358.01</v>
      </c>
      <c r="K16" s="97">
        <f>SUM(K6:K15)</f>
        <v>69.960000000000008</v>
      </c>
      <c r="L16" s="83">
        <f>SUM(L6:L11)</f>
        <v>288.05</v>
      </c>
      <c r="M16" s="96">
        <f>SUM(M5:M15)</f>
        <v>6188</v>
      </c>
      <c r="N16" s="97">
        <f>SUM(N6:N15)</f>
        <v>5899.95</v>
      </c>
      <c r="O16" s="83">
        <f>SUM(O6:O11)</f>
        <v>383.05</v>
      </c>
      <c r="P16" s="96">
        <f>SUM(P5:P15)</f>
        <v>10445.65</v>
      </c>
      <c r="Q16" s="97">
        <f>SUM(Q6:Q15)</f>
        <v>8298.6</v>
      </c>
      <c r="R16" s="83">
        <f>SUM(R6:R11)</f>
        <v>348.05</v>
      </c>
      <c r="S16" s="96">
        <f>SUM(S5:S15)</f>
        <v>347.02999999999992</v>
      </c>
      <c r="T16" s="97">
        <f>SUM(T6:T15)</f>
        <v>-1.02000000000006</v>
      </c>
      <c r="U16" s="83">
        <f>SUM(U6:U11)</f>
        <v>358.05</v>
      </c>
      <c r="V16" s="96">
        <f>SUM(V5:V15)</f>
        <v>8847.44</v>
      </c>
      <c r="W16" s="97">
        <f>SUM(W6:W15)</f>
        <v>8489.39</v>
      </c>
      <c r="X16" s="83">
        <f>SUM(X6:X11)</f>
        <v>348.05</v>
      </c>
      <c r="Y16" s="96">
        <f>SUM(Y5:Y15)</f>
        <v>0</v>
      </c>
      <c r="Z16" s="97">
        <f>SUM(Z6:Z15)</f>
        <v>-348.05</v>
      </c>
      <c r="AA16" s="83">
        <f>SUM(AA6:AA11)</f>
        <v>383.05</v>
      </c>
      <c r="AB16" s="96">
        <f>SUM(AB5:AB15)</f>
        <v>0</v>
      </c>
      <c r="AC16" s="97">
        <f>SUM(AC6:AC15)</f>
        <v>-383.05</v>
      </c>
      <c r="AD16" s="83">
        <f>SUM(AD6:AD11)</f>
        <v>348.05</v>
      </c>
      <c r="AE16" s="96">
        <f>SUM(AE5:AE15)</f>
        <v>0</v>
      </c>
      <c r="AF16" s="97">
        <f>SUM(AF6:AF15)</f>
        <v>-348.05</v>
      </c>
      <c r="AG16" s="83">
        <f>SUM(AG6:AG11)</f>
        <v>358.05</v>
      </c>
      <c r="AH16" s="96">
        <f>SUM(AH5:AH15)</f>
        <v>0</v>
      </c>
      <c r="AI16" s="97">
        <f>SUM(AI6:AI15)</f>
        <v>-358.05</v>
      </c>
      <c r="AJ16" s="83">
        <f>SUM(AJ6:AJ11)</f>
        <v>348.05</v>
      </c>
      <c r="AK16" s="96">
        <f>SUM(AK5:AK15)</f>
        <v>0</v>
      </c>
      <c r="AL16" s="97">
        <f>SUM(AL6:AL15)</f>
        <v>-348.05</v>
      </c>
      <c r="AM16" s="83">
        <f>SUM(AM6:AM11)</f>
        <v>4315.6000000000004</v>
      </c>
      <c r="AN16" s="96">
        <f>SUM(AN5:AN15)</f>
        <v>35445</v>
      </c>
      <c r="AO16" s="97">
        <f>SUM(AO6:AO15)</f>
        <v>21360.23</v>
      </c>
    </row>
    <row r="17" spans="1:42" ht="24.75" thickTop="1" thickBot="1">
      <c r="A17" s="275" t="s">
        <v>350</v>
      </c>
      <c r="B17" s="276"/>
      <c r="C17" s="38"/>
      <c r="D17" s="47"/>
      <c r="E17" s="49"/>
      <c r="F17" s="38"/>
      <c r="G17" s="47"/>
      <c r="H17" s="49"/>
      <c r="I17" s="38"/>
      <c r="J17" s="47"/>
      <c r="K17" s="49"/>
      <c r="L17" s="38"/>
      <c r="M17" s="47"/>
      <c r="N17" s="49"/>
      <c r="O17" s="38"/>
      <c r="P17" s="47"/>
      <c r="Q17" s="49"/>
      <c r="R17" s="38"/>
      <c r="S17" s="47"/>
      <c r="T17" s="49"/>
      <c r="U17" s="38"/>
      <c r="V17" s="47"/>
      <c r="W17" s="49"/>
      <c r="X17" s="38"/>
      <c r="Y17" s="47"/>
      <c r="Z17" s="49"/>
      <c r="AA17" s="38"/>
      <c r="AB17" s="47"/>
      <c r="AC17" s="49"/>
      <c r="AD17" s="38"/>
      <c r="AE17" s="47"/>
      <c r="AF17" s="49"/>
      <c r="AG17" s="38"/>
      <c r="AH17" s="47"/>
      <c r="AI17" s="49"/>
      <c r="AJ17" s="38"/>
      <c r="AK17" s="47"/>
      <c r="AL17" s="49"/>
      <c r="AM17" s="50"/>
      <c r="AN17" s="47"/>
      <c r="AO17" s="49"/>
      <c r="AP17" s="1">
        <f ca="1">DATEVALUE(MONTH(TODAY())&amp;"/1/"&amp;YEAR(TODAY()))</f>
        <v>44075</v>
      </c>
    </row>
    <row r="18" spans="1:42">
      <c r="A18" s="18" t="s">
        <v>356</v>
      </c>
      <c r="B18" s="18" t="s">
        <v>350</v>
      </c>
      <c r="C18" s="98">
        <v>0</v>
      </c>
      <c r="D18" s="99">
        <f>SUMIF('Expense Detail Old'!$E$4:$E$5179,C$1&amp;" "&amp;$A18,'Expense Detail Old'!$H$4:$H$5179)</f>
        <v>0</v>
      </c>
      <c r="E18" s="145">
        <f t="shared" ref="E18:E32" si="15">D18-C18</f>
        <v>0</v>
      </c>
      <c r="F18" s="152">
        <v>0</v>
      </c>
      <c r="G18" s="99">
        <f>SUMIF('Expense Detail Old'!$E$4:$E$5179,F$1&amp;" "&amp;$A18,'Expense Detail Old'!$H$4:$H$5179)</f>
        <v>0</v>
      </c>
      <c r="H18" s="100">
        <f t="shared" ref="H18:H32" si="16">G18-F18</f>
        <v>0</v>
      </c>
      <c r="I18" s="44">
        <v>0</v>
      </c>
      <c r="J18" s="99">
        <f>SUMIF('Expense Detail Old'!$E$4:$E$5179,I$1&amp;" "&amp;$A18,'Expense Detail Old'!$H$4:$H$5179)</f>
        <v>0</v>
      </c>
      <c r="K18" s="100">
        <f t="shared" ref="K18:K34" si="17">J18-I18</f>
        <v>0</v>
      </c>
      <c r="L18" s="45">
        <v>0</v>
      </c>
      <c r="M18" s="99">
        <f>SUMIF('Expense Detail Old'!$E$4:$E$5179,L$1&amp;" "&amp;$A18,'Expense Detail Old'!$H$4:$H$5179)</f>
        <v>0</v>
      </c>
      <c r="N18" s="100">
        <f t="shared" ref="N18:N32" si="18">M18-L18</f>
        <v>0</v>
      </c>
      <c r="O18" s="45">
        <v>-30</v>
      </c>
      <c r="P18" s="99">
        <f>SUMIF('Expense Detail Old'!$E$4:$E$5179,O$1&amp;" "&amp;$A18,'Expense Detail Old'!$H$4:$H$5179)</f>
        <v>0</v>
      </c>
      <c r="Q18" s="100">
        <f t="shared" ref="Q18:Q32" si="19">P18-O18</f>
        <v>30</v>
      </c>
      <c r="R18" s="45">
        <v>-50</v>
      </c>
      <c r="S18" s="99">
        <f>SUMIF('Expense Detail Old'!$E$4:$E$5179,R$1&amp;" "&amp;$A18,'Expense Detail Old'!$H$4:$H$5179)</f>
        <v>0</v>
      </c>
      <c r="T18" s="100">
        <f t="shared" ref="T18:T32" si="20">S18-R18</f>
        <v>50</v>
      </c>
      <c r="U18" s="45">
        <v>-200</v>
      </c>
      <c r="V18" s="99">
        <f>SUMIF('Expense Detail Old'!$E$4:$E$5179,U$1&amp;" "&amp;$A18,'Expense Detail Old'!$H$4:$H$5179)</f>
        <v>0</v>
      </c>
      <c r="W18" s="100">
        <f t="shared" ref="W18:W32" si="21">V18-U18</f>
        <v>200</v>
      </c>
      <c r="X18" s="45">
        <v>0</v>
      </c>
      <c r="Y18" s="99">
        <f>SUMIF('Expense Detail Old'!$E$4:$E$5179,X$1&amp;" "&amp;$A18,'Expense Detail Old'!$H$4:$H$5179)</f>
        <v>0</v>
      </c>
      <c r="Z18" s="100">
        <f t="shared" ref="Z18:Z32" si="22">Y18-X18</f>
        <v>0</v>
      </c>
      <c r="AA18" s="45">
        <v>0</v>
      </c>
      <c r="AB18" s="99">
        <f>SUMIF('Expense Detail Old'!$E$4:$E$5179,AA$1&amp;" "&amp;$A18,'Expense Detail Old'!$H$4:$H$5179)</f>
        <v>0</v>
      </c>
      <c r="AC18" s="100">
        <f t="shared" ref="AC18:AC32" si="23">AB18-AA18</f>
        <v>0</v>
      </c>
      <c r="AD18" s="45">
        <v>-100</v>
      </c>
      <c r="AE18" s="99">
        <f>SUMIF('Expense Detail Old'!$E$4:$E$5179,AD$1&amp;" "&amp;$A18,'Expense Detail Old'!$H$4:$H$5179)</f>
        <v>0</v>
      </c>
      <c r="AF18" s="100">
        <f t="shared" ref="AF18:AF32" si="24">AE18-AD18</f>
        <v>100</v>
      </c>
      <c r="AG18" s="45">
        <v>0</v>
      </c>
      <c r="AH18" s="99">
        <f>SUMIF('Expense Detail Old'!$E$4:$E$5179,AG$1&amp;" "&amp;$A18,'Expense Detail Old'!$H$4:$H$5179)</f>
        <v>0</v>
      </c>
      <c r="AI18" s="100">
        <f t="shared" ref="AI18:AI32" si="25">AH18-AG18</f>
        <v>0</v>
      </c>
      <c r="AJ18" s="45">
        <v>-400</v>
      </c>
      <c r="AK18" s="99">
        <f>SUMIF('Expense Detail Old'!$E$4:$E$5179,AJ$1&amp;" "&amp;$A18,'Expense Detail Old'!$H$4:$H$5179)</f>
        <v>0</v>
      </c>
      <c r="AL18" s="100">
        <f t="shared" ref="AL18:AL32" si="26">AK18-AJ18</f>
        <v>400</v>
      </c>
      <c r="AM18" s="90">
        <f t="shared" ref="AM18:AM31" si="27">SUM(C18,F18,I18,L18,O18,R18,U18,X18,AA18,AD18,AG18,AJ18)</f>
        <v>-780</v>
      </c>
      <c r="AN18" s="93">
        <f t="shared" ref="AN18:AN32" si="28">SUM(D18,G18,J18,M18,P18,S18,V18,Y18,AB18,AE18,AH18,AK18)</f>
        <v>0</v>
      </c>
      <c r="AO18" s="100">
        <f t="shared" ref="AO18:AO32" si="29">AN18-AM18</f>
        <v>780</v>
      </c>
    </row>
    <row r="19" spans="1:42">
      <c r="A19" s="18" t="s">
        <v>16</v>
      </c>
      <c r="B19" s="18" t="s">
        <v>353</v>
      </c>
      <c r="C19" s="41">
        <v>0</v>
      </c>
      <c r="D19" s="42">
        <f>SUMIF('Expense Detail Old'!$E$4:$E$5179,C$1&amp;" "&amp;$A19,'Expense Detail Old'!$H$4:$H$5179)</f>
        <v>-50</v>
      </c>
      <c r="E19" s="93">
        <f t="shared" si="15"/>
        <v>-50</v>
      </c>
      <c r="F19" s="41">
        <v>0</v>
      </c>
      <c r="G19" s="42">
        <f>SUMIF('Expense Detail Old'!$E$4:$E$5179,F$1&amp;" "&amp;$A19,'Expense Detail Old'!$H$4:$H$5179)</f>
        <v>0</v>
      </c>
      <c r="H19" s="82">
        <f t="shared" si="16"/>
        <v>0</v>
      </c>
      <c r="I19" s="42">
        <v>0</v>
      </c>
      <c r="J19" s="42">
        <f>SUMIF('Expense Detail Old'!$E$4:$E$5179,I$1&amp;" "&amp;$A19,'Expense Detail Old'!$H$4:$H$5179)</f>
        <v>0</v>
      </c>
      <c r="K19" s="82">
        <f t="shared" si="17"/>
        <v>0</v>
      </c>
      <c r="L19" s="41">
        <v>0</v>
      </c>
      <c r="M19" s="42">
        <f>SUMIF('Expense Detail Old'!$E$4:$E$5179,L$1&amp;" "&amp;$A19,'Expense Detail Old'!$H$4:$H$5179)</f>
        <v>0</v>
      </c>
      <c r="N19" s="82">
        <f t="shared" si="18"/>
        <v>0</v>
      </c>
      <c r="O19" s="41">
        <v>0</v>
      </c>
      <c r="P19" s="42">
        <f>SUMIF('Expense Detail Old'!$E$4:$E$5179,O$1&amp;" "&amp;$A19,'Expense Detail Old'!$H$4:$H$5179)</f>
        <v>0</v>
      </c>
      <c r="Q19" s="82">
        <f t="shared" si="19"/>
        <v>0</v>
      </c>
      <c r="R19" s="41">
        <v>0</v>
      </c>
      <c r="S19" s="42">
        <f>SUMIF('Expense Detail Old'!$E$4:$E$5179,R$1&amp;" "&amp;$A19,'Expense Detail Old'!$H$4:$H$5179)</f>
        <v>-60</v>
      </c>
      <c r="T19" s="82">
        <f t="shared" si="20"/>
        <v>-60</v>
      </c>
      <c r="U19" s="41">
        <v>0</v>
      </c>
      <c r="V19" s="42">
        <f>SUMIF('Expense Detail Old'!$E$4:$E$5179,U$1&amp;" "&amp;$A19,'Expense Detail Old'!$H$4:$H$5179)</f>
        <v>0</v>
      </c>
      <c r="W19" s="82">
        <f t="shared" si="21"/>
        <v>0</v>
      </c>
      <c r="X19" s="41">
        <v>0</v>
      </c>
      <c r="Y19" s="42">
        <f>SUMIF('Expense Detail Old'!$E$4:$E$5179,X$1&amp;" "&amp;$A19,'Expense Detail Old'!$H$4:$H$5179)</f>
        <v>0</v>
      </c>
      <c r="Z19" s="82">
        <f t="shared" si="22"/>
        <v>0</v>
      </c>
      <c r="AA19" s="41">
        <v>0</v>
      </c>
      <c r="AB19" s="42">
        <f>SUMIF('Expense Detail Old'!$E$4:$E$5179,AA$1&amp;" "&amp;$A19,'Expense Detail Old'!$H$4:$H$5179)</f>
        <v>0</v>
      </c>
      <c r="AC19" s="82">
        <f t="shared" si="23"/>
        <v>0</v>
      </c>
      <c r="AD19" s="41">
        <v>0</v>
      </c>
      <c r="AE19" s="42">
        <f>SUMIF('Expense Detail Old'!$E$4:$E$5179,AD$1&amp;" "&amp;$A19,'Expense Detail Old'!$H$4:$H$5179)</f>
        <v>0</v>
      </c>
      <c r="AF19" s="82">
        <f t="shared" si="24"/>
        <v>0</v>
      </c>
      <c r="AG19" s="41">
        <v>0</v>
      </c>
      <c r="AH19" s="42">
        <f>SUMIF('Expense Detail Old'!$E$4:$E$5179,AG$1&amp;" "&amp;$A19,'Expense Detail Old'!$H$4:$H$5179)</f>
        <v>0</v>
      </c>
      <c r="AI19" s="82">
        <f t="shared" si="25"/>
        <v>0</v>
      </c>
      <c r="AJ19" s="41">
        <v>0</v>
      </c>
      <c r="AK19" s="42">
        <f>SUMIF('Expense Detail Old'!$E$4:$E$5179,AJ$1&amp;" "&amp;$A19,'Expense Detail Old'!$H$4:$H$5179)</f>
        <v>0</v>
      </c>
      <c r="AL19" s="82">
        <f t="shared" si="26"/>
        <v>0</v>
      </c>
      <c r="AM19" s="90">
        <f t="shared" si="27"/>
        <v>0</v>
      </c>
      <c r="AN19" s="93">
        <f t="shared" si="28"/>
        <v>-110</v>
      </c>
      <c r="AO19" s="82">
        <f t="shared" si="29"/>
        <v>-110</v>
      </c>
    </row>
    <row r="20" spans="1:42">
      <c r="A20" s="18" t="s">
        <v>954</v>
      </c>
      <c r="B20" s="18" t="s">
        <v>353</v>
      </c>
      <c r="C20" s="41">
        <v>-50</v>
      </c>
      <c r="D20" s="42">
        <f>SUMIF('Expense Detail Old'!$E$4:$E$5179,C$1&amp;" "&amp;$A20,'Expense Detail Old'!$H$4:$H$5179)</f>
        <v>-40</v>
      </c>
      <c r="E20" s="93">
        <f t="shared" si="15"/>
        <v>10</v>
      </c>
      <c r="F20" s="41">
        <v>-50</v>
      </c>
      <c r="G20" s="42">
        <f>SUMIF('Expense Detail Old'!$E$4:$E$5179,F$1&amp;" "&amp;$A20,'Expense Detail Old'!$H$4:$H$5179)</f>
        <v>-30</v>
      </c>
      <c r="H20" s="82">
        <f t="shared" si="16"/>
        <v>20</v>
      </c>
      <c r="I20" s="42">
        <v>-50</v>
      </c>
      <c r="J20" s="42">
        <f>SUMIF('Expense Detail Old'!$E$4:$E$5179,I$1&amp;" "&amp;$A20,'Expense Detail Old'!$H$4:$H$5179)</f>
        <v>140</v>
      </c>
      <c r="K20" s="82">
        <f t="shared" si="17"/>
        <v>190</v>
      </c>
      <c r="L20" s="41">
        <v>-50</v>
      </c>
      <c r="M20" s="42">
        <f>SUMIF('Expense Detail Old'!$E$4:$E$5179,L$1&amp;" "&amp;$A20,'Expense Detail Old'!$H$4:$H$5179)</f>
        <v>0</v>
      </c>
      <c r="N20" s="82">
        <f t="shared" si="18"/>
        <v>50</v>
      </c>
      <c r="O20" s="41">
        <v>-50</v>
      </c>
      <c r="P20" s="42">
        <f>SUMIF('Expense Detail Old'!$E$4:$E$5179,O$1&amp;" "&amp;$A20,'Expense Detail Old'!$H$4:$H$5179)</f>
        <v>0</v>
      </c>
      <c r="Q20" s="82">
        <f t="shared" si="19"/>
        <v>50</v>
      </c>
      <c r="R20" s="41">
        <v>-50</v>
      </c>
      <c r="S20" s="42">
        <f>SUMIF('Expense Detail Old'!$E$4:$E$5179,R$1&amp;" "&amp;$A20,'Expense Detail Old'!$H$4:$H$5179)</f>
        <v>0</v>
      </c>
      <c r="T20" s="82">
        <f t="shared" si="20"/>
        <v>50</v>
      </c>
      <c r="U20" s="41">
        <v>-50</v>
      </c>
      <c r="V20" s="42">
        <f>SUMIF('Expense Detail Old'!$E$4:$E$5179,U$1&amp;" "&amp;$A20,'Expense Detail Old'!$H$4:$H$5179)</f>
        <v>0</v>
      </c>
      <c r="W20" s="82">
        <f t="shared" si="21"/>
        <v>50</v>
      </c>
      <c r="X20" s="41">
        <v>-50</v>
      </c>
      <c r="Y20" s="42">
        <f>SUMIF('Expense Detail Old'!$E$4:$E$5179,X$1&amp;" "&amp;$A20,'Expense Detail Old'!$H$4:$H$5179)</f>
        <v>0</v>
      </c>
      <c r="Z20" s="82">
        <f t="shared" si="22"/>
        <v>50</v>
      </c>
      <c r="AA20" s="41">
        <v>-50</v>
      </c>
      <c r="AB20" s="42">
        <f>SUMIF('Expense Detail Old'!$E$4:$E$5179,AA$1&amp;" "&amp;$A20,'Expense Detail Old'!$H$4:$H$5179)</f>
        <v>0</v>
      </c>
      <c r="AC20" s="82">
        <f t="shared" si="23"/>
        <v>50</v>
      </c>
      <c r="AD20" s="41">
        <v>-50</v>
      </c>
      <c r="AE20" s="42">
        <f>SUMIF('Expense Detail Old'!$E$4:$E$5179,AD$1&amp;" "&amp;$A20,'Expense Detail Old'!$H$4:$H$5179)</f>
        <v>0</v>
      </c>
      <c r="AF20" s="82">
        <f t="shared" si="24"/>
        <v>50</v>
      </c>
      <c r="AG20" s="41">
        <v>-50</v>
      </c>
      <c r="AH20" s="42">
        <f>SUMIF('Expense Detail Old'!$E$4:$E$5179,AG$1&amp;" "&amp;$A20,'Expense Detail Old'!$H$4:$H$5179)</f>
        <v>0</v>
      </c>
      <c r="AI20" s="82">
        <f t="shared" si="25"/>
        <v>50</v>
      </c>
      <c r="AJ20" s="41">
        <v>-50</v>
      </c>
      <c r="AK20" s="42">
        <f>SUMIF('Expense Detail Old'!$E$4:$E$5179,AJ$1&amp;" "&amp;$A20,'Expense Detail Old'!$H$4:$H$5179)</f>
        <v>0</v>
      </c>
      <c r="AL20" s="82">
        <f t="shared" si="26"/>
        <v>50</v>
      </c>
      <c r="AM20" s="90">
        <f t="shared" si="27"/>
        <v>-600</v>
      </c>
      <c r="AN20" s="93">
        <f t="shared" si="28"/>
        <v>70</v>
      </c>
      <c r="AO20" s="82">
        <f t="shared" si="29"/>
        <v>670</v>
      </c>
    </row>
    <row r="21" spans="1:42">
      <c r="A21" s="18" t="s">
        <v>953</v>
      </c>
      <c r="B21" s="18" t="s">
        <v>353</v>
      </c>
      <c r="C21" s="41"/>
      <c r="D21" s="42"/>
      <c r="E21" s="93"/>
      <c r="F21" s="41"/>
      <c r="G21" s="42"/>
      <c r="H21" s="82"/>
      <c r="I21" s="42"/>
      <c r="J21" s="42"/>
      <c r="K21" s="82"/>
      <c r="L21" s="41"/>
      <c r="M21" s="42"/>
      <c r="N21" s="82"/>
      <c r="O21" s="41"/>
      <c r="P21" s="42"/>
      <c r="Q21" s="82"/>
      <c r="R21" s="41"/>
      <c r="S21" s="42"/>
      <c r="T21" s="82"/>
      <c r="U21" s="41"/>
      <c r="V21" s="42"/>
      <c r="W21" s="82"/>
      <c r="X21" s="41"/>
      <c r="Y21" s="42"/>
      <c r="Z21" s="82"/>
      <c r="AA21" s="41"/>
      <c r="AB21" s="42"/>
      <c r="AC21" s="82"/>
      <c r="AD21" s="41"/>
      <c r="AE21" s="42"/>
      <c r="AF21" s="82"/>
      <c r="AG21" s="41"/>
      <c r="AH21" s="42"/>
      <c r="AI21" s="82"/>
      <c r="AJ21" s="41"/>
      <c r="AK21" s="42"/>
      <c r="AL21" s="82"/>
      <c r="AM21" s="90"/>
      <c r="AN21" s="93"/>
      <c r="AO21" s="82"/>
    </row>
    <row r="22" spans="1:42">
      <c r="A22" s="18" t="s">
        <v>880</v>
      </c>
      <c r="B22" s="18" t="s">
        <v>350</v>
      </c>
      <c r="C22" s="41">
        <v>0</v>
      </c>
      <c r="D22" s="42">
        <f>SUMIF('Expense Detail Old'!$E$4:$E$5179,C$1&amp;" "&amp;$A22,'Expense Detail Old'!$H$4:$H$5179)</f>
        <v>-2571.31</v>
      </c>
      <c r="E22" s="93">
        <f t="shared" si="15"/>
        <v>-2571.31</v>
      </c>
      <c r="F22" s="41">
        <v>0</v>
      </c>
      <c r="G22" s="42">
        <f>SUMIF('Expense Detail Old'!$E$4:$E$5179,F$1&amp;" "&amp;$A22,'Expense Detail Old'!$H$4:$H$5179)</f>
        <v>0</v>
      </c>
      <c r="H22" s="82">
        <f t="shared" si="16"/>
        <v>0</v>
      </c>
      <c r="I22" s="42">
        <v>0</v>
      </c>
      <c r="J22" s="42">
        <f>SUMIF('Expense Detail Old'!$E$4:$E$5179,I$1&amp;" "&amp;$A22,'Expense Detail Old'!$H$4:$H$5179)</f>
        <v>4881.3900000000003</v>
      </c>
      <c r="K22" s="82">
        <f t="shared" si="17"/>
        <v>4881.3900000000003</v>
      </c>
      <c r="L22" s="41">
        <v>0</v>
      </c>
      <c r="M22" s="42">
        <f>SUMIF('Expense Detail Old'!$E$4:$E$5179,L$1&amp;" "&amp;$A22,'Expense Detail Old'!$H$4:$H$5179)</f>
        <v>0</v>
      </c>
      <c r="N22" s="82">
        <f t="shared" si="18"/>
        <v>0</v>
      </c>
      <c r="O22" s="41">
        <v>0</v>
      </c>
      <c r="P22" s="42">
        <f>SUMIF('Expense Detail Old'!$E$4:$E$5179,O$1&amp;" "&amp;$A22,'Expense Detail Old'!$H$4:$H$5179)</f>
        <v>0</v>
      </c>
      <c r="Q22" s="82">
        <f t="shared" si="19"/>
        <v>0</v>
      </c>
      <c r="R22" s="41">
        <v>0</v>
      </c>
      <c r="S22" s="42">
        <f>SUMIF('Expense Detail Old'!$E$4:$E$5179,R$1&amp;" "&amp;$A22,'Expense Detail Old'!$H$4:$H$5179)</f>
        <v>-3000</v>
      </c>
      <c r="T22" s="82">
        <f t="shared" si="20"/>
        <v>-3000</v>
      </c>
      <c r="U22" s="41">
        <v>-3000</v>
      </c>
      <c r="V22" s="42">
        <f>SUMIF('Expense Detail Old'!$E$4:$E$5179,U$1&amp;" "&amp;$A22,'Expense Detail Old'!$H$4:$H$5179)</f>
        <v>-3401.41</v>
      </c>
      <c r="W22" s="82">
        <f t="shared" si="21"/>
        <v>-401.40999999999985</v>
      </c>
      <c r="X22" s="41">
        <v>0</v>
      </c>
      <c r="Y22" s="42">
        <f>SUMIF('Expense Detail Old'!$E$4:$E$5179,X$1&amp;" "&amp;$A22,'Expense Detail Old'!$H$4:$H$5179)</f>
        <v>0</v>
      </c>
      <c r="Z22" s="82">
        <f t="shared" si="22"/>
        <v>0</v>
      </c>
      <c r="AA22" s="41">
        <v>0</v>
      </c>
      <c r="AB22" s="42">
        <f>SUMIF('Expense Detail Old'!$E$4:$E$5179,AA$1&amp;" "&amp;$A22,'Expense Detail Old'!$H$4:$H$5179)</f>
        <v>0</v>
      </c>
      <c r="AC22" s="82">
        <f t="shared" si="23"/>
        <v>0</v>
      </c>
      <c r="AD22" s="41">
        <v>0</v>
      </c>
      <c r="AE22" s="42">
        <f>SUMIF('Expense Detail Old'!$E$4:$E$5179,AD$1&amp;" "&amp;$A22,'Expense Detail Old'!$H$4:$H$5179)</f>
        <v>0</v>
      </c>
      <c r="AF22" s="82">
        <f t="shared" si="24"/>
        <v>0</v>
      </c>
      <c r="AG22" s="41">
        <v>0</v>
      </c>
      <c r="AH22" s="42">
        <f>SUMIF('Expense Detail Old'!$E$4:$E$5179,AG$1&amp;" "&amp;$A22,'Expense Detail Old'!$H$4:$H$5179)</f>
        <v>0</v>
      </c>
      <c r="AI22" s="82">
        <f t="shared" si="25"/>
        <v>0</v>
      </c>
      <c r="AJ22" s="41">
        <v>0</v>
      </c>
      <c r="AK22" s="42">
        <f>SUMIF('Expense Detail Old'!$E$4:$E$5179,AJ$1&amp;" "&amp;$A22,'Expense Detail Old'!$H$4:$H$5179)</f>
        <v>0</v>
      </c>
      <c r="AL22" s="82">
        <f t="shared" si="26"/>
        <v>0</v>
      </c>
      <c r="AM22" s="90">
        <f t="shared" si="27"/>
        <v>-3000</v>
      </c>
      <c r="AN22" s="93">
        <f t="shared" si="28"/>
        <v>-4091.3299999999995</v>
      </c>
      <c r="AO22" s="82">
        <f t="shared" si="29"/>
        <v>-1091.3299999999995</v>
      </c>
    </row>
    <row r="23" spans="1:42">
      <c r="A23" s="19" t="s">
        <v>614</v>
      </c>
      <c r="B23" s="18" t="s">
        <v>350</v>
      </c>
      <c r="C23" s="41">
        <v>-75</v>
      </c>
      <c r="D23" s="42">
        <f>SUMIF('Expense Detail Old'!$E$4:$E$5179,C$1&amp;" "&amp;$A23,'Expense Detail Old'!$H$4:$H$5179)</f>
        <v>0</v>
      </c>
      <c r="E23" s="93">
        <f t="shared" si="15"/>
        <v>75</v>
      </c>
      <c r="F23" s="41">
        <v>-75</v>
      </c>
      <c r="G23" s="42">
        <f>SUMIF('Expense Detail Old'!$E$4:$E$5179,F$1&amp;" "&amp;$A23,'Expense Detail Old'!$H$4:$H$5179)</f>
        <v>0</v>
      </c>
      <c r="H23" s="82">
        <f t="shared" si="16"/>
        <v>75</v>
      </c>
      <c r="I23" s="42">
        <v>-75</v>
      </c>
      <c r="J23" s="42">
        <f>SUMIF('Expense Detail Old'!$E$4:$E$5179,I$1&amp;" "&amp;$A23,'Expense Detail Old'!$H$4:$H$5179)</f>
        <v>0</v>
      </c>
      <c r="K23" s="82">
        <f t="shared" si="17"/>
        <v>75</v>
      </c>
      <c r="L23" s="41"/>
      <c r="M23" s="42">
        <f>SUMIF('Expense Detail Old'!$E$4:$E$5179,L$1&amp;" "&amp;$A23,'Expense Detail Old'!$H$4:$H$5179)</f>
        <v>0</v>
      </c>
      <c r="N23" s="82">
        <f t="shared" si="18"/>
        <v>0</v>
      </c>
      <c r="O23" s="41"/>
      <c r="P23" s="42">
        <f>SUMIF('Expense Detail Old'!$E$4:$E$5179,O$1&amp;" "&amp;$A23,'Expense Detail Old'!$H$4:$H$5179)</f>
        <v>70</v>
      </c>
      <c r="Q23" s="82">
        <f t="shared" si="19"/>
        <v>70</v>
      </c>
      <c r="R23" s="41"/>
      <c r="S23" s="42">
        <f>SUMIF('Expense Detail Old'!$E$4:$E$5179,R$1&amp;" "&amp;$A23,'Expense Detail Old'!$H$4:$H$5179)</f>
        <v>0</v>
      </c>
      <c r="T23" s="82">
        <f t="shared" si="20"/>
        <v>0</v>
      </c>
      <c r="U23" s="41"/>
      <c r="V23" s="42">
        <f>SUMIF('Expense Detail Old'!$E$4:$E$5179,U$1&amp;" "&amp;$A23,'Expense Detail Old'!$H$4:$H$5179)</f>
        <v>-166.20999999999998</v>
      </c>
      <c r="W23" s="82">
        <f t="shared" si="21"/>
        <v>-166.20999999999998</v>
      </c>
      <c r="X23" s="41"/>
      <c r="Y23" s="42">
        <f>SUMIF('Expense Detail Old'!$E$4:$E$5179,X$1&amp;" "&amp;$A23,'Expense Detail Old'!$H$4:$H$5179)</f>
        <v>0</v>
      </c>
      <c r="Z23" s="82">
        <f t="shared" si="22"/>
        <v>0</v>
      </c>
      <c r="AA23" s="41"/>
      <c r="AB23" s="42">
        <f>SUMIF('Expense Detail Old'!$E$4:$E$5179,AA$1&amp;" "&amp;$A23,'Expense Detail Old'!$H$4:$H$5179)</f>
        <v>0</v>
      </c>
      <c r="AC23" s="82">
        <f t="shared" si="23"/>
        <v>0</v>
      </c>
      <c r="AD23" s="41"/>
      <c r="AE23" s="42">
        <f>SUMIF('Expense Detail Old'!$E$4:$E$5179,AD$1&amp;" "&amp;$A23,'Expense Detail Old'!$H$4:$H$5179)</f>
        <v>0</v>
      </c>
      <c r="AF23" s="82">
        <f t="shared" si="24"/>
        <v>0</v>
      </c>
      <c r="AG23" s="41"/>
      <c r="AH23" s="42">
        <f>SUMIF('Expense Detail Old'!$E$4:$E$5179,AG$1&amp;" "&amp;$A23,'Expense Detail Old'!$H$4:$H$5179)</f>
        <v>0</v>
      </c>
      <c r="AI23" s="82">
        <f t="shared" si="25"/>
        <v>0</v>
      </c>
      <c r="AJ23" s="41"/>
      <c r="AK23" s="42">
        <f>SUMIF('Expense Detail Old'!$E$4:$E$5179,AJ$1&amp;" "&amp;$A23,'Expense Detail Old'!$H$4:$H$5179)</f>
        <v>0</v>
      </c>
      <c r="AL23" s="82">
        <f t="shared" si="26"/>
        <v>0</v>
      </c>
      <c r="AM23" s="90"/>
      <c r="AN23" s="93">
        <f t="shared" si="28"/>
        <v>-96.20999999999998</v>
      </c>
      <c r="AO23" s="82">
        <f t="shared" si="29"/>
        <v>-96.20999999999998</v>
      </c>
    </row>
    <row r="24" spans="1:42">
      <c r="A24" s="18" t="s">
        <v>615</v>
      </c>
      <c r="B24" s="18" t="s">
        <v>350</v>
      </c>
      <c r="C24" s="41">
        <v>0</v>
      </c>
      <c r="D24" s="42">
        <f>SUMIF('Expense Detail Old'!$E$4:$E$5179,C$1&amp;" "&amp;$A24,'Expense Detail Old'!$H$4:$H$5179)</f>
        <v>0</v>
      </c>
      <c r="E24" s="93">
        <f t="shared" si="15"/>
        <v>0</v>
      </c>
      <c r="F24" s="41">
        <v>0</v>
      </c>
      <c r="G24" s="42">
        <f>SUMIF('Expense Detail Old'!$E$4:$E$5179,F$1&amp;" "&amp;$A24,'Expense Detail Old'!$H$4:$H$5179)</f>
        <v>1000</v>
      </c>
      <c r="H24" s="82">
        <f t="shared" si="16"/>
        <v>1000</v>
      </c>
      <c r="I24" s="42">
        <v>0</v>
      </c>
      <c r="J24" s="42">
        <f>SUMIF('Expense Detail Old'!$E$4:$E$5179,I$1&amp;" "&amp;$A24,'Expense Detail Old'!$H$4:$H$5179)</f>
        <v>4000</v>
      </c>
      <c r="K24" s="82">
        <f t="shared" si="17"/>
        <v>4000</v>
      </c>
      <c r="L24" s="41">
        <v>0</v>
      </c>
      <c r="M24" s="42">
        <f>SUMIF('Expense Detail Old'!$E$4:$E$5179,L$1&amp;" "&amp;$A24,'Expense Detail Old'!$H$4:$H$5179)</f>
        <v>47.339999999999975</v>
      </c>
      <c r="N24" s="82">
        <f t="shared" si="18"/>
        <v>47.339999999999975</v>
      </c>
      <c r="O24" s="41">
        <v>0</v>
      </c>
      <c r="P24" s="42">
        <f>SUMIF('Expense Detail Old'!$E$4:$E$5179,O$1&amp;" "&amp;$A24,'Expense Detail Old'!$H$4:$H$5179)</f>
        <v>-553.29999999999995</v>
      </c>
      <c r="Q24" s="82">
        <f t="shared" si="19"/>
        <v>-553.29999999999995</v>
      </c>
      <c r="R24" s="41">
        <v>0</v>
      </c>
      <c r="S24" s="42">
        <f>SUMIF('Expense Detail Old'!$E$4:$E$5179,R$1&amp;" "&amp;$A24,'Expense Detail Old'!$H$4:$H$5179)</f>
        <v>-1000</v>
      </c>
      <c r="T24" s="82">
        <f t="shared" si="20"/>
        <v>-1000</v>
      </c>
      <c r="U24" s="41">
        <v>-1000</v>
      </c>
      <c r="V24" s="42">
        <f>SUMIF('Expense Detail Old'!$E$4:$E$5179,U$1&amp;" "&amp;$A24,'Expense Detail Old'!$H$4:$H$5179)</f>
        <v>-1000</v>
      </c>
      <c r="W24" s="82">
        <f t="shared" si="21"/>
        <v>0</v>
      </c>
      <c r="X24" s="41">
        <v>0</v>
      </c>
      <c r="Y24" s="42">
        <f>SUMIF('Expense Detail Old'!$E$4:$E$5179,X$1&amp;" "&amp;$A24,'Expense Detail Old'!$H$4:$H$5179)</f>
        <v>0</v>
      </c>
      <c r="Z24" s="82">
        <f t="shared" si="22"/>
        <v>0</v>
      </c>
      <c r="AA24" s="41">
        <v>0</v>
      </c>
      <c r="AB24" s="42">
        <f>SUMIF('Expense Detail Old'!$E$4:$E$5179,AA$1&amp;" "&amp;$A24,'Expense Detail Old'!$H$4:$H$5179)</f>
        <v>0</v>
      </c>
      <c r="AC24" s="82">
        <f t="shared" si="23"/>
        <v>0</v>
      </c>
      <c r="AD24" s="41">
        <v>0</v>
      </c>
      <c r="AE24" s="42">
        <f>SUMIF('Expense Detail Old'!$E$4:$E$5179,AD$1&amp;" "&amp;$A24,'Expense Detail Old'!$H$4:$H$5179)</f>
        <v>0</v>
      </c>
      <c r="AF24" s="82">
        <f t="shared" si="24"/>
        <v>0</v>
      </c>
      <c r="AG24" s="41">
        <v>0</v>
      </c>
      <c r="AH24" s="42">
        <f>SUMIF('Expense Detail Old'!$E$4:$E$5179,AG$1&amp;" "&amp;$A24,'Expense Detail Old'!$H$4:$H$5179)</f>
        <v>0</v>
      </c>
      <c r="AI24" s="82">
        <f t="shared" si="25"/>
        <v>0</v>
      </c>
      <c r="AJ24" s="41">
        <v>0</v>
      </c>
      <c r="AK24" s="42">
        <f>SUMIF('Expense Detail Old'!$E$4:$E$5179,AJ$1&amp;" "&amp;$A24,'Expense Detail Old'!$H$4:$H$5179)</f>
        <v>0</v>
      </c>
      <c r="AL24" s="82">
        <f t="shared" si="26"/>
        <v>0</v>
      </c>
      <c r="AM24" s="90">
        <f t="shared" si="27"/>
        <v>-1000</v>
      </c>
      <c r="AN24" s="93">
        <f t="shared" si="28"/>
        <v>2494.04</v>
      </c>
      <c r="AO24" s="82">
        <f t="shared" si="29"/>
        <v>3494.04</v>
      </c>
      <c r="AP24" t="str">
        <f ca="1">VLOOKUP(MONTH(TODAY()),Table4[],2,FALSE)</f>
        <v>Sep</v>
      </c>
    </row>
    <row r="25" spans="1:42">
      <c r="A25" t="s">
        <v>613</v>
      </c>
      <c r="B25" s="18" t="s">
        <v>350</v>
      </c>
      <c r="C25" s="41"/>
      <c r="D25" s="42">
        <f>SUMIF('Expense Detail Old'!$E$4:$E$5179,C$1&amp;" "&amp;$A25,'Expense Detail Old'!$H$4:$H$5179)</f>
        <v>0</v>
      </c>
      <c r="E25" s="93">
        <f t="shared" si="15"/>
        <v>0</v>
      </c>
      <c r="F25" s="41"/>
      <c r="G25" s="42">
        <f>SUMIF('Expense Detail Old'!$E$4:$E$5179,F$1&amp;" "&amp;$A25,'Expense Detail Old'!$H$4:$H$5179)</f>
        <v>0</v>
      </c>
      <c r="H25" s="82">
        <f t="shared" si="16"/>
        <v>0</v>
      </c>
      <c r="I25" s="42"/>
      <c r="J25" s="42">
        <f>SUMIF('Expense Detail Old'!$E$4:$E$5179,I$1&amp;" "&amp;$A25,'Expense Detail Old'!$H$4:$H$5179)</f>
        <v>0</v>
      </c>
      <c r="K25" s="82">
        <f t="shared" si="17"/>
        <v>0</v>
      </c>
      <c r="L25" s="41"/>
      <c r="M25" s="42">
        <f>SUMIF('Expense Detail Old'!$E$4:$E$5179,L$1&amp;" "&amp;$A25,'Expense Detail Old'!$H$4:$H$5179)</f>
        <v>0</v>
      </c>
      <c r="N25" s="82">
        <f t="shared" si="18"/>
        <v>0</v>
      </c>
      <c r="O25" s="41"/>
      <c r="P25" s="42">
        <f>SUMIF('Expense Detail Old'!$E$4:$E$5179,O$1&amp;" "&amp;$A25,'Expense Detail Old'!$H$4:$H$5179)</f>
        <v>0</v>
      </c>
      <c r="Q25" s="82">
        <f t="shared" si="19"/>
        <v>0</v>
      </c>
      <c r="R25" s="41"/>
      <c r="S25" s="42">
        <f>SUMIF('Expense Detail Old'!$E$4:$E$5179,R$1&amp;" "&amp;$A25,'Expense Detail Old'!$H$4:$H$5179)</f>
        <v>0</v>
      </c>
      <c r="T25" s="82">
        <f t="shared" si="20"/>
        <v>0</v>
      </c>
      <c r="U25" s="41"/>
      <c r="V25" s="42">
        <f>SUMIF('Expense Detail Old'!$E$4:$E$5179,U$1&amp;" "&amp;$A25,'Expense Detail Old'!$H$4:$H$5179)</f>
        <v>-413.42</v>
      </c>
      <c r="W25" s="82">
        <f t="shared" si="21"/>
        <v>-413.42</v>
      </c>
      <c r="X25" s="41"/>
      <c r="Y25" s="42">
        <f>SUMIF('Expense Detail Old'!$E$4:$E$5179,X$1&amp;" "&amp;$A25,'Expense Detail Old'!$H$4:$H$5179)</f>
        <v>0</v>
      </c>
      <c r="Z25" s="82">
        <f t="shared" si="22"/>
        <v>0</v>
      </c>
      <c r="AA25" s="41"/>
      <c r="AB25" s="42">
        <f>SUMIF('Expense Detail Old'!$E$4:$E$5179,AA$1&amp;" "&amp;$A25,'Expense Detail Old'!$H$4:$H$5179)</f>
        <v>0</v>
      </c>
      <c r="AC25" s="82">
        <f t="shared" si="23"/>
        <v>0</v>
      </c>
      <c r="AD25" s="41"/>
      <c r="AE25" s="42">
        <f>SUMIF('Expense Detail Old'!$E$4:$E$5179,AD$1&amp;" "&amp;$A25,'Expense Detail Old'!$H$4:$H$5179)</f>
        <v>0</v>
      </c>
      <c r="AF25" s="82">
        <f t="shared" si="24"/>
        <v>0</v>
      </c>
      <c r="AG25" s="41"/>
      <c r="AH25" s="42">
        <f>SUMIF('Expense Detail Old'!$E$4:$E$5179,AG$1&amp;" "&amp;$A25,'Expense Detail Old'!$H$4:$H$5179)</f>
        <v>0</v>
      </c>
      <c r="AI25" s="82">
        <f t="shared" si="25"/>
        <v>0</v>
      </c>
      <c r="AJ25" s="41"/>
      <c r="AK25" s="42">
        <f>SUMIF('Expense Detail Old'!$E$4:$E$5179,AJ$1&amp;" "&amp;$A25,'Expense Detail Old'!$H$4:$H$5179)</f>
        <v>0</v>
      </c>
      <c r="AL25" s="82">
        <f t="shared" si="26"/>
        <v>0</v>
      </c>
      <c r="AM25" s="90">
        <f t="shared" si="27"/>
        <v>0</v>
      </c>
      <c r="AN25" s="93">
        <f t="shared" si="28"/>
        <v>-413.42</v>
      </c>
      <c r="AO25" s="82">
        <f t="shared" si="29"/>
        <v>-413.42</v>
      </c>
    </row>
    <row r="26" spans="1:42">
      <c r="A26" s="18" t="s">
        <v>616</v>
      </c>
      <c r="B26" s="18" t="s">
        <v>350</v>
      </c>
      <c r="C26" s="41">
        <v>0</v>
      </c>
      <c r="D26" s="42">
        <f>SUMIF('Expense Detail Old'!$E$4:$E$5179,C$1&amp;" "&amp;$A26,'Expense Detail Old'!$H$4:$H$5179)</f>
        <v>-100.46</v>
      </c>
      <c r="E26" s="93">
        <f t="shared" si="15"/>
        <v>-100.46</v>
      </c>
      <c r="F26" s="41">
        <v>0</v>
      </c>
      <c r="G26" s="42">
        <f>SUMIF('Expense Detail Old'!$E$4:$E$5179,F$1&amp;" "&amp;$A26,'Expense Detail Old'!$H$4:$H$5179)</f>
        <v>-103.5</v>
      </c>
      <c r="H26" s="82">
        <f t="shared" si="16"/>
        <v>-103.5</v>
      </c>
      <c r="I26" s="42">
        <v>0</v>
      </c>
      <c r="J26" s="42">
        <f>SUMIF('Expense Detail Old'!$E$4:$E$5179,I$1&amp;" "&amp;$A26,'Expense Detail Old'!$H$4:$H$5179)</f>
        <v>193.08</v>
      </c>
      <c r="K26" s="93">
        <f t="shared" si="17"/>
        <v>193.08</v>
      </c>
      <c r="L26" s="81">
        <v>0</v>
      </c>
      <c r="M26" s="42">
        <f>SUMIF('Expense Detail Old'!$E$4:$E$5179,L$1&amp;" "&amp;$A26,'Expense Detail Old'!$H$4:$H$5179)</f>
        <v>-500</v>
      </c>
      <c r="N26" s="93">
        <f t="shared" si="18"/>
        <v>-500</v>
      </c>
      <c r="O26" s="81">
        <v>0</v>
      </c>
      <c r="P26" s="42">
        <f>SUMIF('Expense Detail Old'!$E$4:$E$5179,O$1&amp;" "&amp;$A26,'Expense Detail Old'!$H$4:$H$5179)</f>
        <v>-89.75</v>
      </c>
      <c r="Q26" s="93">
        <f t="shared" si="19"/>
        <v>-89.75</v>
      </c>
      <c r="R26" s="81">
        <v>0</v>
      </c>
      <c r="S26" s="42">
        <f>SUMIF('Expense Detail Old'!$E$4:$E$5179,R$1&amp;" "&amp;$A26,'Expense Detail Old'!$H$4:$H$5179)</f>
        <v>-1000</v>
      </c>
      <c r="T26" s="93">
        <f t="shared" si="20"/>
        <v>-1000</v>
      </c>
      <c r="U26" s="81">
        <v>-1000</v>
      </c>
      <c r="V26" s="42">
        <f>SUMIF('Expense Detail Old'!$E$4:$E$5179,U$1&amp;" "&amp;$A26,'Expense Detail Old'!$H$4:$H$5179)</f>
        <v>-563.78</v>
      </c>
      <c r="W26" s="93">
        <f t="shared" si="21"/>
        <v>436.22</v>
      </c>
      <c r="X26" s="81">
        <v>0</v>
      </c>
      <c r="Y26" s="42">
        <f>SUMIF('Expense Detail Old'!$E$4:$E$5179,X$1&amp;" "&amp;$A26,'Expense Detail Old'!$H$4:$H$5179)</f>
        <v>0</v>
      </c>
      <c r="Z26" s="93">
        <f t="shared" si="22"/>
        <v>0</v>
      </c>
      <c r="AA26" s="81">
        <v>0</v>
      </c>
      <c r="AB26" s="42">
        <f>SUMIF('Expense Detail Old'!$E$4:$E$5179,AA$1&amp;" "&amp;$A26,'Expense Detail Old'!$H$4:$H$5179)</f>
        <v>0</v>
      </c>
      <c r="AC26" s="93">
        <f t="shared" si="23"/>
        <v>0</v>
      </c>
      <c r="AD26" s="81">
        <v>0</v>
      </c>
      <c r="AE26" s="42">
        <f>SUMIF('Expense Detail Old'!$E$4:$E$5179,AD$1&amp;" "&amp;$A26,'Expense Detail Old'!$H$4:$H$5179)</f>
        <v>0</v>
      </c>
      <c r="AF26" s="93">
        <f t="shared" si="24"/>
        <v>0</v>
      </c>
      <c r="AG26" s="81">
        <v>0</v>
      </c>
      <c r="AH26" s="42">
        <f>SUMIF('Expense Detail Old'!$E$4:$E$5179,AG$1&amp;" "&amp;$A26,'Expense Detail Old'!$H$4:$H$5179)</f>
        <v>0</v>
      </c>
      <c r="AI26" s="93">
        <f t="shared" si="25"/>
        <v>0</v>
      </c>
      <c r="AJ26" s="81">
        <v>0</v>
      </c>
      <c r="AK26" s="42">
        <f>SUMIF('Expense Detail Old'!$E$4:$E$5179,AJ$1&amp;" "&amp;$A26,'Expense Detail Old'!$H$4:$H$5179)</f>
        <v>0</v>
      </c>
      <c r="AL26" s="93">
        <f t="shared" si="26"/>
        <v>0</v>
      </c>
      <c r="AM26" s="90">
        <f t="shared" si="27"/>
        <v>-1000</v>
      </c>
      <c r="AN26" s="93">
        <f t="shared" si="28"/>
        <v>-2164.41</v>
      </c>
      <c r="AO26" s="93">
        <f t="shared" si="29"/>
        <v>-1164.4099999999999</v>
      </c>
    </row>
    <row r="27" spans="1:42">
      <c r="A27" t="s">
        <v>619</v>
      </c>
      <c r="B27" s="18" t="s">
        <v>350</v>
      </c>
      <c r="C27" s="41"/>
      <c r="D27" s="42">
        <f>SUMIF('Expense Detail Old'!$E$4:$E$5179,C$1&amp;" "&amp;$A27,'Expense Detail Old'!$H$4:$H$5179)</f>
        <v>0</v>
      </c>
      <c r="E27" s="93">
        <f t="shared" si="15"/>
        <v>0</v>
      </c>
      <c r="F27" s="41"/>
      <c r="G27" s="42">
        <f>SUMIF('Expense Detail Old'!$E$4:$E$5179,F$1&amp;" "&amp;$A27,'Expense Detail Old'!$H$4:$H$5179)</f>
        <v>0</v>
      </c>
      <c r="H27" s="82">
        <f t="shared" si="16"/>
        <v>0</v>
      </c>
      <c r="I27" s="42"/>
      <c r="J27" s="42">
        <f>SUMIF('Expense Detail Old'!$E$4:$E$5179,I$1&amp;" "&amp;$A27,'Expense Detail Old'!$H$4:$H$5179)</f>
        <v>0</v>
      </c>
      <c r="K27" s="82">
        <f t="shared" si="17"/>
        <v>0</v>
      </c>
      <c r="L27" s="41"/>
      <c r="M27" s="42">
        <f>SUMIF('Expense Detail Old'!$E$4:$E$5179,L$1&amp;" "&amp;$A27,'Expense Detail Old'!$H$4:$H$5179)</f>
        <v>-552.78</v>
      </c>
      <c r="N27" s="82">
        <f t="shared" si="18"/>
        <v>-552.78</v>
      </c>
      <c r="O27" s="41"/>
      <c r="P27" s="42">
        <f>SUMIF('Expense Detail Old'!$E$4:$E$5179,O$1&amp;" "&amp;$A27,'Expense Detail Old'!$H$4:$H$5179)</f>
        <v>0</v>
      </c>
      <c r="Q27" s="82">
        <f t="shared" si="19"/>
        <v>0</v>
      </c>
      <c r="R27" s="41"/>
      <c r="S27" s="42">
        <f>SUMIF('Expense Detail Old'!$E$4:$E$5179,R$1&amp;" "&amp;$A27,'Expense Detail Old'!$H$4:$H$5179)</f>
        <v>0</v>
      </c>
      <c r="T27" s="82">
        <f t="shared" si="20"/>
        <v>0</v>
      </c>
      <c r="U27" s="41"/>
      <c r="V27" s="42">
        <f>SUMIF('Expense Detail Old'!$E$4:$E$5179,U$1&amp;" "&amp;$A27,'Expense Detail Old'!$H$4:$H$5179)</f>
        <v>0</v>
      </c>
      <c r="W27" s="82">
        <f t="shared" si="21"/>
        <v>0</v>
      </c>
      <c r="X27" s="41"/>
      <c r="Y27" s="42">
        <f>SUMIF('Expense Detail Old'!$E$4:$E$5179,X$1&amp;" "&amp;$A27,'Expense Detail Old'!$H$4:$H$5179)</f>
        <v>0</v>
      </c>
      <c r="Z27" s="82">
        <f t="shared" si="22"/>
        <v>0</v>
      </c>
      <c r="AA27" s="41"/>
      <c r="AB27" s="42">
        <f>SUMIF('Expense Detail Old'!$E$4:$E$5179,AA$1&amp;" "&amp;$A27,'Expense Detail Old'!$H$4:$H$5179)</f>
        <v>0</v>
      </c>
      <c r="AC27" s="82">
        <f t="shared" si="23"/>
        <v>0</v>
      </c>
      <c r="AD27" s="41"/>
      <c r="AE27" s="42">
        <f>SUMIF('Expense Detail Old'!$E$4:$E$5179,AD$1&amp;" "&amp;$A27,'Expense Detail Old'!$H$4:$H$5179)</f>
        <v>0</v>
      </c>
      <c r="AF27" s="82">
        <f t="shared" si="24"/>
        <v>0</v>
      </c>
      <c r="AG27" s="41"/>
      <c r="AH27" s="42">
        <f>SUMIF('Expense Detail Old'!$E$4:$E$5179,AG$1&amp;" "&amp;$A27,'Expense Detail Old'!$H$4:$H$5179)</f>
        <v>0</v>
      </c>
      <c r="AI27" s="82">
        <f t="shared" si="25"/>
        <v>0</v>
      </c>
      <c r="AJ27" s="41"/>
      <c r="AK27" s="42">
        <f>SUMIF('Expense Detail Old'!$E$4:$E$5179,AJ$1&amp;" "&amp;$A27,'Expense Detail Old'!$H$4:$H$5179)</f>
        <v>0</v>
      </c>
      <c r="AL27" s="82">
        <f t="shared" si="26"/>
        <v>0</v>
      </c>
      <c r="AM27" s="90">
        <f t="shared" si="27"/>
        <v>0</v>
      </c>
      <c r="AN27" s="93">
        <f t="shared" si="28"/>
        <v>-552.78</v>
      </c>
      <c r="AO27" s="82">
        <f t="shared" si="29"/>
        <v>-552.78</v>
      </c>
    </row>
    <row r="28" spans="1:42">
      <c r="A28" s="18" t="s">
        <v>23</v>
      </c>
      <c r="B28" s="18" t="s">
        <v>338</v>
      </c>
      <c r="C28" s="41">
        <v>0</v>
      </c>
      <c r="D28" s="42">
        <f>SUMIF('Expense Detail Old'!$E$4:$E$5179,C$1&amp;" "&amp;$A28,'Expense Detail Old'!$H$4:$H$5179)</f>
        <v>-25</v>
      </c>
      <c r="E28" s="93">
        <f t="shared" si="15"/>
        <v>-25</v>
      </c>
      <c r="F28" s="41">
        <v>0</v>
      </c>
      <c r="G28" s="42">
        <f>SUMIF('Expense Detail Old'!$E$4:$E$5179,F$1&amp;" "&amp;$A28,'Expense Detail Old'!$H$4:$H$5179)</f>
        <v>-25</v>
      </c>
      <c r="H28" s="82">
        <f t="shared" si="16"/>
        <v>-25</v>
      </c>
      <c r="I28" s="42">
        <v>0</v>
      </c>
      <c r="J28" s="42">
        <f>SUMIF('Expense Detail Old'!$E$4:$E$5179,I$1&amp;" "&amp;$A28,'Expense Detail Old'!$H$4:$H$5179)</f>
        <v>-25</v>
      </c>
      <c r="K28" s="82">
        <f t="shared" si="17"/>
        <v>-25</v>
      </c>
      <c r="L28" s="42">
        <v>0</v>
      </c>
      <c r="M28" s="42">
        <f>SUMIF('Expense Detail Old'!$E$4:$E$5179,L$1&amp;" "&amp;$A28,'Expense Detail Old'!$H$4:$H$5179)</f>
        <v>-25</v>
      </c>
      <c r="N28" s="82">
        <f t="shared" si="18"/>
        <v>-25</v>
      </c>
      <c r="O28" s="42">
        <v>0</v>
      </c>
      <c r="P28" s="42">
        <f>SUMIF('Expense Detail Old'!$E$4:$E$5179,O$1&amp;" "&amp;$A28,'Expense Detail Old'!$H$4:$H$5179)</f>
        <v>-53</v>
      </c>
      <c r="Q28" s="82">
        <f t="shared" si="19"/>
        <v>-53</v>
      </c>
      <c r="R28" s="42">
        <v>0</v>
      </c>
      <c r="S28" s="42">
        <f>SUMIF('Expense Detail Old'!$E$4:$E$5179,R$1&amp;" "&amp;$A28,'Expense Detail Old'!$H$4:$H$5179)</f>
        <v>-25</v>
      </c>
      <c r="T28" s="82">
        <f t="shared" si="20"/>
        <v>-25</v>
      </c>
      <c r="U28" s="42">
        <v>0</v>
      </c>
      <c r="V28" s="42">
        <f>SUMIF('Expense Detail Old'!$E$4:$E$5179,U$1&amp;" "&amp;$A28,'Expense Detail Old'!$H$4:$H$5179)</f>
        <v>-64</v>
      </c>
      <c r="W28" s="82">
        <f t="shared" si="21"/>
        <v>-64</v>
      </c>
      <c r="X28" s="42">
        <v>0</v>
      </c>
      <c r="Y28" s="42">
        <f>SUMIF('Expense Detail Old'!$E$4:$E$5179,X$1&amp;" "&amp;$A28,'Expense Detail Old'!$H$4:$H$5179)</f>
        <v>0</v>
      </c>
      <c r="Z28" s="82">
        <f t="shared" si="22"/>
        <v>0</v>
      </c>
      <c r="AA28" s="42">
        <v>0</v>
      </c>
      <c r="AB28" s="42">
        <f>SUMIF('Expense Detail Old'!$E$4:$E$5179,AA$1&amp;" "&amp;$A28,'Expense Detail Old'!$H$4:$H$5179)</f>
        <v>0</v>
      </c>
      <c r="AC28" s="82">
        <f t="shared" si="23"/>
        <v>0</v>
      </c>
      <c r="AD28" s="42">
        <v>0</v>
      </c>
      <c r="AE28" s="42">
        <f>SUMIF('Expense Detail Old'!$E$4:$E$5179,AD$1&amp;" "&amp;$A28,'Expense Detail Old'!$H$4:$H$5179)</f>
        <v>0</v>
      </c>
      <c r="AF28" s="82">
        <f t="shared" si="24"/>
        <v>0</v>
      </c>
      <c r="AG28" s="42">
        <v>0</v>
      </c>
      <c r="AH28" s="42">
        <f>SUMIF('Expense Detail Old'!$E$4:$E$5179,AG$1&amp;" "&amp;$A28,'Expense Detail Old'!$H$4:$H$5179)</f>
        <v>0</v>
      </c>
      <c r="AI28" s="82">
        <f t="shared" si="25"/>
        <v>0</v>
      </c>
      <c r="AJ28" s="42">
        <v>0</v>
      </c>
      <c r="AK28" s="42">
        <f>SUMIF('Expense Detail Old'!$E$4:$E$5179,AJ$1&amp;" "&amp;$A28,'Expense Detail Old'!$H$4:$H$5179)</f>
        <v>0</v>
      </c>
      <c r="AL28" s="82">
        <f t="shared" si="26"/>
        <v>0</v>
      </c>
      <c r="AM28" s="90">
        <f t="shared" si="27"/>
        <v>0</v>
      </c>
      <c r="AN28" s="93">
        <f t="shared" si="28"/>
        <v>-242</v>
      </c>
      <c r="AO28" s="82">
        <f t="shared" si="29"/>
        <v>-242</v>
      </c>
    </row>
    <row r="29" spans="1:42">
      <c r="A29" s="18" t="s">
        <v>94</v>
      </c>
      <c r="B29" s="18" t="s">
        <v>337</v>
      </c>
      <c r="C29" s="41">
        <v>0</v>
      </c>
      <c r="D29" s="42">
        <f>SUMIF('Expense Detail Old'!$E$4:$E$5179,C$1&amp;" "&amp;$A29,'Expense Detail Old'!$H$4:$H$5179)</f>
        <v>0</v>
      </c>
      <c r="E29" s="93">
        <f t="shared" si="15"/>
        <v>0</v>
      </c>
      <c r="F29" s="41">
        <v>0</v>
      </c>
      <c r="G29" s="42">
        <f>SUMIF('Expense Detail Old'!$E$4:$E$5179,F$1&amp;" "&amp;$A29,'Expense Detail Old'!$H$4:$H$5179)</f>
        <v>-144</v>
      </c>
      <c r="H29" s="82">
        <f t="shared" si="16"/>
        <v>-144</v>
      </c>
      <c r="I29" s="42">
        <v>0</v>
      </c>
      <c r="J29" s="42">
        <f>SUMIF('Expense Detail Old'!$E$4:$E$5179,I$1&amp;" "&amp;$A29,'Expense Detail Old'!$H$4:$H$5179)</f>
        <v>-757</v>
      </c>
      <c r="K29" s="93">
        <f t="shared" si="17"/>
        <v>-757</v>
      </c>
      <c r="L29" s="81">
        <v>0</v>
      </c>
      <c r="M29" s="42">
        <f>SUMIF('Expense Detail Old'!$E$4:$E$5179,L$1&amp;" "&amp;$A29,'Expense Detail Old'!$H$4:$H$5179)</f>
        <v>-70</v>
      </c>
      <c r="N29" s="93">
        <f t="shared" si="18"/>
        <v>-70</v>
      </c>
      <c r="O29" s="81">
        <v>0</v>
      </c>
      <c r="P29" s="42">
        <f>SUMIF('Expense Detail Old'!$E$4:$E$5179,O$1&amp;" "&amp;$A29,'Expense Detail Old'!$H$4:$H$5179)</f>
        <v>-70</v>
      </c>
      <c r="Q29" s="93">
        <f t="shared" si="19"/>
        <v>-70</v>
      </c>
      <c r="R29" s="81">
        <v>0</v>
      </c>
      <c r="S29" s="42">
        <f>SUMIF('Expense Detail Old'!$E$4:$E$5179,R$1&amp;" "&amp;$A29,'Expense Detail Old'!$H$4:$H$5179)</f>
        <v>0</v>
      </c>
      <c r="T29" s="93">
        <f t="shared" si="20"/>
        <v>0</v>
      </c>
      <c r="U29" s="81">
        <v>0</v>
      </c>
      <c r="V29" s="42">
        <f>SUMIF('Expense Detail Old'!$E$4:$E$5179,U$1&amp;" "&amp;$A29,'Expense Detail Old'!$H$4:$H$5179)</f>
        <v>0</v>
      </c>
      <c r="W29" s="93">
        <f t="shared" si="21"/>
        <v>0</v>
      </c>
      <c r="X29" s="81">
        <v>0</v>
      </c>
      <c r="Y29" s="42">
        <f>SUMIF('Expense Detail Old'!$E$4:$E$5179,X$1&amp;" "&amp;$A29,'Expense Detail Old'!$H$4:$H$5179)</f>
        <v>0</v>
      </c>
      <c r="Z29" s="93">
        <f t="shared" si="22"/>
        <v>0</v>
      </c>
      <c r="AA29" s="81">
        <v>0</v>
      </c>
      <c r="AB29" s="42">
        <f>SUMIF('Expense Detail Old'!$E$4:$E$5179,AA$1&amp;" "&amp;$A29,'Expense Detail Old'!$H$4:$H$5179)</f>
        <v>0</v>
      </c>
      <c r="AC29" s="93">
        <f t="shared" si="23"/>
        <v>0</v>
      </c>
      <c r="AD29" s="81">
        <v>0</v>
      </c>
      <c r="AE29" s="42">
        <f>SUMIF('Expense Detail Old'!$E$4:$E$5179,AD$1&amp;" "&amp;$A29,'Expense Detail Old'!$H$4:$H$5179)</f>
        <v>0</v>
      </c>
      <c r="AF29" s="93">
        <f t="shared" si="24"/>
        <v>0</v>
      </c>
      <c r="AG29" s="81">
        <v>0</v>
      </c>
      <c r="AH29" s="42">
        <f>SUMIF('Expense Detail Old'!$E$4:$E$5179,AG$1&amp;" "&amp;$A29,'Expense Detail Old'!$H$4:$H$5179)</f>
        <v>0</v>
      </c>
      <c r="AI29" s="93">
        <f t="shared" si="25"/>
        <v>0</v>
      </c>
      <c r="AJ29" s="81">
        <v>0</v>
      </c>
      <c r="AK29" s="42">
        <f>SUMIF('Expense Detail Old'!$E$4:$E$5179,AJ$1&amp;" "&amp;$A29,'Expense Detail Old'!$H$4:$H$5179)</f>
        <v>0</v>
      </c>
      <c r="AL29" s="93">
        <f t="shared" si="26"/>
        <v>0</v>
      </c>
      <c r="AM29" s="90">
        <f t="shared" si="27"/>
        <v>0</v>
      </c>
      <c r="AN29" s="93">
        <f t="shared" si="28"/>
        <v>-1041</v>
      </c>
      <c r="AO29" s="93">
        <f t="shared" si="29"/>
        <v>-1041</v>
      </c>
    </row>
    <row r="30" spans="1:42">
      <c r="A30" s="18" t="s">
        <v>150</v>
      </c>
      <c r="B30" s="18" t="s">
        <v>368</v>
      </c>
      <c r="C30" s="41">
        <v>-1100</v>
      </c>
      <c r="D30" s="42">
        <f>SUMIF('Expense Detail Old'!$E$4:$E$5179,C$1&amp;" "&amp;$A30,'Expense Detail Old'!$H$4:$H$5179)</f>
        <v>-100</v>
      </c>
      <c r="E30" s="93">
        <f t="shared" si="15"/>
        <v>1000</v>
      </c>
      <c r="F30" s="45">
        <v>0</v>
      </c>
      <c r="G30" s="42">
        <f>SUMIF('Expense Detail Old'!$E$4:$E$5179,F$1&amp;" "&amp;$A30,'Expense Detail Old'!$H$4:$H$5179)</f>
        <v>-100</v>
      </c>
      <c r="H30" s="82">
        <f t="shared" si="16"/>
        <v>-100</v>
      </c>
      <c r="I30" s="44">
        <v>0</v>
      </c>
      <c r="J30" s="42">
        <f>SUMIF('Expense Detail Old'!$E$4:$E$5179,I$1&amp;" "&amp;$A30,'Expense Detail Old'!$H$4:$H$5179)</f>
        <v>0</v>
      </c>
      <c r="K30" s="93">
        <f t="shared" si="17"/>
        <v>0</v>
      </c>
      <c r="L30" s="78">
        <v>0</v>
      </c>
      <c r="M30" s="42">
        <f>SUMIF('Expense Detail Old'!$E$4:$E$5179,L$1&amp;" "&amp;$A30,'Expense Detail Old'!$H$4:$H$5179)</f>
        <v>-100</v>
      </c>
      <c r="N30" s="93">
        <f t="shared" si="18"/>
        <v>-100</v>
      </c>
      <c r="O30" s="78">
        <v>0</v>
      </c>
      <c r="P30" s="42">
        <f>SUMIF('Expense Detail Old'!$E$4:$E$5179,O$1&amp;" "&amp;$A30,'Expense Detail Old'!$H$4:$H$5179)</f>
        <v>-100</v>
      </c>
      <c r="Q30" s="93">
        <f t="shared" si="19"/>
        <v>-100</v>
      </c>
      <c r="R30" s="78">
        <v>0</v>
      </c>
      <c r="S30" s="42">
        <f>SUMIF('Expense Detail Old'!$E$4:$E$5179,R$1&amp;" "&amp;$A30,'Expense Detail Old'!$H$4:$H$5179)</f>
        <v>-100</v>
      </c>
      <c r="T30" s="93">
        <f t="shared" si="20"/>
        <v>-100</v>
      </c>
      <c r="U30" s="78">
        <v>0</v>
      </c>
      <c r="V30" s="42">
        <f>SUMIF('Expense Detail Old'!$E$4:$E$5179,U$1&amp;" "&amp;$A30,'Expense Detail Old'!$H$4:$H$5179)</f>
        <v>-200</v>
      </c>
      <c r="W30" s="93">
        <f t="shared" si="21"/>
        <v>-200</v>
      </c>
      <c r="X30" s="78">
        <v>0</v>
      </c>
      <c r="Y30" s="42">
        <f>SUMIF('Expense Detail Old'!$E$4:$E$5179,X$1&amp;" "&amp;$A30,'Expense Detail Old'!$H$4:$H$5179)</f>
        <v>0</v>
      </c>
      <c r="Z30" s="93">
        <f t="shared" si="22"/>
        <v>0</v>
      </c>
      <c r="AA30" s="78">
        <v>0</v>
      </c>
      <c r="AB30" s="42">
        <f>SUMIF('Expense Detail Old'!$E$4:$E$5179,AA$1&amp;" "&amp;$A30,'Expense Detail Old'!$H$4:$H$5179)</f>
        <v>0</v>
      </c>
      <c r="AC30" s="93">
        <f t="shared" si="23"/>
        <v>0</v>
      </c>
      <c r="AD30" s="78">
        <v>0</v>
      </c>
      <c r="AE30" s="42">
        <f>SUMIF('Expense Detail Old'!$E$4:$E$5179,AD$1&amp;" "&amp;$A30,'Expense Detail Old'!$H$4:$H$5179)</f>
        <v>0</v>
      </c>
      <c r="AF30" s="93">
        <f t="shared" si="24"/>
        <v>0</v>
      </c>
      <c r="AG30" s="78">
        <v>0</v>
      </c>
      <c r="AH30" s="42">
        <f>SUMIF('Expense Detail Old'!$E$4:$E$5179,AG$1&amp;" "&amp;$A30,'Expense Detail Old'!$H$4:$H$5179)</f>
        <v>0</v>
      </c>
      <c r="AI30" s="93">
        <f t="shared" si="25"/>
        <v>0</v>
      </c>
      <c r="AJ30" s="78">
        <v>0</v>
      </c>
      <c r="AK30" s="42">
        <f>SUMIF('Expense Detail Old'!$E$4:$E$5179,AJ$1&amp;" "&amp;$A30,'Expense Detail Old'!$H$4:$H$5179)</f>
        <v>0</v>
      </c>
      <c r="AL30" s="93">
        <f t="shared" si="26"/>
        <v>0</v>
      </c>
      <c r="AM30" s="90">
        <f t="shared" si="27"/>
        <v>-1100</v>
      </c>
      <c r="AN30" s="93">
        <f t="shared" si="28"/>
        <v>-700</v>
      </c>
      <c r="AO30" s="93">
        <f t="shared" si="29"/>
        <v>400</v>
      </c>
    </row>
    <row r="31" spans="1:42">
      <c r="A31" s="18" t="s">
        <v>347</v>
      </c>
      <c r="B31" s="18" t="s">
        <v>350</v>
      </c>
      <c r="C31" s="41">
        <v>-1523</v>
      </c>
      <c r="D31" s="42">
        <f>SUMIF('Expense Detail Old'!$E$4:$E$5179,C$1&amp;" "&amp;$A31,'Expense Detail Old'!$H$4:$H$5179)</f>
        <v>-2986</v>
      </c>
      <c r="E31" s="93">
        <f t="shared" si="15"/>
        <v>-1463</v>
      </c>
      <c r="F31" s="41">
        <v>-1523</v>
      </c>
      <c r="G31" s="42">
        <f>SUMIF('Expense Detail Old'!$E$4:$E$5179,F$1&amp;" "&amp;$A31,'Expense Detail Old'!$H$4:$H$5179)</f>
        <v>0</v>
      </c>
      <c r="H31" s="82">
        <f t="shared" si="16"/>
        <v>1523</v>
      </c>
      <c r="I31" s="42">
        <v>-1523</v>
      </c>
      <c r="J31" s="42">
        <f>SUMIF('Expense Detail Old'!$E$4:$E$5179,I$1&amp;" "&amp;$A31,'Expense Detail Old'!$H$4:$H$5179)</f>
        <v>0</v>
      </c>
      <c r="K31" s="82">
        <f t="shared" si="17"/>
        <v>1523</v>
      </c>
      <c r="L31" s="81">
        <v>-1523</v>
      </c>
      <c r="M31" s="42">
        <f>SUMIF('Expense Detail Old'!$E$4:$E$5179,L$1&amp;" "&amp;$A31,'Expense Detail Old'!$H$4:$H$5179)</f>
        <v>-1463</v>
      </c>
      <c r="N31" s="82">
        <f t="shared" si="18"/>
        <v>60</v>
      </c>
      <c r="O31" s="81">
        <v>-1523</v>
      </c>
      <c r="P31" s="42">
        <f>SUMIF('Expense Detail Old'!$E$4:$E$5179,O$1&amp;" "&amp;$A31,'Expense Detail Old'!$H$4:$H$5179)</f>
        <v>0</v>
      </c>
      <c r="Q31" s="82">
        <f t="shared" si="19"/>
        <v>1523</v>
      </c>
      <c r="R31" s="81">
        <v>-1523</v>
      </c>
      <c r="S31" s="42">
        <f>SUMIF('Expense Detail Old'!$E$4:$E$5179,R$1&amp;" "&amp;$A31,'Expense Detail Old'!$H$4:$H$5179)</f>
        <v>-1463</v>
      </c>
      <c r="T31" s="82">
        <f t="shared" si="20"/>
        <v>60</v>
      </c>
      <c r="U31" s="181">
        <v>-3146.08</v>
      </c>
      <c r="V31" s="42">
        <f>SUMIF('Expense Detail Old'!$E$4:$E$5179,U$1&amp;" "&amp;$A31,'Expense Detail Old'!$H$4:$H$5179)</f>
        <v>-1463</v>
      </c>
      <c r="W31" s="82">
        <f t="shared" si="21"/>
        <v>1683.08</v>
      </c>
      <c r="X31" s="81">
        <v>3146.08</v>
      </c>
      <c r="Y31" s="42">
        <f>SUMIF('Expense Detail Old'!$E$4:$E$5179,X$1&amp;" "&amp;$A31,'Expense Detail Old'!$H$4:$H$5179)</f>
        <v>-3206.08</v>
      </c>
      <c r="Z31" s="82">
        <f t="shared" si="22"/>
        <v>-6352.16</v>
      </c>
      <c r="AA31" s="81">
        <v>-1523</v>
      </c>
      <c r="AB31" s="42">
        <f>SUMIF('Expense Detail Old'!$E$4:$E$5179,AA$1&amp;" "&amp;$A31,'Expense Detail Old'!$H$4:$H$5179)</f>
        <v>0</v>
      </c>
      <c r="AC31" s="82">
        <f t="shared" si="23"/>
        <v>1523</v>
      </c>
      <c r="AD31" s="81">
        <v>-1523</v>
      </c>
      <c r="AE31" s="42">
        <f>SUMIF('Expense Detail Old'!$E$4:$E$5179,AD$1&amp;" "&amp;$A31,'Expense Detail Old'!$H$4:$H$5179)</f>
        <v>0</v>
      </c>
      <c r="AF31" s="82">
        <f t="shared" si="24"/>
        <v>1523</v>
      </c>
      <c r="AG31" s="81">
        <v>-1523</v>
      </c>
      <c r="AH31" s="42">
        <f>SUMIF('Expense Detail Old'!$E$4:$E$5179,AG$1&amp;" "&amp;$A31,'Expense Detail Old'!$H$4:$H$5179)</f>
        <v>0</v>
      </c>
      <c r="AI31" s="82">
        <f t="shared" si="25"/>
        <v>1523</v>
      </c>
      <c r="AJ31" s="81">
        <v>-1523</v>
      </c>
      <c r="AK31" s="42">
        <f>SUMIF('Expense Detail Old'!$E$4:$E$5179,AJ$1&amp;" "&amp;$A31,'Expense Detail Old'!$H$4:$H$5179)</f>
        <v>0</v>
      </c>
      <c r="AL31" s="82">
        <f t="shared" si="26"/>
        <v>1523</v>
      </c>
      <c r="AM31" s="90">
        <f t="shared" si="27"/>
        <v>-15230</v>
      </c>
      <c r="AN31" s="93">
        <f t="shared" si="28"/>
        <v>-10581.08</v>
      </c>
      <c r="AO31" s="82">
        <f t="shared" si="29"/>
        <v>4648.92</v>
      </c>
      <c r="AP31" s="80" t="e">
        <f>(AP28-#REF!)/30.4</f>
        <v>#REF!</v>
      </c>
    </row>
    <row r="32" spans="1:42">
      <c r="A32" s="18" t="s">
        <v>151</v>
      </c>
      <c r="B32" s="18" t="s">
        <v>136</v>
      </c>
      <c r="C32" s="41">
        <f>C74</f>
        <v>0</v>
      </c>
      <c r="D32" s="42">
        <f>SUMIF('Expense Detail Old'!$E$4:$E$5179,C$1&amp;" "&amp;$A32,'Expense Detail Old'!$H$4:$H$5179)</f>
        <v>0</v>
      </c>
      <c r="E32" s="82">
        <f t="shared" si="15"/>
        <v>0</v>
      </c>
      <c r="F32" s="41">
        <f>F74</f>
        <v>0</v>
      </c>
      <c r="G32" s="42">
        <f>SUMIF('Expense Detail Old'!$E$4:$E$5179,F$1&amp;" "&amp;$A32,'Expense Detail Old'!$H$4:$H$5179)</f>
        <v>0</v>
      </c>
      <c r="H32" s="82">
        <f t="shared" si="16"/>
        <v>0</v>
      </c>
      <c r="I32" s="41">
        <f>I74</f>
        <v>0</v>
      </c>
      <c r="J32" s="42">
        <f>SUMIF('Expense Detail Old'!$E$4:$E$5179,I$1&amp;" "&amp;$A32,'Expense Detail Old'!$H$4:$H$5179)</f>
        <v>0</v>
      </c>
      <c r="K32" s="82">
        <f t="shared" si="17"/>
        <v>0</v>
      </c>
      <c r="L32" s="41">
        <f>L74</f>
        <v>-35</v>
      </c>
      <c r="M32" s="42">
        <f>SUMIF('Expense Detail Old'!$E$4:$E$5179,L$1&amp;" "&amp;$A32,'Expense Detail Old'!$H$4:$H$5179)</f>
        <v>0</v>
      </c>
      <c r="N32" s="82">
        <f t="shared" si="18"/>
        <v>35</v>
      </c>
      <c r="O32" s="41">
        <f>O74</f>
        <v>-35</v>
      </c>
      <c r="P32" s="42">
        <f>SUMIF('Expense Detail Old'!$E$4:$E$5179,O$1&amp;" "&amp;$A32,'Expense Detail Old'!$H$4:$H$5179)</f>
        <v>0</v>
      </c>
      <c r="Q32" s="82">
        <f t="shared" si="19"/>
        <v>35</v>
      </c>
      <c r="R32" s="41">
        <f>R74</f>
        <v>-35</v>
      </c>
      <c r="S32" s="42">
        <f>SUMIF('Expense Detail Old'!$E$4:$E$5179,R$1&amp;" "&amp;$A32,'Expense Detail Old'!$H$4:$H$5179)</f>
        <v>0</v>
      </c>
      <c r="T32" s="82">
        <f t="shared" si="20"/>
        <v>35</v>
      </c>
      <c r="U32" s="41">
        <f>U74</f>
        <v>-35</v>
      </c>
      <c r="V32" s="42">
        <f>SUMIF('Expense Detail Old'!$E$4:$E$5179,U$1&amp;" "&amp;$A32,'Expense Detail Old'!$H$4:$H$5179)</f>
        <v>-109.49</v>
      </c>
      <c r="W32" s="82">
        <f t="shared" si="21"/>
        <v>-74.489999999999995</v>
      </c>
      <c r="X32" s="41">
        <f>X74</f>
        <v>-35</v>
      </c>
      <c r="Y32" s="42">
        <f>SUMIF('Expense Detail Old'!$E$4:$E$5179,X$1&amp;" "&amp;$A32,'Expense Detail Old'!$H$4:$H$5179)</f>
        <v>0</v>
      </c>
      <c r="Z32" s="82">
        <f t="shared" si="22"/>
        <v>35</v>
      </c>
      <c r="AA32" s="41">
        <f>AA74</f>
        <v>-35</v>
      </c>
      <c r="AB32" s="42">
        <f>SUMIF('Expense Detail Old'!$E$4:$E$5179,AA$1&amp;" "&amp;$A32,'Expense Detail Old'!$H$4:$H$5179)</f>
        <v>0</v>
      </c>
      <c r="AC32" s="82">
        <f t="shared" si="23"/>
        <v>35</v>
      </c>
      <c r="AD32" s="41">
        <f>AD74</f>
        <v>-35</v>
      </c>
      <c r="AE32" s="42">
        <f>SUMIF('Expense Detail Old'!$E$4:$E$5179,AD$1&amp;" "&amp;$A32,'Expense Detail Old'!$H$4:$H$5179)</f>
        <v>0</v>
      </c>
      <c r="AF32" s="82">
        <f t="shared" si="24"/>
        <v>35</v>
      </c>
      <c r="AG32" s="41">
        <f>AG74</f>
        <v>0</v>
      </c>
      <c r="AH32" s="42">
        <f>SUMIF('Expense Detail Old'!$E$4:$E$5179,AG$1&amp;" "&amp;$A32,'Expense Detail Old'!$H$4:$H$5179)</f>
        <v>0</v>
      </c>
      <c r="AI32" s="82">
        <f t="shared" si="25"/>
        <v>0</v>
      </c>
      <c r="AJ32" s="41">
        <f>AJ74</f>
        <v>0</v>
      </c>
      <c r="AK32" s="42">
        <f>SUMIF('Expense Detail Old'!$E$4:$E$5179,AJ$1&amp;" "&amp;$A32,'Expense Detail Old'!$H$4:$H$5179)</f>
        <v>0</v>
      </c>
      <c r="AL32" s="82">
        <f t="shared" si="26"/>
        <v>0</v>
      </c>
      <c r="AM32" s="41">
        <f>AM74</f>
        <v>-245</v>
      </c>
      <c r="AN32" s="93">
        <f t="shared" si="28"/>
        <v>-109.49</v>
      </c>
      <c r="AO32" s="82">
        <f t="shared" si="29"/>
        <v>135.51</v>
      </c>
      <c r="AP32" s="41"/>
    </row>
    <row r="33" spans="1:44">
      <c r="A33" s="18" t="s">
        <v>618</v>
      </c>
      <c r="B33" s="18" t="s">
        <v>350</v>
      </c>
      <c r="C33" s="41"/>
      <c r="D33" s="42"/>
      <c r="E33" s="93"/>
      <c r="F33" s="45"/>
      <c r="G33" s="42"/>
      <c r="H33" s="82"/>
      <c r="I33" s="44"/>
      <c r="J33" s="42">
        <v>-60</v>
      </c>
      <c r="K33" s="82">
        <f t="shared" si="17"/>
        <v>-60</v>
      </c>
      <c r="L33" s="45"/>
      <c r="M33" s="42"/>
      <c r="N33" s="82"/>
      <c r="O33" s="45"/>
      <c r="P33" s="42"/>
      <c r="Q33" s="82"/>
      <c r="R33" s="45"/>
      <c r="S33" s="42"/>
      <c r="T33" s="82"/>
      <c r="U33" s="45"/>
      <c r="V33" s="42"/>
      <c r="W33" s="82"/>
      <c r="X33" s="45"/>
      <c r="Y33" s="42"/>
      <c r="Z33" s="82"/>
      <c r="AA33" s="45"/>
      <c r="AB33" s="42"/>
      <c r="AC33" s="82"/>
      <c r="AD33" s="45"/>
      <c r="AE33" s="42"/>
      <c r="AF33" s="82"/>
      <c r="AG33" s="45"/>
      <c r="AH33" s="42"/>
      <c r="AI33" s="82"/>
      <c r="AJ33" s="45"/>
      <c r="AK33" s="42"/>
      <c r="AL33" s="82"/>
      <c r="AM33" s="90"/>
      <c r="AN33" s="93"/>
      <c r="AO33" s="82"/>
    </row>
    <row r="34" spans="1:44" ht="16.5" thickBot="1">
      <c r="A34" s="18" t="s">
        <v>22</v>
      </c>
      <c r="B34" s="18" t="s">
        <v>1007</v>
      </c>
      <c r="C34" s="101">
        <v>-143.93</v>
      </c>
      <c r="D34" s="102">
        <f>SUMIF('Expense Detail Old'!$E$4:$E$5179,C$1&amp;" "&amp;$A34,'Expense Detail Old'!$H$4:$H$5179)</f>
        <v>-143.93</v>
      </c>
      <c r="E34" s="146">
        <f>D34-C34</f>
        <v>0</v>
      </c>
      <c r="F34" s="101"/>
      <c r="G34" s="102">
        <f>SUMIF('Expense Detail Old'!$E$4:$E$5179,F$1&amp;" "&amp;$A34,'Expense Detail Old'!$H$4:$H$5179)</f>
        <v>0</v>
      </c>
      <c r="H34" s="103">
        <f>G34-F34</f>
        <v>0</v>
      </c>
      <c r="I34" s="42">
        <v>-130</v>
      </c>
      <c r="J34" s="102">
        <f>SUMIF('Expense Detail Old'!$E$4:$E$5179,I$1&amp;" "&amp;$A34,'Expense Detail Old'!$H$4:$H$5179)</f>
        <v>0</v>
      </c>
      <c r="K34" s="103">
        <f t="shared" si="17"/>
        <v>130</v>
      </c>
      <c r="L34" s="41"/>
      <c r="M34" s="102">
        <f>SUMIF('Expense Detail Old'!$E$4:$E$5179,L$1&amp;" "&amp;$A34,'Expense Detail Old'!$H$4:$H$5179)</f>
        <v>-259.36</v>
      </c>
      <c r="N34" s="103">
        <f>M34-L34</f>
        <v>-259.36</v>
      </c>
      <c r="O34" s="41">
        <v>-130</v>
      </c>
      <c r="P34" s="102">
        <f>SUMIF('Expense Detail Old'!$E$4:$E$5179,O$1&amp;" "&amp;$A34,'Expense Detail Old'!$H$4:$H$5179)</f>
        <v>0</v>
      </c>
      <c r="Q34" s="103">
        <f>P34-O34</f>
        <v>130</v>
      </c>
      <c r="R34" s="41"/>
      <c r="S34" s="102">
        <f>SUMIF('Expense Detail Old'!$E$4:$E$5179,R$1&amp;" "&amp;$A34,'Expense Detail Old'!$H$4:$H$5179)</f>
        <v>0</v>
      </c>
      <c r="T34" s="103">
        <f>S34-R34</f>
        <v>0</v>
      </c>
      <c r="U34" s="41">
        <v>-392.18</v>
      </c>
      <c r="V34" s="102">
        <f>SUMIF('Expense Detail Old'!$E$4:$E$5179,U$1&amp;" "&amp;$A34,'Expense Detail Old'!$H$4:$H$5179)</f>
        <v>0</v>
      </c>
      <c r="W34" s="103">
        <f>V34-U34</f>
        <v>392.18</v>
      </c>
      <c r="X34" s="41"/>
      <c r="Y34" s="102">
        <f>SUMIF('Expense Detail Old'!$E$4:$E$5179,X$1&amp;" "&amp;$A34,'Expense Detail Old'!$H$4:$H$5179)</f>
        <v>0</v>
      </c>
      <c r="Z34" s="103">
        <f>Y34-X34</f>
        <v>0</v>
      </c>
      <c r="AA34" s="41">
        <v>-130</v>
      </c>
      <c r="AB34" s="102">
        <f>SUMIF('Expense Detail Old'!$E$4:$E$5179,AA$1&amp;" "&amp;$A34,'Expense Detail Old'!$H$4:$H$5179)</f>
        <v>0</v>
      </c>
      <c r="AC34" s="103">
        <f>AB34-AA34</f>
        <v>130</v>
      </c>
      <c r="AD34" s="41"/>
      <c r="AE34" s="102">
        <f>SUMIF('Expense Detail Old'!$E$4:$E$5179,AD$1&amp;" "&amp;$A34,'Expense Detail Old'!$H$4:$H$5179)</f>
        <v>0</v>
      </c>
      <c r="AF34" s="103">
        <f>AE34-AD34</f>
        <v>0</v>
      </c>
      <c r="AG34" s="41">
        <v>-130</v>
      </c>
      <c r="AH34" s="102">
        <f>SUMIF('Expense Detail Old'!$E$4:$E$5179,AG$1&amp;" "&amp;$A34,'Expense Detail Old'!$H$4:$H$5179)</f>
        <v>0</v>
      </c>
      <c r="AI34" s="103">
        <f>AH34-AG34</f>
        <v>130</v>
      </c>
      <c r="AJ34" s="41">
        <v>-143.93</v>
      </c>
      <c r="AK34" s="102">
        <f>SUMIF('Expense Detail Old'!$E$4:$E$5179,AJ$1&amp;" "&amp;$A34,'Expense Detail Old'!$H$4:$H$5179)</f>
        <v>0</v>
      </c>
      <c r="AL34" s="103">
        <f>AK34-AJ34</f>
        <v>143.93</v>
      </c>
      <c r="AM34" s="90">
        <f>SUM(C34,F34,I34,L34,O34,R34,U34,X34,AA34,AD34,AG34,AJ34)</f>
        <v>-1200.0400000000002</v>
      </c>
      <c r="AN34" s="93">
        <f>SUM(D34,G34,J34,M34,P34,S34,V34,Y34,AB34,AE34,AH34,AK34)</f>
        <v>-403.29</v>
      </c>
      <c r="AO34" s="103">
        <f>AN34-AM34</f>
        <v>796.75000000000023</v>
      </c>
    </row>
    <row r="35" spans="1:44" ht="16.5" thickBot="1">
      <c r="A35" s="36"/>
      <c r="B35" s="36" t="s">
        <v>359</v>
      </c>
      <c r="C35" s="95">
        <f t="shared" ref="C35:AL35" si="30">SUM(C18:C34)</f>
        <v>-2891.93</v>
      </c>
      <c r="D35" s="96">
        <f t="shared" si="30"/>
        <v>-6016.7000000000007</v>
      </c>
      <c r="E35" s="97">
        <f t="shared" si="30"/>
        <v>-3124.77</v>
      </c>
      <c r="F35" s="95">
        <f t="shared" si="30"/>
        <v>-1648</v>
      </c>
      <c r="G35" s="96">
        <f t="shared" si="30"/>
        <v>597.5</v>
      </c>
      <c r="H35" s="97">
        <f t="shared" si="30"/>
        <v>2245.5</v>
      </c>
      <c r="I35" s="83">
        <f t="shared" si="30"/>
        <v>-1778</v>
      </c>
      <c r="J35" s="96">
        <f t="shared" si="30"/>
        <v>8372.4699999999993</v>
      </c>
      <c r="K35" s="97">
        <f t="shared" si="30"/>
        <v>10150.469999999999</v>
      </c>
      <c r="L35" s="83">
        <f t="shared" si="30"/>
        <v>-1608</v>
      </c>
      <c r="M35" s="96">
        <f t="shared" si="30"/>
        <v>-2922.8</v>
      </c>
      <c r="N35" s="97">
        <f t="shared" si="30"/>
        <v>-1314.8000000000002</v>
      </c>
      <c r="O35" s="83">
        <f t="shared" si="30"/>
        <v>-1768</v>
      </c>
      <c r="P35" s="96">
        <f t="shared" si="30"/>
        <v>-796.05</v>
      </c>
      <c r="Q35" s="97">
        <f t="shared" si="30"/>
        <v>971.95</v>
      </c>
      <c r="R35" s="83">
        <f t="shared" si="30"/>
        <v>-1658</v>
      </c>
      <c r="S35" s="96">
        <f t="shared" si="30"/>
        <v>-6648</v>
      </c>
      <c r="T35" s="97">
        <f t="shared" si="30"/>
        <v>-4990</v>
      </c>
      <c r="U35" s="83">
        <f t="shared" si="30"/>
        <v>-8823.26</v>
      </c>
      <c r="V35" s="96">
        <f t="shared" si="30"/>
        <v>-7381.3099999999995</v>
      </c>
      <c r="W35" s="97">
        <f t="shared" si="30"/>
        <v>1441.9500000000003</v>
      </c>
      <c r="X35" s="83">
        <f t="shared" si="30"/>
        <v>3061.08</v>
      </c>
      <c r="Y35" s="96">
        <f t="shared" si="30"/>
        <v>-3206.08</v>
      </c>
      <c r="Z35" s="97">
        <f t="shared" si="30"/>
        <v>-6267.16</v>
      </c>
      <c r="AA35" s="83">
        <f t="shared" si="30"/>
        <v>-1738</v>
      </c>
      <c r="AB35" s="96">
        <f t="shared" si="30"/>
        <v>0</v>
      </c>
      <c r="AC35" s="97">
        <f t="shared" si="30"/>
        <v>1738</v>
      </c>
      <c r="AD35" s="83">
        <f t="shared" si="30"/>
        <v>-1708</v>
      </c>
      <c r="AE35" s="96">
        <f t="shared" si="30"/>
        <v>0</v>
      </c>
      <c r="AF35" s="97">
        <f t="shared" si="30"/>
        <v>1708</v>
      </c>
      <c r="AG35" s="83">
        <f t="shared" si="30"/>
        <v>-1703</v>
      </c>
      <c r="AH35" s="96">
        <f t="shared" si="30"/>
        <v>0</v>
      </c>
      <c r="AI35" s="97">
        <f t="shared" si="30"/>
        <v>1703</v>
      </c>
      <c r="AJ35" s="83">
        <f t="shared" si="30"/>
        <v>-2116.9299999999998</v>
      </c>
      <c r="AK35" s="96">
        <f t="shared" si="30"/>
        <v>0</v>
      </c>
      <c r="AL35" s="97">
        <f t="shared" si="30"/>
        <v>2116.9299999999998</v>
      </c>
      <c r="AM35" s="83">
        <f>SUM(AM18:AM22)</f>
        <v>-4380</v>
      </c>
      <c r="AN35" s="96">
        <f>SUM(AN18:AN34)</f>
        <v>-17940.97</v>
      </c>
      <c r="AO35" s="97">
        <f>SUM(AO18:AO34)</f>
        <v>6214.0700000000006</v>
      </c>
    </row>
    <row r="36" spans="1:44" ht="24" thickTop="1">
      <c r="A36" s="280" t="s">
        <v>355</v>
      </c>
      <c r="B36" s="284"/>
      <c r="C36" s="86">
        <f t="shared" ref="C36:AO36" si="31">SUM(C16,C35)</f>
        <v>10999.39</v>
      </c>
      <c r="D36" s="87">
        <f t="shared" si="31"/>
        <v>4679.1399999999994</v>
      </c>
      <c r="E36" s="105">
        <f t="shared" si="31"/>
        <v>-2711.15</v>
      </c>
      <c r="F36" s="86">
        <f t="shared" si="31"/>
        <v>-1359.95</v>
      </c>
      <c r="G36" s="87">
        <f t="shared" si="31"/>
        <v>4500.3</v>
      </c>
      <c r="H36" s="105">
        <f t="shared" si="31"/>
        <v>5860.25</v>
      </c>
      <c r="I36" s="86">
        <f t="shared" si="31"/>
        <v>-1489.95</v>
      </c>
      <c r="J36" s="87">
        <f t="shared" si="31"/>
        <v>8730.48</v>
      </c>
      <c r="K36" s="105">
        <f t="shared" si="31"/>
        <v>10220.429999999998</v>
      </c>
      <c r="L36" s="86">
        <f t="shared" si="31"/>
        <v>-1319.95</v>
      </c>
      <c r="M36" s="87">
        <f t="shared" si="31"/>
        <v>3265.2</v>
      </c>
      <c r="N36" s="105">
        <f t="shared" si="31"/>
        <v>4585.1499999999996</v>
      </c>
      <c r="O36" s="86">
        <f t="shared" si="31"/>
        <v>-1384.95</v>
      </c>
      <c r="P36" s="87">
        <f t="shared" si="31"/>
        <v>9649.6</v>
      </c>
      <c r="Q36" s="105">
        <f t="shared" si="31"/>
        <v>9270.5500000000011</v>
      </c>
      <c r="R36" s="86">
        <f t="shared" si="31"/>
        <v>-1309.95</v>
      </c>
      <c r="S36" s="87">
        <f t="shared" si="31"/>
        <v>-6300.97</v>
      </c>
      <c r="T36" s="105">
        <f t="shared" si="31"/>
        <v>-4991.0200000000004</v>
      </c>
      <c r="U36" s="86">
        <f t="shared" si="31"/>
        <v>-8465.2100000000009</v>
      </c>
      <c r="V36" s="87">
        <f t="shared" si="31"/>
        <v>1466.130000000001</v>
      </c>
      <c r="W36" s="105">
        <f t="shared" si="31"/>
        <v>9931.34</v>
      </c>
      <c r="X36" s="86">
        <f t="shared" si="31"/>
        <v>3409.13</v>
      </c>
      <c r="Y36" s="87">
        <f t="shared" si="31"/>
        <v>-3206.08</v>
      </c>
      <c r="Z36" s="105">
        <f t="shared" si="31"/>
        <v>-6615.21</v>
      </c>
      <c r="AA36" s="86">
        <f t="shared" si="31"/>
        <v>-1354.95</v>
      </c>
      <c r="AB36" s="87">
        <f t="shared" si="31"/>
        <v>0</v>
      </c>
      <c r="AC36" s="105">
        <f t="shared" si="31"/>
        <v>1354.95</v>
      </c>
      <c r="AD36" s="86">
        <f t="shared" si="31"/>
        <v>-1359.95</v>
      </c>
      <c r="AE36" s="87">
        <f t="shared" si="31"/>
        <v>0</v>
      </c>
      <c r="AF36" s="105">
        <f t="shared" si="31"/>
        <v>1359.95</v>
      </c>
      <c r="AG36" s="86">
        <f t="shared" si="31"/>
        <v>-1344.95</v>
      </c>
      <c r="AH36" s="87">
        <f t="shared" si="31"/>
        <v>0</v>
      </c>
      <c r="AI36" s="105">
        <f t="shared" si="31"/>
        <v>1344.95</v>
      </c>
      <c r="AJ36" s="86">
        <f t="shared" si="31"/>
        <v>-1768.8799999999999</v>
      </c>
      <c r="AK36" s="87">
        <f t="shared" si="31"/>
        <v>0</v>
      </c>
      <c r="AL36" s="105">
        <f t="shared" si="31"/>
        <v>1768.8799999999999</v>
      </c>
      <c r="AM36" s="86">
        <f t="shared" si="31"/>
        <v>-64.399999999999636</v>
      </c>
      <c r="AN36" s="87">
        <f t="shared" si="31"/>
        <v>17504.03</v>
      </c>
      <c r="AO36" s="105">
        <f t="shared" si="31"/>
        <v>27574.3</v>
      </c>
    </row>
    <row r="37" spans="1:44" ht="23.25">
      <c r="A37" s="107"/>
      <c r="B37" s="107"/>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c r="AB37" s="108"/>
      <c r="AC37" s="108"/>
      <c r="AD37" s="108"/>
      <c r="AE37" s="108"/>
      <c r="AF37" s="108"/>
      <c r="AG37" s="108"/>
      <c r="AH37" s="108"/>
      <c r="AI37" s="108"/>
      <c r="AJ37" s="108"/>
      <c r="AK37" s="108"/>
      <c r="AL37" s="108"/>
      <c r="AM37" s="108"/>
      <c r="AN37" s="108"/>
      <c r="AO37" s="108"/>
      <c r="AP37" s="109"/>
      <c r="AQ37" s="106"/>
      <c r="AR37" s="106"/>
    </row>
    <row r="38" spans="1:44" ht="23.25">
      <c r="A38" s="107"/>
      <c r="B38" s="107"/>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c r="AB38" s="108"/>
      <c r="AC38" s="108"/>
      <c r="AD38" s="108"/>
      <c r="AE38" s="108"/>
      <c r="AF38" s="108"/>
      <c r="AG38" s="108"/>
      <c r="AH38" s="108"/>
      <c r="AI38" s="108"/>
      <c r="AJ38" s="108"/>
      <c r="AK38" s="108"/>
      <c r="AL38" s="108"/>
      <c r="AM38" s="108"/>
      <c r="AN38" s="108"/>
      <c r="AO38" s="108"/>
      <c r="AP38" s="109"/>
      <c r="AQ38" s="106"/>
      <c r="AR38" s="106"/>
    </row>
    <row r="39" spans="1:44" ht="23.25">
      <c r="A39" s="280" t="s">
        <v>366</v>
      </c>
      <c r="B39" s="280"/>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109"/>
      <c r="AQ39" s="106"/>
      <c r="AR39" s="106"/>
    </row>
    <row r="40" spans="1:44" ht="24" thickBot="1">
      <c r="A40" s="275" t="s">
        <v>351</v>
      </c>
      <c r="B40" s="276"/>
      <c r="C40" s="38"/>
      <c r="D40" s="39"/>
      <c r="E40" s="40"/>
      <c r="F40" s="38"/>
      <c r="G40" s="39"/>
      <c r="H40" s="40"/>
      <c r="I40" s="38"/>
      <c r="J40" s="39"/>
      <c r="K40" s="40"/>
      <c r="L40" s="36"/>
      <c r="M40" s="39"/>
      <c r="N40" s="40"/>
      <c r="O40" s="36"/>
      <c r="P40" s="39"/>
      <c r="Q40" s="40"/>
      <c r="R40" s="36"/>
      <c r="S40" s="39"/>
      <c r="T40" s="40"/>
      <c r="U40" s="36"/>
      <c r="V40" s="39"/>
      <c r="W40" s="40"/>
      <c r="X40" s="36"/>
      <c r="Y40" s="39"/>
      <c r="Z40" s="40"/>
      <c r="AA40" s="36"/>
      <c r="AB40" s="39"/>
      <c r="AC40" s="40"/>
      <c r="AD40" s="36"/>
      <c r="AE40" s="39"/>
      <c r="AF40" s="40"/>
      <c r="AG40" s="36"/>
      <c r="AH40" s="39"/>
      <c r="AI40" s="40"/>
      <c r="AJ40" s="36"/>
      <c r="AK40" s="39"/>
      <c r="AL40" s="40"/>
      <c r="AM40" s="36"/>
      <c r="AN40" s="39"/>
      <c r="AO40" s="40"/>
    </row>
    <row r="41" spans="1:44">
      <c r="A41" s="18" t="s">
        <v>531</v>
      </c>
      <c r="B41" s="18" t="s">
        <v>351</v>
      </c>
      <c r="C41" s="98">
        <v>-29.99</v>
      </c>
      <c r="D41" s="99">
        <f>SUMIF('Expense Detail Old'!$E$4:$E$5179,C$1&amp;" "&amp;$A41,'Expense Detail Old'!$H$4:$H$5179)</f>
        <v>-29.99</v>
      </c>
      <c r="E41" s="100">
        <f t="shared" ref="E41" si="32">D41-C41</f>
        <v>0</v>
      </c>
      <c r="F41" s="44">
        <v>-29.99</v>
      </c>
      <c r="G41" s="99">
        <f>SUMIF('Expense Detail Old'!$E$4:$E$5179,F$1&amp;" "&amp;$A41,'Expense Detail Old'!$H$4:$H$5179)</f>
        <v>0</v>
      </c>
      <c r="H41" s="100">
        <f t="shared" ref="H41:H42" si="33">G41-F41</f>
        <v>29.99</v>
      </c>
      <c r="I41" s="44">
        <v>-29.99</v>
      </c>
      <c r="J41" s="99">
        <f>SUMIF('Expense Detail Old'!$E$4:$E$5179,I$1&amp;" "&amp;$A41,'Expense Detail Old'!$H$4:$H$5179)</f>
        <v>-29.99</v>
      </c>
      <c r="K41" s="100">
        <f t="shared" ref="K41:K42" si="34">J41-I41</f>
        <v>0</v>
      </c>
      <c r="L41" s="46">
        <v>-29.99</v>
      </c>
      <c r="M41" s="99">
        <f>SUMIF('Expense Detail Old'!$E$4:$E$5179,L$1&amp;" "&amp;$A41,'Expense Detail Old'!$H$4:$H$5179)</f>
        <v>-29.99</v>
      </c>
      <c r="N41" s="100">
        <f t="shared" ref="N41:N42" si="35">M41-L41</f>
        <v>0</v>
      </c>
      <c r="O41" s="46">
        <v>-29.99</v>
      </c>
      <c r="P41" s="99">
        <f>SUMIF('Expense Detail Old'!$E$4:$E$5179,O$1&amp;" "&amp;$A41,'Expense Detail Old'!$H$4:$H$5179)</f>
        <v>-29.99</v>
      </c>
      <c r="Q41" s="100">
        <f t="shared" ref="Q41:Q42" si="36">P41-O41</f>
        <v>0</v>
      </c>
      <c r="R41" s="46">
        <v>-29.99</v>
      </c>
      <c r="S41" s="99">
        <f>SUMIF('Expense Detail Old'!$E$4:$E$5179,R$1&amp;" "&amp;$A41,'Expense Detail Old'!$H$4:$H$5179)</f>
        <v>-29.99</v>
      </c>
      <c r="T41" s="100">
        <f t="shared" ref="T41:T42" si="37">S41-R41</f>
        <v>0</v>
      </c>
      <c r="U41" s="46">
        <v>-29.99</v>
      </c>
      <c r="V41" s="99">
        <f>SUMIF('Expense Detail Old'!$E$4:$E$5179,U$1&amp;" "&amp;$A41,'Expense Detail Old'!$H$4:$H$5179)</f>
        <v>-29.99</v>
      </c>
      <c r="W41" s="100">
        <f t="shared" ref="W41:W42" si="38">V41-U41</f>
        <v>0</v>
      </c>
      <c r="X41" s="46">
        <v>-29.99</v>
      </c>
      <c r="Y41" s="99">
        <f>SUMIF('Expense Detail Old'!$E$4:$E$5179,X$1&amp;" "&amp;$A41,'Expense Detail Old'!$H$4:$H$5179)</f>
        <v>0</v>
      </c>
      <c r="Z41" s="100">
        <f t="shared" ref="Z41:Z42" si="39">Y41-X41</f>
        <v>29.99</v>
      </c>
      <c r="AA41" s="46">
        <v>-29.99</v>
      </c>
      <c r="AB41" s="99">
        <f>SUMIF('Expense Detail Old'!$E$4:$E$5179,AA$1&amp;" "&amp;$A41,'Expense Detail Old'!$H$4:$H$5179)</f>
        <v>0</v>
      </c>
      <c r="AC41" s="100">
        <f t="shared" ref="AC41:AC42" si="40">AB41-AA41</f>
        <v>29.99</v>
      </c>
      <c r="AD41" s="46">
        <v>-29.99</v>
      </c>
      <c r="AE41" s="99">
        <f>SUMIF('Expense Detail Old'!$E$4:$E$5179,AD$1&amp;" "&amp;$A41,'Expense Detail Old'!$H$4:$H$5179)</f>
        <v>0</v>
      </c>
      <c r="AF41" s="100">
        <f t="shared" ref="AF41:AF42" si="41">AE41-AD41</f>
        <v>29.99</v>
      </c>
      <c r="AG41" s="46">
        <v>-29.99</v>
      </c>
      <c r="AH41" s="99">
        <f>SUMIF('Expense Detail Old'!$E$4:$E$5179,AG$1&amp;" "&amp;$A41,'Expense Detail Old'!$H$4:$H$5179)</f>
        <v>0</v>
      </c>
      <c r="AI41" s="100">
        <f t="shared" ref="AI41:AI42" si="42">AH41-AG41</f>
        <v>29.99</v>
      </c>
      <c r="AJ41" s="46">
        <v>-29.99</v>
      </c>
      <c r="AK41" s="99">
        <f>SUMIF('Expense Detail Old'!$E$4:$E$5179,AJ$1&amp;" "&amp;$A41,'Expense Detail Old'!$H$4:$H$5179)</f>
        <v>0</v>
      </c>
      <c r="AL41" s="100">
        <f t="shared" ref="AL41:AL42" si="43">AK41-AJ41</f>
        <v>29.99</v>
      </c>
      <c r="AM41" s="90">
        <f t="shared" ref="AM41:AM42" si="44">SUM(C41,F41,I41,L41,O41,R41,U41,X41,AA41,AD41,AG41,AJ41)</f>
        <v>-359.88000000000005</v>
      </c>
      <c r="AN41" s="93">
        <f t="shared" ref="AN41:AN42" si="45">SUM(D41,G41,J41,M41,P41,S41,V41,Y41,AB41,AE41,AH41,AK41)</f>
        <v>-179.94</v>
      </c>
      <c r="AO41" s="100">
        <f t="shared" ref="AO41:AO42" si="46">AN41-AM41</f>
        <v>179.94000000000005</v>
      </c>
    </row>
    <row r="42" spans="1:44">
      <c r="A42" s="18" t="s">
        <v>530</v>
      </c>
      <c r="B42" s="18" t="s">
        <v>351</v>
      </c>
      <c r="C42" s="41"/>
      <c r="D42" s="42">
        <f>SUMIF('Expense Detail Old'!$E$4:$E$5179,C$1&amp;" "&amp;$A42,'Expense Detail Old'!$H$4:$H$5179)</f>
        <v>-47.970000000000006</v>
      </c>
      <c r="E42" s="82">
        <f t="shared" ref="E42" si="47">D42-C42</f>
        <v>-47.970000000000006</v>
      </c>
      <c r="F42" s="44">
        <v>0</v>
      </c>
      <c r="G42" s="42">
        <f>SUMIF('Expense Detail Old'!$E$4:$E$5179,F$1&amp;" "&amp;$A42,'Expense Detail Old'!$H$4:$H$5179)</f>
        <v>0</v>
      </c>
      <c r="H42" s="82">
        <f t="shared" si="33"/>
        <v>0</v>
      </c>
      <c r="I42" s="45">
        <v>0</v>
      </c>
      <c r="J42" s="42">
        <f>SUMIF('Expense Detail Old'!$E$4:$E$5179,I$1&amp;" "&amp;$A42,'Expense Detail Old'!$H$4:$H$5179)</f>
        <v>0</v>
      </c>
      <c r="K42" s="82">
        <f t="shared" si="34"/>
        <v>0</v>
      </c>
      <c r="L42" s="46">
        <v>0</v>
      </c>
      <c r="M42" s="42">
        <f>SUMIF('Expense Detail Old'!$E$4:$E$5179,L$1&amp;" "&amp;$A42,'Expense Detail Old'!$H$4:$H$5179)</f>
        <v>0</v>
      </c>
      <c r="N42" s="82">
        <f t="shared" si="35"/>
        <v>0</v>
      </c>
      <c r="O42" s="46">
        <v>0</v>
      </c>
      <c r="P42" s="42">
        <f>SUMIF('Expense Detail Old'!$E$4:$E$5179,O$1&amp;" "&amp;$A42,'Expense Detail Old'!$H$4:$H$5179)</f>
        <v>0</v>
      </c>
      <c r="Q42" s="82">
        <f t="shared" si="36"/>
        <v>0</v>
      </c>
      <c r="R42" s="46">
        <v>0</v>
      </c>
      <c r="S42" s="42">
        <f>SUMIF('Expense Detail Old'!$E$4:$E$5179,R$1&amp;" "&amp;$A42,'Expense Detail Old'!$H$4:$H$5179)</f>
        <v>0</v>
      </c>
      <c r="T42" s="82">
        <f t="shared" si="37"/>
        <v>0</v>
      </c>
      <c r="U42" s="46">
        <v>0</v>
      </c>
      <c r="V42" s="42">
        <f>SUMIF('Expense Detail Old'!$E$4:$E$5179,U$1&amp;" "&amp;$A42,'Expense Detail Old'!$H$4:$H$5179)</f>
        <v>0</v>
      </c>
      <c r="W42" s="82">
        <f t="shared" si="38"/>
        <v>0</v>
      </c>
      <c r="X42" s="46">
        <v>0</v>
      </c>
      <c r="Y42" s="42">
        <f>SUMIF('Expense Detail Old'!$E$4:$E$5179,X$1&amp;" "&amp;$A42,'Expense Detail Old'!$H$4:$H$5179)</f>
        <v>0</v>
      </c>
      <c r="Z42" s="82">
        <f t="shared" si="39"/>
        <v>0</v>
      </c>
      <c r="AA42" s="46">
        <v>0</v>
      </c>
      <c r="AB42" s="42">
        <f>SUMIF('Expense Detail Old'!$E$4:$E$5179,AA$1&amp;" "&amp;$A42,'Expense Detail Old'!$H$4:$H$5179)</f>
        <v>0</v>
      </c>
      <c r="AC42" s="82">
        <f t="shared" si="40"/>
        <v>0</v>
      </c>
      <c r="AD42" s="46">
        <v>0</v>
      </c>
      <c r="AE42" s="42">
        <f>SUMIF('Expense Detail Old'!$E$4:$E$5179,AD$1&amp;" "&amp;$A42,'Expense Detail Old'!$H$4:$H$5179)</f>
        <v>0</v>
      </c>
      <c r="AF42" s="82">
        <f t="shared" si="41"/>
        <v>0</v>
      </c>
      <c r="AG42" s="46">
        <v>0</v>
      </c>
      <c r="AH42" s="42">
        <f>SUMIF('Expense Detail Old'!$E$4:$E$5179,AG$1&amp;" "&amp;$A42,'Expense Detail Old'!$H$4:$H$5179)</f>
        <v>0</v>
      </c>
      <c r="AI42" s="82">
        <f t="shared" si="42"/>
        <v>0</v>
      </c>
      <c r="AJ42" s="46">
        <v>0</v>
      </c>
      <c r="AK42" s="42">
        <f>SUMIF('Expense Detail Old'!$E$4:$E$5179,AJ$1&amp;" "&amp;$A42,'Expense Detail Old'!$H$4:$H$5179)</f>
        <v>0</v>
      </c>
      <c r="AL42" s="82">
        <f t="shared" si="43"/>
        <v>0</v>
      </c>
      <c r="AM42" s="90">
        <f t="shared" si="44"/>
        <v>0</v>
      </c>
      <c r="AN42" s="93">
        <f t="shared" si="45"/>
        <v>-47.970000000000006</v>
      </c>
      <c r="AO42" s="82">
        <f t="shared" si="46"/>
        <v>-47.970000000000006</v>
      </c>
    </row>
    <row r="43" spans="1:44">
      <c r="A43" s="18" t="s">
        <v>529</v>
      </c>
      <c r="B43" s="18" t="s">
        <v>351</v>
      </c>
      <c r="C43" s="41"/>
      <c r="D43" s="42">
        <f>SUMIF('Expense Detail Old'!$E$4:$E$5179,C$1&amp;" "&amp;$A43,'Expense Detail Old'!$H$4:$H$5179)</f>
        <v>-50</v>
      </c>
      <c r="E43" s="82"/>
      <c r="F43" s="44"/>
      <c r="G43" s="42">
        <f>SUMIF('Expense Detail Old'!$E$4:$E$5179,F$1&amp;" "&amp;$A43,'Expense Detail Old'!$H$4:$H$5179)</f>
        <v>0</v>
      </c>
      <c r="H43" s="93"/>
      <c r="I43" s="44"/>
      <c r="J43" s="42">
        <f>SUMIF('Expense Detail Old'!$E$4:$E$5179,I$1&amp;" "&amp;$A43,'Expense Detail Old'!$H$4:$H$5179)</f>
        <v>0</v>
      </c>
      <c r="K43" s="93"/>
      <c r="L43" s="46"/>
      <c r="M43" s="42">
        <f>SUMIF('Expense Detail Old'!$E$4:$E$5179,L$1&amp;" "&amp;$A43,'Expense Detail Old'!$H$4:$H$5179)</f>
        <v>0</v>
      </c>
      <c r="N43" s="93"/>
      <c r="O43" s="46"/>
      <c r="P43" s="42">
        <f>SUMIF('Expense Detail Old'!$E$4:$E$5179,O$1&amp;" "&amp;$A43,'Expense Detail Old'!$H$4:$H$5179)</f>
        <v>0</v>
      </c>
      <c r="Q43" s="93"/>
      <c r="R43" s="46"/>
      <c r="S43" s="42"/>
      <c r="T43" s="93"/>
      <c r="U43" s="46"/>
      <c r="V43" s="42"/>
      <c r="W43" s="93"/>
      <c r="X43" s="46"/>
      <c r="Y43" s="42"/>
      <c r="Z43" s="93"/>
      <c r="AA43" s="46"/>
      <c r="AB43" s="42">
        <f>SUMIF('Expense Detail Old'!$E$4:$E$5179,AA$1&amp;" "&amp;$A43,'Expense Detail Old'!$H$4:$H$5179)</f>
        <v>0</v>
      </c>
      <c r="AC43" s="93"/>
      <c r="AD43" s="46"/>
      <c r="AE43" s="42">
        <f>SUMIF('Expense Detail Old'!$E$4:$E$5179,AD$1&amp;" "&amp;$A43,'Expense Detail Old'!$H$4:$H$5179)</f>
        <v>0</v>
      </c>
      <c r="AF43" s="93"/>
      <c r="AG43" s="46"/>
      <c r="AH43" s="42">
        <f>SUMIF('Expense Detail Old'!$E$4:$E$5179,AG$1&amp;" "&amp;$A43,'Expense Detail Old'!$H$4:$H$5179)</f>
        <v>0</v>
      </c>
      <c r="AI43" s="93"/>
      <c r="AJ43" s="46"/>
      <c r="AK43" s="42">
        <f>SUMIF('Expense Detail Old'!$E$4:$E$5179,AJ$1&amp;" "&amp;$A43,'Expense Detail Old'!$H$4:$H$5179)</f>
        <v>0</v>
      </c>
      <c r="AL43" s="93"/>
      <c r="AM43" s="90"/>
      <c r="AN43" s="93"/>
      <c r="AO43" s="93"/>
    </row>
    <row r="44" spans="1:44">
      <c r="A44" s="18" t="s">
        <v>528</v>
      </c>
      <c r="B44" s="18" t="s">
        <v>351</v>
      </c>
      <c r="C44" s="41"/>
      <c r="D44" s="42">
        <f>SUMIF('Expense Detail Old'!$E$4:$E$5179,C$1&amp;" "&amp;$A44,'Expense Detail Old'!$H$4:$H$5179)</f>
        <v>-271.95</v>
      </c>
      <c r="E44" s="82"/>
      <c r="F44" s="44"/>
      <c r="G44" s="42">
        <f>SUMIF('Expense Detail Old'!$E$4:$E$5179,F$1&amp;" "&amp;$A44,'Expense Detail Old'!$H$4:$H$5179)</f>
        <v>0</v>
      </c>
      <c r="H44" s="93"/>
      <c r="I44" s="44"/>
      <c r="J44" s="42">
        <f>SUMIF('Expense Detail Old'!$E$4:$E$5179,I$1&amp;" "&amp;$A44,'Expense Detail Old'!$H$4:$H$5179)</f>
        <v>0</v>
      </c>
      <c r="K44" s="93"/>
      <c r="L44" s="46"/>
      <c r="M44" s="42">
        <f>SUMIF('Expense Detail Old'!$E$4:$E$5179,L$1&amp;" "&amp;$A44,'Expense Detail Old'!$H$4:$H$5179)</f>
        <v>-7</v>
      </c>
      <c r="N44" s="93"/>
      <c r="O44" s="46"/>
      <c r="P44" s="42">
        <f>SUMIF('Expense Detail Old'!$E$4:$E$5179,O$1&amp;" "&amp;$A44,'Expense Detail Old'!$H$4:$H$5179)</f>
        <v>-7</v>
      </c>
      <c r="Q44" s="93"/>
      <c r="R44" s="46">
        <f>16/3</f>
        <v>5.333333333333333</v>
      </c>
      <c r="S44" s="42"/>
      <c r="T44" s="93"/>
      <c r="U44" s="46"/>
      <c r="V44" s="42"/>
      <c r="W44" s="93"/>
      <c r="X44" s="46"/>
      <c r="Y44" s="42"/>
      <c r="Z44" s="93"/>
      <c r="AA44" s="46"/>
      <c r="AB44" s="42">
        <f>SUMIF('Expense Detail Old'!$E$4:$E$5179,AA$1&amp;" "&amp;$A44,'Expense Detail Old'!$H$4:$H$5179)</f>
        <v>0</v>
      </c>
      <c r="AC44" s="93"/>
      <c r="AD44" s="46"/>
      <c r="AE44" s="42">
        <f>SUMIF('Expense Detail Old'!$E$4:$E$5179,AD$1&amp;" "&amp;$A44,'Expense Detail Old'!$H$4:$H$5179)</f>
        <v>0</v>
      </c>
      <c r="AF44" s="93"/>
      <c r="AG44" s="46"/>
      <c r="AH44" s="42">
        <f>SUMIF('Expense Detail Old'!$E$4:$E$5179,AG$1&amp;" "&amp;$A44,'Expense Detail Old'!$H$4:$H$5179)</f>
        <v>0</v>
      </c>
      <c r="AI44" s="93"/>
      <c r="AJ44" s="46"/>
      <c r="AK44" s="42">
        <f>SUMIF('Expense Detail Old'!$E$4:$E$5179,AJ$1&amp;" "&amp;$A44,'Expense Detail Old'!$H$4:$H$5179)</f>
        <v>0</v>
      </c>
      <c r="AL44" s="93"/>
      <c r="AM44" s="90"/>
      <c r="AN44" s="93"/>
      <c r="AO44" s="93"/>
    </row>
    <row r="45" spans="1:44">
      <c r="A45" s="18" t="s">
        <v>584</v>
      </c>
      <c r="B45" s="18" t="s">
        <v>351</v>
      </c>
      <c r="C45" s="41"/>
      <c r="D45" s="42">
        <f>SUMIF('Expense Detail Old'!$E$4:$E$5179,C$1&amp;" "&amp;$A45,'Expense Detail Old'!$H$4:$H$5179)</f>
        <v>0</v>
      </c>
      <c r="E45" s="82"/>
      <c r="F45" s="44"/>
      <c r="G45" s="42">
        <f>SUMIF('Expense Detail Old'!$E$4:$E$5179,F$1&amp;" "&amp;$A45,'Expense Detail Old'!$H$4:$H$5179)</f>
        <v>0</v>
      </c>
      <c r="H45" s="93"/>
      <c r="I45" s="44"/>
      <c r="J45" s="42">
        <f>SUMIF('Expense Detail Old'!$E$4:$E$5179,I$1&amp;" "&amp;$A45,'Expense Detail Old'!$H$4:$H$5179)</f>
        <v>0</v>
      </c>
      <c r="K45" s="93"/>
      <c r="L45" s="46"/>
      <c r="M45" s="42">
        <f>SUMIF('Expense Detail Old'!$E$4:$E$5179,L$1&amp;" "&amp;$A45,'Expense Detail Old'!$H$4:$H$5179)</f>
        <v>0</v>
      </c>
      <c r="N45" s="93"/>
      <c r="O45" s="46"/>
      <c r="P45" s="42">
        <f>SUMIF('Expense Detail Old'!$E$4:$E$5179,O$1&amp;" "&amp;$A45,'Expense Detail Old'!$H$4:$H$5179)</f>
        <v>0</v>
      </c>
      <c r="Q45" s="93"/>
      <c r="R45" s="46"/>
      <c r="S45" s="42"/>
      <c r="T45" s="93"/>
      <c r="U45" s="46"/>
      <c r="V45" s="42"/>
      <c r="W45" s="93"/>
      <c r="X45" s="46"/>
      <c r="Y45" s="42"/>
      <c r="Z45" s="93"/>
      <c r="AA45" s="46"/>
      <c r="AB45" s="42">
        <f>SUMIF('Expense Detail Old'!$E$4:$E$5179,AA$1&amp;" "&amp;$A45,'Expense Detail Old'!$H$4:$H$5179)</f>
        <v>0</v>
      </c>
      <c r="AC45" s="93"/>
      <c r="AD45" s="46"/>
      <c r="AE45" s="42">
        <f>SUMIF('Expense Detail Old'!$E$4:$E$5179,AD$1&amp;" "&amp;$A45,'Expense Detail Old'!$H$4:$H$5179)</f>
        <v>0</v>
      </c>
      <c r="AF45" s="93"/>
      <c r="AG45" s="46"/>
      <c r="AH45" s="42">
        <f>SUMIF('Expense Detail Old'!$E$4:$E$5179,AG$1&amp;" "&amp;$A45,'Expense Detail Old'!$H$4:$H$5179)</f>
        <v>0</v>
      </c>
      <c r="AI45" s="93"/>
      <c r="AJ45" s="46"/>
      <c r="AK45" s="42">
        <f>SUMIF('Expense Detail Old'!$E$4:$E$5179,AJ$1&amp;" "&amp;$A45,'Expense Detail Old'!$H$4:$H$5179)</f>
        <v>0</v>
      </c>
      <c r="AL45" s="93"/>
      <c r="AM45" s="90"/>
      <c r="AN45" s="93"/>
      <c r="AO45" s="93"/>
    </row>
    <row r="46" spans="1:44" ht="16.5" thickBot="1">
      <c r="A46" s="18" t="s">
        <v>585</v>
      </c>
      <c r="B46" s="18" t="s">
        <v>351</v>
      </c>
      <c r="C46" s="101"/>
      <c r="D46" s="102">
        <f>SUMIF('Expense Detail Old'!$E$4:$E$5179,C$1&amp;" "&amp;$A46,'Expense Detail Old'!$H$4:$H$5179)</f>
        <v>-7.6</v>
      </c>
      <c r="E46" s="103"/>
      <c r="F46" s="44"/>
      <c r="G46" s="102">
        <f>SUMIF('Expense Detail Old'!$E$4:$E$5179,F$1&amp;" "&amp;$A46,'Expense Detail Old'!$H$4:$H$5179)</f>
        <v>0</v>
      </c>
      <c r="H46" s="93"/>
      <c r="I46" s="44"/>
      <c r="J46" s="102">
        <f>SUMIF('Expense Detail Old'!$E$4:$E$5179,I$1&amp;" "&amp;$A46,'Expense Detail Old'!$H$4:$H$5179)</f>
        <v>0</v>
      </c>
      <c r="K46" s="93"/>
      <c r="L46" s="46"/>
      <c r="M46" s="102">
        <f>SUMIF('Expense Detail Old'!$E$4:$E$5179,L$1&amp;" "&amp;$A46,'Expense Detail Old'!$H$4:$H$5179)</f>
        <v>-99.14</v>
      </c>
      <c r="N46" s="93"/>
      <c r="O46" s="46"/>
      <c r="P46" s="102">
        <f>SUMIF('Expense Detail Old'!$E$4:$E$5179,O$1&amp;" "&amp;$A46,'Expense Detail Old'!$H$4:$H$5179)</f>
        <v>-3.36</v>
      </c>
      <c r="Q46" s="93"/>
      <c r="R46" s="46"/>
      <c r="S46" s="42"/>
      <c r="T46" s="93"/>
      <c r="U46" s="46"/>
      <c r="V46" s="42"/>
      <c r="W46" s="93"/>
      <c r="X46" s="46"/>
      <c r="Y46" s="42"/>
      <c r="Z46" s="93"/>
      <c r="AA46" s="46"/>
      <c r="AB46" s="102">
        <f>SUMIF('Expense Detail Old'!$E$4:$E$5179,AA$1&amp;" "&amp;$A46,'Expense Detail Old'!$H$4:$H$5179)</f>
        <v>0</v>
      </c>
      <c r="AC46" s="93"/>
      <c r="AD46" s="46"/>
      <c r="AE46" s="102">
        <f>SUMIF('Expense Detail Old'!$E$4:$E$5179,AD$1&amp;" "&amp;$A46,'Expense Detail Old'!$H$4:$H$5179)</f>
        <v>0</v>
      </c>
      <c r="AF46" s="93"/>
      <c r="AG46" s="46"/>
      <c r="AH46" s="102">
        <f>SUMIF('Expense Detail Old'!$E$4:$E$5179,AG$1&amp;" "&amp;$A46,'Expense Detail Old'!$H$4:$H$5179)</f>
        <v>0</v>
      </c>
      <c r="AI46" s="93"/>
      <c r="AJ46" s="46"/>
      <c r="AK46" s="102">
        <f>SUMIF('Expense Detail Old'!$E$4:$E$5179,AJ$1&amp;" "&amp;$A46,'Expense Detail Old'!$H$4:$H$5179)</f>
        <v>0</v>
      </c>
      <c r="AL46" s="93"/>
      <c r="AM46" s="90"/>
      <c r="AN46" s="93"/>
      <c r="AO46" s="93"/>
    </row>
    <row r="47" spans="1:44">
      <c r="A47" s="18" t="s">
        <v>657</v>
      </c>
      <c r="B47" s="18" t="s">
        <v>351</v>
      </c>
      <c r="C47" s="42"/>
      <c r="D47" s="42"/>
      <c r="E47" s="93"/>
      <c r="F47" s="44"/>
      <c r="G47" s="42"/>
      <c r="H47" s="93"/>
      <c r="I47" s="44"/>
      <c r="J47" s="42"/>
      <c r="K47" s="93"/>
      <c r="L47" s="46"/>
      <c r="M47" s="42"/>
      <c r="N47" s="93"/>
      <c r="O47" s="46"/>
      <c r="P47" s="42"/>
      <c r="Q47" s="93"/>
      <c r="R47" s="46"/>
      <c r="S47" s="42"/>
      <c r="T47" s="93"/>
      <c r="U47" s="46"/>
      <c r="V47" s="42"/>
      <c r="W47" s="93"/>
      <c r="X47" s="46"/>
      <c r="Y47" s="42"/>
      <c r="Z47" s="93"/>
      <c r="AA47" s="46"/>
      <c r="AB47" s="42"/>
      <c r="AC47" s="93"/>
      <c r="AD47" s="46"/>
      <c r="AE47" s="42"/>
      <c r="AF47" s="93"/>
      <c r="AG47" s="46"/>
      <c r="AH47" s="42"/>
      <c r="AI47" s="93"/>
      <c r="AJ47" s="46"/>
      <c r="AK47" s="42"/>
      <c r="AL47" s="93"/>
      <c r="AM47" s="90"/>
      <c r="AN47" s="93"/>
      <c r="AO47" s="93"/>
    </row>
    <row r="48" spans="1:44" ht="16.5" thickBot="1">
      <c r="A48" s="36"/>
      <c r="B48" s="36" t="s">
        <v>352</v>
      </c>
      <c r="C48" s="135">
        <f>SUM(C41:C42)</f>
        <v>-29.99</v>
      </c>
      <c r="D48" s="135">
        <f t="shared" ref="D48:E48" si="48">SUM(D41:D42)</f>
        <v>-77.960000000000008</v>
      </c>
      <c r="E48" s="135">
        <f t="shared" si="48"/>
        <v>-47.970000000000006</v>
      </c>
      <c r="F48" s="76">
        <f>SUM(F41:F42)</f>
        <v>-29.99</v>
      </c>
      <c r="G48" s="135">
        <f t="shared" ref="G48" si="49">SUM(G41:G42)</f>
        <v>0</v>
      </c>
      <c r="H48" s="76">
        <f t="shared" ref="H48" si="50">SUM(H41:H42)</f>
        <v>29.99</v>
      </c>
      <c r="I48" s="76">
        <f>SUM(I41:I42)</f>
        <v>-29.99</v>
      </c>
      <c r="J48" s="135">
        <f t="shared" ref="J48" si="51">SUM(J41:J42)</f>
        <v>-29.99</v>
      </c>
      <c r="K48" s="76">
        <f t="shared" ref="K48" si="52">SUM(K41:K42)</f>
        <v>0</v>
      </c>
      <c r="L48" s="76">
        <f>SUM(L41:L42)</f>
        <v>-29.99</v>
      </c>
      <c r="M48" s="135">
        <f t="shared" ref="M48" si="53">SUM(M41:M42)</f>
        <v>-29.99</v>
      </c>
      <c r="N48" s="76">
        <f t="shared" ref="N48" si="54">SUM(N41:N42)</f>
        <v>0</v>
      </c>
      <c r="O48" s="76">
        <f>SUM(O41:O42)</f>
        <v>-29.99</v>
      </c>
      <c r="P48" s="135">
        <f t="shared" ref="P48" si="55">SUM(P41:P42)</f>
        <v>-29.99</v>
      </c>
      <c r="Q48" s="76">
        <f t="shared" ref="Q48" si="56">SUM(Q41:Q42)</f>
        <v>0</v>
      </c>
      <c r="R48" s="76">
        <f>SUM(R41:R42)</f>
        <v>-29.99</v>
      </c>
      <c r="S48" s="76">
        <f t="shared" ref="S48" si="57">SUM(S41:S42)</f>
        <v>-29.99</v>
      </c>
      <c r="T48" s="76">
        <f t="shared" ref="T48" si="58">SUM(T41:T42)</f>
        <v>0</v>
      </c>
      <c r="U48" s="76">
        <f>SUM(U41:U42)</f>
        <v>-29.99</v>
      </c>
      <c r="V48" s="76">
        <f t="shared" ref="V48" si="59">SUM(V41:V42)</f>
        <v>-29.99</v>
      </c>
      <c r="W48" s="76">
        <f t="shared" ref="W48" si="60">SUM(W41:W42)</f>
        <v>0</v>
      </c>
      <c r="X48" s="76">
        <f>SUM(X41:X42)</f>
        <v>-29.99</v>
      </c>
      <c r="Y48" s="76">
        <f t="shared" ref="Y48" si="61">SUM(Y41:Y42)</f>
        <v>0</v>
      </c>
      <c r="Z48" s="76">
        <f t="shared" ref="Z48" si="62">SUM(Z41:Z42)</f>
        <v>29.99</v>
      </c>
      <c r="AA48" s="76">
        <f>SUM(AA41:AA42)</f>
        <v>-29.99</v>
      </c>
      <c r="AB48" s="135">
        <f t="shared" ref="AB48" si="63">SUM(AB41:AB42)</f>
        <v>0</v>
      </c>
      <c r="AC48" s="76">
        <f t="shared" ref="AC48" si="64">SUM(AC41:AC42)</f>
        <v>29.99</v>
      </c>
      <c r="AD48" s="76">
        <f>SUM(AD41:AD42)</f>
        <v>-29.99</v>
      </c>
      <c r="AE48" s="135">
        <f t="shared" ref="AE48" si="65">SUM(AE41:AE42)</f>
        <v>0</v>
      </c>
      <c r="AF48" s="76">
        <f t="shared" ref="AF48" si="66">SUM(AF41:AF42)</f>
        <v>29.99</v>
      </c>
      <c r="AG48" s="76">
        <f>SUM(AG41:AG42)</f>
        <v>-29.99</v>
      </c>
      <c r="AH48" s="135">
        <f t="shared" ref="AH48" si="67">SUM(AH41:AH42)</f>
        <v>0</v>
      </c>
      <c r="AI48" s="76">
        <f t="shared" ref="AI48" si="68">SUM(AI41:AI42)</f>
        <v>29.99</v>
      </c>
      <c r="AJ48" s="76">
        <f>SUM(AJ41:AJ42)</f>
        <v>-29.99</v>
      </c>
      <c r="AK48" s="135">
        <f t="shared" ref="AK48" si="69">SUM(AK41:AK42)</f>
        <v>0</v>
      </c>
      <c r="AL48" s="76">
        <f t="shared" ref="AL48" si="70">SUM(AL41:AL42)</f>
        <v>29.99</v>
      </c>
      <c r="AM48" s="76">
        <f>SUM(AM41:AM42)</f>
        <v>-359.88000000000005</v>
      </c>
      <c r="AN48" s="76">
        <f t="shared" ref="AN48" si="71">SUM(AN41:AN42)</f>
        <v>-227.91</v>
      </c>
      <c r="AO48" s="76">
        <f t="shared" ref="AO48" si="72">SUM(AO41:AO42)</f>
        <v>131.97000000000006</v>
      </c>
      <c r="AP48" s="76">
        <f t="shared" ref="AP48" si="73">SUM(AP41:AP42)</f>
        <v>0</v>
      </c>
    </row>
    <row r="49" spans="1:41" ht="24.75" thickTop="1" thickBot="1">
      <c r="A49" s="275" t="s">
        <v>353</v>
      </c>
      <c r="B49" s="276"/>
      <c r="C49" s="38"/>
      <c r="D49" s="47"/>
      <c r="E49" s="49"/>
      <c r="F49" s="48"/>
      <c r="G49" s="47"/>
      <c r="H49" s="49"/>
      <c r="I49" s="48"/>
      <c r="J49" s="47"/>
      <c r="K49" s="49"/>
      <c r="L49" s="48"/>
      <c r="M49" s="47"/>
      <c r="N49" s="49"/>
      <c r="O49" s="48"/>
      <c r="P49" s="47"/>
      <c r="Q49" s="49"/>
      <c r="R49" s="48"/>
      <c r="S49" s="47"/>
      <c r="T49" s="49"/>
      <c r="U49" s="48"/>
      <c r="V49" s="47"/>
      <c r="W49" s="49"/>
      <c r="X49" s="48"/>
      <c r="Y49" s="47"/>
      <c r="Z49" s="49"/>
      <c r="AA49" s="48"/>
      <c r="AB49" s="47"/>
      <c r="AC49" s="49"/>
      <c r="AD49" s="48"/>
      <c r="AE49" s="47"/>
      <c r="AF49" s="49"/>
      <c r="AG49" s="48"/>
      <c r="AH49" s="47"/>
      <c r="AI49" s="49"/>
      <c r="AJ49" s="48"/>
      <c r="AK49" s="47"/>
      <c r="AL49" s="49"/>
      <c r="AM49" s="48"/>
      <c r="AN49" s="47"/>
      <c r="AO49" s="49"/>
    </row>
    <row r="50" spans="1:41">
      <c r="A50" s="18" t="s">
        <v>356</v>
      </c>
      <c r="B50" s="18" t="s">
        <v>350</v>
      </c>
      <c r="C50" s="98">
        <v>0</v>
      </c>
      <c r="D50" s="99">
        <f>SUMIF('Expense Detail Old'!$E$4:$E$5179,C$1&amp;" "&amp;$A50,'Expense Detail Old'!$H$4:$H$5179)</f>
        <v>0</v>
      </c>
      <c r="E50" s="145">
        <f t="shared" ref="E50" si="74">D50-C50</f>
        <v>0</v>
      </c>
      <c r="F50" s="152">
        <v>0</v>
      </c>
      <c r="G50" s="99">
        <f>SUMIF('Expense Detail Old'!$E$4:$E$5179,F$1&amp;" "&amp;$A50,'Expense Detail Old'!$H$4:$H$5179)</f>
        <v>0</v>
      </c>
      <c r="H50" s="100">
        <f t="shared" ref="H50" si="75">G50-F50</f>
        <v>0</v>
      </c>
      <c r="I50" s="44">
        <v>0</v>
      </c>
      <c r="J50" s="99">
        <f>SUMIF('Expense Detail Old'!$E$4:$E$5179,I$1&amp;" "&amp;$A50,'Expense Detail Old'!$H$4:$H$5179)</f>
        <v>0</v>
      </c>
      <c r="K50" s="100">
        <f t="shared" ref="K50" si="76">J50-I50</f>
        <v>0</v>
      </c>
      <c r="L50" s="45">
        <v>0</v>
      </c>
      <c r="M50" s="99">
        <f>SUMIF('Expense Detail Old'!$E$4:$E$5179,L$1&amp;" "&amp;$A50,'Expense Detail Old'!$H$4:$H$5179)</f>
        <v>0</v>
      </c>
      <c r="N50" s="100">
        <f t="shared" ref="N50" si="77">M50-L50</f>
        <v>0</v>
      </c>
      <c r="O50" s="45">
        <v>-30</v>
      </c>
      <c r="P50" s="99">
        <f>SUMIF('Expense Detail Old'!$E$4:$E$5179,O$1&amp;" "&amp;$A50,'Expense Detail Old'!$H$4:$H$5179)</f>
        <v>0</v>
      </c>
      <c r="Q50" s="100">
        <f t="shared" ref="Q50" si="78">P50-O50</f>
        <v>30</v>
      </c>
      <c r="R50" s="45">
        <v>-50</v>
      </c>
      <c r="S50" s="99">
        <f>SUMIF('Expense Detail Old'!$E$4:$E$5179,R$1&amp;" "&amp;$A50,'Expense Detail Old'!$H$4:$H$5179)</f>
        <v>0</v>
      </c>
      <c r="T50" s="100">
        <f t="shared" ref="T50" si="79">S50-R50</f>
        <v>50</v>
      </c>
      <c r="U50" s="45">
        <v>-200</v>
      </c>
      <c r="V50" s="99">
        <f>SUMIF('Expense Detail Old'!$E$4:$E$5179,U$1&amp;" "&amp;$A50,'Expense Detail Old'!$H$4:$H$5179)</f>
        <v>0</v>
      </c>
      <c r="W50" s="100">
        <f t="shared" ref="W50" si="80">V50-U50</f>
        <v>200</v>
      </c>
      <c r="X50" s="45">
        <v>0</v>
      </c>
      <c r="Y50" s="99">
        <f>SUMIF('Expense Detail Old'!$E$4:$E$5179,X$1&amp;" "&amp;$A50,'Expense Detail Old'!$H$4:$H$5179)</f>
        <v>0</v>
      </c>
      <c r="Z50" s="100">
        <f t="shared" ref="Z50" si="81">Y50-X50</f>
        <v>0</v>
      </c>
      <c r="AA50" s="45">
        <v>0</v>
      </c>
      <c r="AB50" s="99">
        <f>SUMIF('Expense Detail Old'!$E$4:$E$5179,AA$1&amp;" "&amp;$A50,'Expense Detail Old'!$H$4:$H$5179)</f>
        <v>0</v>
      </c>
      <c r="AC50" s="100">
        <f t="shared" ref="AC50" si="82">AB50-AA50</f>
        <v>0</v>
      </c>
      <c r="AD50" s="45">
        <v>-100</v>
      </c>
      <c r="AE50" s="99">
        <f>SUMIF('Expense Detail Old'!$E$4:$E$5179,AD$1&amp;" "&amp;$A50,'Expense Detail Old'!$H$4:$H$5179)</f>
        <v>0</v>
      </c>
      <c r="AF50" s="100">
        <f t="shared" ref="AF50" si="83">AE50-AD50</f>
        <v>100</v>
      </c>
      <c r="AG50" s="45">
        <v>0</v>
      </c>
      <c r="AH50" s="99">
        <f>SUMIF('Expense Detail Old'!$E$4:$E$5179,AG$1&amp;" "&amp;$A50,'Expense Detail Old'!$H$4:$H$5179)</f>
        <v>0</v>
      </c>
      <c r="AI50" s="100">
        <f t="shared" ref="AI50" si="84">AH50-AG50</f>
        <v>0</v>
      </c>
      <c r="AJ50" s="45">
        <v>-400</v>
      </c>
      <c r="AK50" s="99">
        <f>SUMIF('Expense Detail Old'!$E$4:$E$5179,AJ$1&amp;" "&amp;$A50,'Expense Detail Old'!$H$4:$H$5179)</f>
        <v>0</v>
      </c>
      <c r="AL50" s="100">
        <f t="shared" ref="AL50" si="85">AK50-AJ50</f>
        <v>400</v>
      </c>
      <c r="AM50" s="90">
        <f t="shared" ref="AM50" si="86">SUM(C50,F50,I50,L50,O50,R50,U50,X50,AA50,AD50,AG50,AJ50)</f>
        <v>-780</v>
      </c>
      <c r="AN50" s="93">
        <f t="shared" ref="AN50" si="87">SUM(D50,G50,J50,M50,P50,S50,V50,Y50,AB50,AE50,AH50,AK50)</f>
        <v>0</v>
      </c>
      <c r="AO50" s="100">
        <f t="shared" ref="AO50" si="88">AN50-AM50</f>
        <v>780</v>
      </c>
    </row>
    <row r="51" spans="1:41">
      <c r="A51" s="18" t="s">
        <v>16</v>
      </c>
      <c r="B51" s="18" t="s">
        <v>353</v>
      </c>
      <c r="C51" s="41">
        <v>0</v>
      </c>
      <c r="D51" s="42">
        <f>SUMIF('Expense Detail Old'!$E$4:$E$5179,C$1&amp;" "&amp;$A51,'Expense Detail Old'!$H$4:$H$5179)</f>
        <v>-50</v>
      </c>
      <c r="E51" s="93">
        <f t="shared" ref="E51:E52" si="89">D51-C51</f>
        <v>-50</v>
      </c>
      <c r="F51" s="41">
        <v>0</v>
      </c>
      <c r="G51" s="42">
        <f>SUMIF('Expense Detail Old'!$E$4:$E$5179,F$1&amp;" "&amp;$A51,'Expense Detail Old'!$H$4:$H$5179)</f>
        <v>0</v>
      </c>
      <c r="H51" s="82">
        <f t="shared" ref="H51:H52" si="90">G51-F51</f>
        <v>0</v>
      </c>
      <c r="I51" s="42">
        <v>0</v>
      </c>
      <c r="J51" s="42">
        <f>SUMIF('Expense Detail Old'!$E$4:$E$5179,I$1&amp;" "&amp;$A51,'Expense Detail Old'!$H$4:$H$5179)</f>
        <v>0</v>
      </c>
      <c r="K51" s="82">
        <f t="shared" ref="K51:K52" si="91">J51-I51</f>
        <v>0</v>
      </c>
      <c r="L51" s="41">
        <v>0</v>
      </c>
      <c r="M51" s="42">
        <f>SUMIF('Expense Detail Old'!$E$4:$E$5179,L$1&amp;" "&amp;$A51,'Expense Detail Old'!$H$4:$H$5179)</f>
        <v>0</v>
      </c>
      <c r="N51" s="82">
        <f t="shared" ref="N51:N52" si="92">M51-L51</f>
        <v>0</v>
      </c>
      <c r="O51" s="41">
        <v>0</v>
      </c>
      <c r="P51" s="42">
        <f>SUMIF('Expense Detail Old'!$E$4:$E$5179,O$1&amp;" "&amp;$A51,'Expense Detail Old'!$H$4:$H$5179)</f>
        <v>0</v>
      </c>
      <c r="Q51" s="82">
        <f t="shared" ref="Q51:Q52" si="93">P51-O51</f>
        <v>0</v>
      </c>
      <c r="R51" s="41">
        <v>0</v>
      </c>
      <c r="S51" s="42">
        <f>SUMIF('Expense Detail Old'!$E$4:$E$5179,R$1&amp;" "&amp;$A51,'Expense Detail Old'!$H$4:$H$5179)</f>
        <v>-60</v>
      </c>
      <c r="T51" s="82">
        <f t="shared" ref="T51:T52" si="94">S51-R51</f>
        <v>-60</v>
      </c>
      <c r="U51" s="41">
        <v>0</v>
      </c>
      <c r="V51" s="42">
        <f>SUMIF('Expense Detail Old'!$E$4:$E$5179,U$1&amp;" "&amp;$A51,'Expense Detail Old'!$H$4:$H$5179)</f>
        <v>0</v>
      </c>
      <c r="W51" s="82">
        <f t="shared" ref="W51:W52" si="95">V51-U51</f>
        <v>0</v>
      </c>
      <c r="X51" s="41">
        <v>0</v>
      </c>
      <c r="Y51" s="42">
        <f>SUMIF('Expense Detail Old'!$E$4:$E$5179,X$1&amp;" "&amp;$A51,'Expense Detail Old'!$H$4:$H$5179)</f>
        <v>0</v>
      </c>
      <c r="Z51" s="82">
        <f t="shared" ref="Z51:Z52" si="96">Y51-X51</f>
        <v>0</v>
      </c>
      <c r="AA51" s="41">
        <v>0</v>
      </c>
      <c r="AB51" s="42">
        <f>SUMIF('Expense Detail Old'!$E$4:$E$5179,AA$1&amp;" "&amp;$A51,'Expense Detail Old'!$H$4:$H$5179)</f>
        <v>0</v>
      </c>
      <c r="AC51" s="82">
        <f t="shared" ref="AC51:AC52" si="97">AB51-AA51</f>
        <v>0</v>
      </c>
      <c r="AD51" s="41">
        <v>0</v>
      </c>
      <c r="AE51" s="42">
        <f>SUMIF('Expense Detail Old'!$E$4:$E$5179,AD$1&amp;" "&amp;$A51,'Expense Detail Old'!$H$4:$H$5179)</f>
        <v>0</v>
      </c>
      <c r="AF51" s="82">
        <f t="shared" ref="AF51:AF52" si="98">AE51-AD51</f>
        <v>0</v>
      </c>
      <c r="AG51" s="41">
        <v>0</v>
      </c>
      <c r="AH51" s="42">
        <f>SUMIF('Expense Detail Old'!$E$4:$E$5179,AG$1&amp;" "&amp;$A51,'Expense Detail Old'!$H$4:$H$5179)</f>
        <v>0</v>
      </c>
      <c r="AI51" s="82">
        <f t="shared" ref="AI51:AI52" si="99">AH51-AG51</f>
        <v>0</v>
      </c>
      <c r="AJ51" s="41">
        <v>0</v>
      </c>
      <c r="AK51" s="42">
        <f>SUMIF('Expense Detail Old'!$E$4:$E$5179,AJ$1&amp;" "&amp;$A51,'Expense Detail Old'!$H$4:$H$5179)</f>
        <v>0</v>
      </c>
      <c r="AL51" s="82">
        <f t="shared" ref="AL51:AL52" si="100">AK51-AJ51</f>
        <v>0</v>
      </c>
      <c r="AM51" s="90">
        <f t="shared" ref="AM51:AM52" si="101">SUM(C51,F51,I51,L51,O51,R51,U51,X51,AA51,AD51,AG51,AJ51)</f>
        <v>0</v>
      </c>
      <c r="AN51" s="93">
        <f t="shared" ref="AN51:AN52" si="102">SUM(D51,G51,J51,M51,P51,S51,V51,Y51,AB51,AE51,AH51,AK51)</f>
        <v>-110</v>
      </c>
      <c r="AO51" s="82">
        <f t="shared" ref="AO51:AO52" si="103">AN51-AM51</f>
        <v>-110</v>
      </c>
    </row>
    <row r="52" spans="1:41">
      <c r="A52" s="18" t="s">
        <v>954</v>
      </c>
      <c r="B52" s="18" t="s">
        <v>353</v>
      </c>
      <c r="C52" s="41">
        <v>-50</v>
      </c>
      <c r="D52" s="42">
        <f>SUMIF('Expense Detail Old'!$E$4:$E$5179,C$1&amp;" "&amp;$A52,'Expense Detail Old'!$H$4:$H$5179)</f>
        <v>-40</v>
      </c>
      <c r="E52" s="93">
        <f t="shared" si="89"/>
        <v>10</v>
      </c>
      <c r="F52" s="41">
        <v>-50</v>
      </c>
      <c r="G52" s="42">
        <f>SUMIF('Expense Detail Old'!$E$4:$E$5179,F$1&amp;" "&amp;$A52,'Expense Detail Old'!$H$4:$H$5179)</f>
        <v>-30</v>
      </c>
      <c r="H52" s="82">
        <f t="shared" si="90"/>
        <v>20</v>
      </c>
      <c r="I52" s="42">
        <v>-50</v>
      </c>
      <c r="J52" s="42">
        <f>SUMIF('Expense Detail Old'!$E$4:$E$5179,I$1&amp;" "&amp;$A52,'Expense Detail Old'!$H$4:$H$5179)</f>
        <v>140</v>
      </c>
      <c r="K52" s="82">
        <f t="shared" si="91"/>
        <v>190</v>
      </c>
      <c r="L52" s="41">
        <v>-50</v>
      </c>
      <c r="M52" s="42">
        <f>SUMIF('Expense Detail Old'!$E$4:$E$5179,L$1&amp;" "&amp;$A52,'Expense Detail Old'!$H$4:$H$5179)</f>
        <v>0</v>
      </c>
      <c r="N52" s="82">
        <f t="shared" si="92"/>
        <v>50</v>
      </c>
      <c r="O52" s="41">
        <v>-50</v>
      </c>
      <c r="P52" s="42">
        <f>SUMIF('Expense Detail Old'!$E$4:$E$5179,O$1&amp;" "&amp;$A52,'Expense Detail Old'!$H$4:$H$5179)</f>
        <v>0</v>
      </c>
      <c r="Q52" s="82">
        <f t="shared" si="93"/>
        <v>50</v>
      </c>
      <c r="R52" s="41">
        <v>-50</v>
      </c>
      <c r="S52" s="42">
        <f>SUMIF('Expense Detail Old'!$E$4:$E$5179,R$1&amp;" "&amp;$A52,'Expense Detail Old'!$H$4:$H$5179)</f>
        <v>0</v>
      </c>
      <c r="T52" s="82">
        <f t="shared" si="94"/>
        <v>50</v>
      </c>
      <c r="U52" s="41">
        <v>-50</v>
      </c>
      <c r="V52" s="42">
        <f>SUMIF('Expense Detail Old'!$E$4:$E$5179,U$1&amp;" "&amp;$A52,'Expense Detail Old'!$H$4:$H$5179)</f>
        <v>0</v>
      </c>
      <c r="W52" s="82">
        <f t="shared" si="95"/>
        <v>50</v>
      </c>
      <c r="X52" s="41">
        <v>-50</v>
      </c>
      <c r="Y52" s="42">
        <f>SUMIF('Expense Detail Old'!$E$4:$E$5179,X$1&amp;" "&amp;$A52,'Expense Detail Old'!$H$4:$H$5179)</f>
        <v>0</v>
      </c>
      <c r="Z52" s="82">
        <f t="shared" si="96"/>
        <v>50</v>
      </c>
      <c r="AA52" s="41">
        <v>-50</v>
      </c>
      <c r="AB52" s="42">
        <f>SUMIF('Expense Detail Old'!$E$4:$E$5179,AA$1&amp;" "&amp;$A52,'Expense Detail Old'!$H$4:$H$5179)</f>
        <v>0</v>
      </c>
      <c r="AC52" s="82">
        <f t="shared" si="97"/>
        <v>50</v>
      </c>
      <c r="AD52" s="41">
        <v>-50</v>
      </c>
      <c r="AE52" s="42">
        <f>SUMIF('Expense Detail Old'!$E$4:$E$5179,AD$1&amp;" "&amp;$A52,'Expense Detail Old'!$H$4:$H$5179)</f>
        <v>0</v>
      </c>
      <c r="AF52" s="82">
        <f t="shared" si="98"/>
        <v>50</v>
      </c>
      <c r="AG52" s="41">
        <v>-50</v>
      </c>
      <c r="AH52" s="42">
        <f>SUMIF('Expense Detail Old'!$E$4:$E$5179,AG$1&amp;" "&amp;$A52,'Expense Detail Old'!$H$4:$H$5179)</f>
        <v>0</v>
      </c>
      <c r="AI52" s="82">
        <f t="shared" si="99"/>
        <v>50</v>
      </c>
      <c r="AJ52" s="41">
        <v>-50</v>
      </c>
      <c r="AK52" s="42">
        <f>SUMIF('Expense Detail Old'!$E$4:$E$5179,AJ$1&amp;" "&amp;$A52,'Expense Detail Old'!$H$4:$H$5179)</f>
        <v>0</v>
      </c>
      <c r="AL52" s="82">
        <f t="shared" si="100"/>
        <v>50</v>
      </c>
      <c r="AM52" s="90">
        <f t="shared" si="101"/>
        <v>-600</v>
      </c>
      <c r="AN52" s="93">
        <f t="shared" si="102"/>
        <v>70</v>
      </c>
      <c r="AO52" s="82">
        <f t="shared" si="103"/>
        <v>670</v>
      </c>
    </row>
    <row r="53" spans="1:41">
      <c r="A53" s="18" t="s">
        <v>953</v>
      </c>
      <c r="B53" s="18" t="s">
        <v>353</v>
      </c>
      <c r="C53" s="41"/>
      <c r="D53" s="42"/>
      <c r="E53" s="93"/>
      <c r="F53" s="41"/>
      <c r="G53" s="42"/>
      <c r="H53" s="82"/>
      <c r="I53" s="42"/>
      <c r="J53" s="42"/>
      <c r="K53" s="82"/>
      <c r="L53" s="41"/>
      <c r="M53" s="42"/>
      <c r="N53" s="82"/>
      <c r="O53" s="41"/>
      <c r="P53" s="42"/>
      <c r="Q53" s="82"/>
      <c r="R53" s="41"/>
      <c r="S53" s="42"/>
      <c r="T53" s="82"/>
      <c r="U53" s="41"/>
      <c r="V53" s="42"/>
      <c r="W53" s="82"/>
      <c r="X53" s="41"/>
      <c r="Y53" s="42"/>
      <c r="Z53" s="82"/>
      <c r="AA53" s="41"/>
      <c r="AB53" s="42"/>
      <c r="AC53" s="82"/>
      <c r="AD53" s="41"/>
      <c r="AE53" s="42"/>
      <c r="AF53" s="82"/>
      <c r="AG53" s="41"/>
      <c r="AH53" s="42"/>
      <c r="AI53" s="82"/>
      <c r="AJ53" s="41"/>
      <c r="AK53" s="42"/>
      <c r="AL53" s="82"/>
      <c r="AM53" s="90"/>
      <c r="AN53" s="93"/>
      <c r="AO53" s="82"/>
    </row>
    <row r="54" spans="1:41" ht="16.5" thickBot="1">
      <c r="A54" s="18" t="s">
        <v>8</v>
      </c>
      <c r="B54" s="18" t="s">
        <v>353</v>
      </c>
      <c r="C54" s="41">
        <v>288</v>
      </c>
      <c r="D54" s="42">
        <f>SUMIF('Expense Detail Old'!$E$4:$E$5179,C$1&amp;" "&amp;$A54,'Expense Detail Old'!$H$4:$H$5179)</f>
        <v>288</v>
      </c>
      <c r="E54" s="82">
        <f t="shared" ref="E54" si="104">D54-C54</f>
        <v>0</v>
      </c>
      <c r="F54" s="42">
        <v>288</v>
      </c>
      <c r="G54" s="42">
        <f>SUMIF('Expense Detail Old'!$E$4:$E$5179,F$1&amp;" "&amp;$A54,'Expense Detail Old'!$H$4:$H$5179)</f>
        <v>288</v>
      </c>
      <c r="H54" s="82">
        <f t="shared" ref="H54" si="105">G54-F54</f>
        <v>0</v>
      </c>
      <c r="I54" s="41">
        <v>288</v>
      </c>
      <c r="J54" s="42">
        <f>SUMIF('Expense Detail Old'!$E$4:$E$5179,I$1&amp;" "&amp;$A54,'Expense Detail Old'!$H$4:$H$5179)</f>
        <v>288</v>
      </c>
      <c r="K54" s="82">
        <f t="shared" ref="K54" si="106">J54-I54</f>
        <v>0</v>
      </c>
      <c r="L54" s="41">
        <v>288</v>
      </c>
      <c r="M54" s="42">
        <f>SUMIF('Expense Detail Old'!$E$4:$E$5179,L$1&amp;" "&amp;$A54,'Expense Detail Old'!$H$4:$H$5179)</f>
        <v>288</v>
      </c>
      <c r="N54" s="82">
        <f t="shared" ref="N54" si="107">M54-L54</f>
        <v>0</v>
      </c>
      <c r="O54" s="41">
        <v>288</v>
      </c>
      <c r="P54" s="42">
        <f>SUMIF('Expense Detail Old'!$E$4:$E$5179,O$1&amp;" "&amp;$A54,'Expense Detail Old'!$H$4:$H$5179)</f>
        <v>484</v>
      </c>
      <c r="Q54" s="82">
        <f t="shared" ref="Q54" si="108">P54-O54</f>
        <v>196</v>
      </c>
      <c r="R54" s="41">
        <v>288</v>
      </c>
      <c r="S54" s="42">
        <f>SUMIF('Expense Detail Old'!$E$4:$E$5179,R$1&amp;" "&amp;$A54,'Expense Detail Old'!$H$4:$H$5179)</f>
        <v>346.99999999999994</v>
      </c>
      <c r="T54" s="82">
        <f t="shared" ref="T54" si="109">S54-R54</f>
        <v>58.999999999999943</v>
      </c>
      <c r="U54" s="41">
        <v>288</v>
      </c>
      <c r="V54" s="42">
        <f>SUMIF('Expense Detail Old'!$E$4:$E$5179,U$1&amp;" "&amp;$A54,'Expense Detail Old'!$H$4:$H$5179)</f>
        <v>347</v>
      </c>
      <c r="W54" s="82">
        <f t="shared" ref="W54" si="110">V54-U54</f>
        <v>59</v>
      </c>
      <c r="X54" s="41">
        <v>288</v>
      </c>
      <c r="Y54" s="42">
        <f>SUMIF('Expense Detail Old'!$E$4:$E$5179,X$1&amp;" "&amp;$A54,'Expense Detail Old'!$H$4:$H$5179)</f>
        <v>0</v>
      </c>
      <c r="Z54" s="82">
        <f t="shared" ref="Z54" si="111">Y54-X54</f>
        <v>-288</v>
      </c>
      <c r="AA54" s="41">
        <v>288</v>
      </c>
      <c r="AB54" s="42">
        <f>SUMIF('Expense Detail Old'!$E$4:$E$5179,AA$1&amp;" "&amp;$A54,'Expense Detail Old'!$H$4:$H$5179)</f>
        <v>0</v>
      </c>
      <c r="AC54" s="82">
        <f t="shared" ref="AC54" si="112">AB54-AA54</f>
        <v>-288</v>
      </c>
      <c r="AD54" s="41">
        <v>288</v>
      </c>
      <c r="AE54" s="42">
        <f>SUMIF('Expense Detail Old'!$E$4:$E$5179,AD$1&amp;" "&amp;$A54,'Expense Detail Old'!$H$4:$H$5179)</f>
        <v>0</v>
      </c>
      <c r="AF54" s="82">
        <f t="shared" ref="AF54" si="113">AE54-AD54</f>
        <v>-288</v>
      </c>
      <c r="AG54" s="41">
        <v>288</v>
      </c>
      <c r="AH54" s="42">
        <f>SUMIF('Expense Detail Old'!$E$4:$E$5179,AG$1&amp;" "&amp;$A54,'Expense Detail Old'!$H$4:$H$5179)</f>
        <v>0</v>
      </c>
      <c r="AI54" s="82">
        <f t="shared" ref="AI54" si="114">AH54-AG54</f>
        <v>-288</v>
      </c>
      <c r="AJ54" s="41">
        <v>288</v>
      </c>
      <c r="AK54" s="42">
        <f>SUMIF('Expense Detail Old'!$E$4:$E$5179,AJ$1&amp;" "&amp;$A54,'Expense Detail Old'!$H$4:$H$5179)</f>
        <v>0</v>
      </c>
      <c r="AL54" s="82">
        <f t="shared" ref="AL54" si="115">AK54-AJ54</f>
        <v>-288</v>
      </c>
      <c r="AM54" s="90">
        <f t="shared" ref="AM54" si="116">SUM(C54,F54,I54,L54,O54,R54,U54,X54,AA54,AD54,AG54,AJ54)</f>
        <v>3456</v>
      </c>
      <c r="AN54" s="93">
        <f t="shared" ref="AN54" si="117">SUM(D54,G54,J54,M54,P54,S54,V54,Y54,AB54,AE54,AH54,AK54)</f>
        <v>2330</v>
      </c>
      <c r="AO54" s="82">
        <f t="shared" ref="AO54" si="118">AN54-AM54</f>
        <v>-1126</v>
      </c>
    </row>
    <row r="55" spans="1:41">
      <c r="A55" s="18" t="s">
        <v>17</v>
      </c>
      <c r="B55" s="18" t="s">
        <v>353</v>
      </c>
      <c r="C55" s="98">
        <v>0</v>
      </c>
      <c r="D55" s="99">
        <f>SUMIF('Expense Detail Old'!$E$4:$E$5179,C$1&amp;" "&amp;$A55,'Expense Detail Old'!$H$4:$H$5179)</f>
        <v>-61.48</v>
      </c>
      <c r="E55" s="100">
        <f t="shared" ref="E55" si="119">D55-C55</f>
        <v>-61.48</v>
      </c>
      <c r="F55" s="44">
        <v>0</v>
      </c>
      <c r="G55" s="99">
        <f>SUMIF('Expense Detail Old'!$E$4:$E$5179,F$1&amp;" "&amp;$A55,'Expense Detail Old'!$H$4:$H$5179)</f>
        <v>-150.15</v>
      </c>
      <c r="H55" s="82">
        <f t="shared" ref="H55:H70" si="120">G55-F55</f>
        <v>-150.15</v>
      </c>
      <c r="I55" s="45">
        <v>-100</v>
      </c>
      <c r="J55" s="99">
        <f>SUMIF('Expense Detail Old'!$E$4:$E$5179,I$1&amp;" "&amp;$A55,'Expense Detail Old'!$H$4:$H$5179)</f>
        <v>0</v>
      </c>
      <c r="K55" s="82">
        <f t="shared" ref="K55:K70" si="121">J55-I55</f>
        <v>100</v>
      </c>
      <c r="L55" s="46">
        <v>0</v>
      </c>
      <c r="M55" s="99">
        <f>SUMIF('Expense Detail Old'!$E$4:$E$5179,L$1&amp;" "&amp;$A55,'Expense Detail Old'!$H$4:$H$5179)</f>
        <v>0</v>
      </c>
      <c r="N55" s="82">
        <f t="shared" ref="N55:N70" si="122">M55-L55</f>
        <v>0</v>
      </c>
      <c r="O55" s="46">
        <v>0</v>
      </c>
      <c r="P55" s="99">
        <f>SUMIF('Expense Detail Old'!$E$4:$E$5179,O$1&amp;" "&amp;$A55,'Expense Detail Old'!$H$4:$H$5179)</f>
        <v>-200.28</v>
      </c>
      <c r="Q55" s="82">
        <f t="shared" ref="Q55:Q70" si="123">P55-O55</f>
        <v>-200.28</v>
      </c>
      <c r="R55" s="46">
        <v>-100</v>
      </c>
      <c r="S55" s="42">
        <f>SUMIF('Expense Detail Old'!$E$4:$E$5179,R$1&amp;" "&amp;$A55,'Expense Detail Old'!$H$4:$H$5179)</f>
        <v>200.28</v>
      </c>
      <c r="T55" s="82">
        <f t="shared" ref="T55:T70" si="124">S55-R55</f>
        <v>300.27999999999997</v>
      </c>
      <c r="U55" s="46">
        <v>0</v>
      </c>
      <c r="V55" s="42">
        <f>SUMIF('Expense Detail Old'!$E$4:$E$5179,U$1&amp;" "&amp;$A55,'Expense Detail Old'!$H$4:$H$5179)</f>
        <v>0</v>
      </c>
      <c r="W55" s="82">
        <f t="shared" ref="W55:W70" si="125">V55-U55</f>
        <v>0</v>
      </c>
      <c r="X55" s="46">
        <v>0</v>
      </c>
      <c r="Y55" s="42">
        <f>SUMIF('Expense Detail Old'!$E$4:$E$5179,X$1&amp;" "&amp;$A55,'Expense Detail Old'!$H$4:$H$5179)</f>
        <v>0</v>
      </c>
      <c r="Z55" s="82">
        <f t="shared" ref="Z55:Z70" si="126">Y55-X55</f>
        <v>0</v>
      </c>
      <c r="AA55" s="51">
        <v>-100</v>
      </c>
      <c r="AB55" s="99">
        <f>SUMIF('Expense Detail Old'!$E$4:$E$5179,AA$1&amp;" "&amp;$A55,'Expense Detail Old'!$H$4:$H$5179)</f>
        <v>0</v>
      </c>
      <c r="AC55" s="82">
        <f t="shared" ref="AC55:AC70" si="127">AB55-AA55</f>
        <v>100</v>
      </c>
      <c r="AD55" s="46">
        <v>0</v>
      </c>
      <c r="AE55" s="99">
        <f>SUMIF('Expense Detail Old'!$E$4:$E$5179,AD$1&amp;" "&amp;$A55,'Expense Detail Old'!$H$4:$H$5179)</f>
        <v>0</v>
      </c>
      <c r="AF55" s="82">
        <f t="shared" ref="AF55:AF70" si="128">AE55-AD55</f>
        <v>0</v>
      </c>
      <c r="AG55" s="46">
        <v>0</v>
      </c>
      <c r="AH55" s="99">
        <f>SUMIF('Expense Detail Old'!$E$4:$E$5179,AG$1&amp;" "&amp;$A55,'Expense Detail Old'!$H$4:$H$5179)</f>
        <v>0</v>
      </c>
      <c r="AI55" s="82">
        <f t="shared" ref="AI55:AI70" si="129">AH55-AG55</f>
        <v>0</v>
      </c>
      <c r="AJ55" s="46">
        <v>-100</v>
      </c>
      <c r="AK55" s="99">
        <f>SUMIF('Expense Detail Old'!$E$4:$E$5179,AJ$1&amp;" "&amp;$A55,'Expense Detail Old'!$H$4:$H$5179)</f>
        <v>0</v>
      </c>
      <c r="AL55" s="82">
        <f t="shared" ref="AL55:AL70" si="130">AK55-AJ55</f>
        <v>100</v>
      </c>
      <c r="AM55" s="90">
        <f t="shared" ref="AM55:AM70" si="131">SUM(C55,F55,I55,L55,O55,R55,U55,X55,AA55,AD55,AG55,AJ55)</f>
        <v>-400</v>
      </c>
      <c r="AN55" s="93">
        <f t="shared" ref="AN55:AN70" si="132">SUM(D55,G55,J55,M55,P55,S55,V55,Y55,AB55,AE55,AH55,AK55)</f>
        <v>-211.62999999999997</v>
      </c>
      <c r="AO55" s="82">
        <f t="shared" ref="AO55:AO70" si="133">AN55-AM55</f>
        <v>188.37000000000003</v>
      </c>
    </row>
    <row r="56" spans="1:41">
      <c r="A56" s="18" t="s">
        <v>532</v>
      </c>
      <c r="B56" s="18" t="s">
        <v>353</v>
      </c>
      <c r="C56" s="41"/>
      <c r="D56" s="42">
        <f>SUMIF('Expense Detail Old'!$E$4:$E$5179,C$1&amp;" "&amp;$A56,'Expense Detail Old'!$H$4:$H$5179)</f>
        <v>0</v>
      </c>
      <c r="E56" s="82"/>
      <c r="F56" s="44"/>
      <c r="G56" s="42">
        <f>SUMIF('Expense Detail Old'!$E$4:$E$5179,F$1&amp;" "&amp;$A56,'Expense Detail Old'!$H$4:$H$5179)</f>
        <v>-86.43</v>
      </c>
      <c r="H56" s="82"/>
      <c r="I56" s="45"/>
      <c r="J56" s="42">
        <f>SUMIF('Expense Detail Old'!$E$4:$E$5179,I$1&amp;" "&amp;$A56,'Expense Detail Old'!$H$4:$H$5179)</f>
        <v>0</v>
      </c>
      <c r="K56" s="82"/>
      <c r="L56" s="46"/>
      <c r="M56" s="42">
        <f>SUMIF('Expense Detail Old'!$E$4:$E$5179,L$1&amp;" "&amp;$A56,'Expense Detail Old'!$H$4:$H$5179)</f>
        <v>0</v>
      </c>
      <c r="N56" s="82"/>
      <c r="O56" s="46"/>
      <c r="P56" s="42">
        <f>SUMIF('Expense Detail Old'!$E$4:$E$5179,O$1&amp;" "&amp;$A56,'Expense Detail Old'!$H$4:$H$5179)</f>
        <v>0</v>
      </c>
      <c r="Q56" s="82"/>
      <c r="R56" s="46"/>
      <c r="S56" s="42"/>
      <c r="T56" s="82"/>
      <c r="U56" s="46"/>
      <c r="V56" s="42"/>
      <c r="W56" s="82"/>
      <c r="X56" s="46"/>
      <c r="Y56" s="42"/>
      <c r="Z56" s="82"/>
      <c r="AA56" s="51"/>
      <c r="AB56" s="42">
        <f>SUMIF('Expense Detail Old'!$E$4:$E$5179,AA$1&amp;" "&amp;$A56,'Expense Detail Old'!$H$4:$H$5179)</f>
        <v>0</v>
      </c>
      <c r="AC56" s="82"/>
      <c r="AD56" s="46"/>
      <c r="AE56" s="42">
        <f>SUMIF('Expense Detail Old'!$E$4:$E$5179,AD$1&amp;" "&amp;$A56,'Expense Detail Old'!$H$4:$H$5179)</f>
        <v>0</v>
      </c>
      <c r="AF56" s="82"/>
      <c r="AG56" s="46"/>
      <c r="AH56" s="42">
        <f>SUMIF('Expense Detail Old'!$E$4:$E$5179,AG$1&amp;" "&amp;$A56,'Expense Detail Old'!$H$4:$H$5179)</f>
        <v>0</v>
      </c>
      <c r="AI56" s="82"/>
      <c r="AJ56" s="46"/>
      <c r="AK56" s="42">
        <f>SUMIF('Expense Detail Old'!$E$4:$E$5179,AJ$1&amp;" "&amp;$A56,'Expense Detail Old'!$H$4:$H$5179)</f>
        <v>0</v>
      </c>
      <c r="AL56" s="82"/>
      <c r="AM56" s="90"/>
      <c r="AN56" s="93"/>
      <c r="AO56" s="82"/>
    </row>
    <row r="57" spans="1:41">
      <c r="A57" s="18" t="s">
        <v>533</v>
      </c>
      <c r="B57" s="18" t="s">
        <v>353</v>
      </c>
      <c r="C57" s="41"/>
      <c r="D57" s="42">
        <f>SUMIF('Expense Detail Old'!$E$4:$E$5179,C$1&amp;" "&amp;$A57,'Expense Detail Old'!$H$4:$H$5179)</f>
        <v>0</v>
      </c>
      <c r="E57" s="82"/>
      <c r="F57" s="44"/>
      <c r="G57" s="42">
        <f>SUMIF('Expense Detail Old'!$E$4:$E$5179,F$1&amp;" "&amp;$A57,'Expense Detail Old'!$H$4:$H$5179)</f>
        <v>0</v>
      </c>
      <c r="H57" s="82"/>
      <c r="I57" s="45"/>
      <c r="J57" s="42">
        <f>SUMIF('Expense Detail Old'!$E$4:$E$5179,I$1&amp;" "&amp;$A57,'Expense Detail Old'!$H$4:$H$5179)</f>
        <v>0</v>
      </c>
      <c r="K57" s="82"/>
      <c r="L57" s="46"/>
      <c r="M57" s="42">
        <f>SUMIF('Expense Detail Old'!$E$4:$E$5179,L$1&amp;" "&amp;$A57,'Expense Detail Old'!$H$4:$H$5179)</f>
        <v>0</v>
      </c>
      <c r="N57" s="82"/>
      <c r="O57" s="46"/>
      <c r="P57" s="42">
        <f>SUMIF('Expense Detail Old'!$E$4:$E$5179,O$1&amp;" "&amp;$A57,'Expense Detail Old'!$H$4:$H$5179)</f>
        <v>0</v>
      </c>
      <c r="Q57" s="82"/>
      <c r="R57" s="46"/>
      <c r="S57" s="42"/>
      <c r="T57" s="82"/>
      <c r="U57" s="46"/>
      <c r="V57" s="42"/>
      <c r="W57" s="82"/>
      <c r="X57" s="46"/>
      <c r="Y57" s="42"/>
      <c r="Z57" s="82"/>
      <c r="AA57" s="51"/>
      <c r="AB57" s="42">
        <f>SUMIF('Expense Detail Old'!$E$4:$E$5179,AA$1&amp;" "&amp;$A57,'Expense Detail Old'!$H$4:$H$5179)</f>
        <v>0</v>
      </c>
      <c r="AC57" s="82"/>
      <c r="AD57" s="46"/>
      <c r="AE57" s="42">
        <f>SUMIF('Expense Detail Old'!$E$4:$E$5179,AD$1&amp;" "&amp;$A57,'Expense Detail Old'!$H$4:$H$5179)</f>
        <v>0</v>
      </c>
      <c r="AF57" s="82"/>
      <c r="AG57" s="46"/>
      <c r="AH57" s="42">
        <f>SUMIF('Expense Detail Old'!$E$4:$E$5179,AG$1&amp;" "&amp;$A57,'Expense Detail Old'!$H$4:$H$5179)</f>
        <v>0</v>
      </c>
      <c r="AI57" s="82"/>
      <c r="AJ57" s="46"/>
      <c r="AK57" s="42">
        <f>SUMIF('Expense Detail Old'!$E$4:$E$5179,AJ$1&amp;" "&amp;$A57,'Expense Detail Old'!$H$4:$H$5179)</f>
        <v>0</v>
      </c>
      <c r="AL57" s="82"/>
      <c r="AM57" s="90"/>
      <c r="AN57" s="93"/>
      <c r="AO57" s="82"/>
    </row>
    <row r="58" spans="1:41">
      <c r="A58" s="18" t="s">
        <v>89</v>
      </c>
      <c r="B58" s="18" t="s">
        <v>353</v>
      </c>
      <c r="C58" s="41">
        <v>0</v>
      </c>
      <c r="D58" s="42">
        <f>SUMIF('Expense Detail Old'!$E$4:$E$5179,C$1&amp;" "&amp;$A58,'Expense Detail Old'!$H$4:$H$5179)</f>
        <v>-7.5</v>
      </c>
      <c r="E58" s="82">
        <f t="shared" ref="E58:E70" si="134">D58-C58</f>
        <v>-7.5</v>
      </c>
      <c r="F58" s="44">
        <v>0</v>
      </c>
      <c r="G58" s="42">
        <f>SUMIF('Expense Detail Old'!$E$4:$E$5179,F$1&amp;" "&amp;$A58,'Expense Detail Old'!$H$4:$H$5179)</f>
        <v>0</v>
      </c>
      <c r="H58" s="82">
        <f t="shared" si="120"/>
        <v>0</v>
      </c>
      <c r="I58" s="45">
        <v>0</v>
      </c>
      <c r="J58" s="42">
        <f>SUMIF('Expense Detail Old'!$E$4:$E$5179,I$1&amp;" "&amp;$A58,'Expense Detail Old'!$H$4:$H$5179)</f>
        <v>0</v>
      </c>
      <c r="K58" s="82">
        <f t="shared" si="121"/>
        <v>0</v>
      </c>
      <c r="L58" s="46">
        <v>0</v>
      </c>
      <c r="M58" s="42">
        <f>SUMIF('Expense Detail Old'!$E$4:$E$5179,L$1&amp;" "&amp;$A58,'Expense Detail Old'!$H$4:$H$5179)</f>
        <v>0</v>
      </c>
      <c r="N58" s="82">
        <f t="shared" si="122"/>
        <v>0</v>
      </c>
      <c r="O58" s="46">
        <v>0</v>
      </c>
      <c r="P58" s="42">
        <f>SUMIF('Expense Detail Old'!$E$4:$E$5179,O$1&amp;" "&amp;$A58,'Expense Detail Old'!$H$4:$H$5179)</f>
        <v>0</v>
      </c>
      <c r="Q58" s="82">
        <f t="shared" si="123"/>
        <v>0</v>
      </c>
      <c r="R58" s="46">
        <v>0</v>
      </c>
      <c r="S58" s="42">
        <f>SUMIF('Expense Detail Old'!$E$4:$E$5179,R$1&amp;" "&amp;$A58,'Expense Detail Old'!$H$4:$H$5179)</f>
        <v>0</v>
      </c>
      <c r="T58" s="82">
        <f t="shared" si="124"/>
        <v>0</v>
      </c>
      <c r="U58" s="46">
        <v>0</v>
      </c>
      <c r="V58" s="42">
        <f>SUMIF('Expense Detail Old'!$E$4:$E$5179,U$1&amp;" "&amp;$A58,'Expense Detail Old'!$H$4:$H$5179)</f>
        <v>0</v>
      </c>
      <c r="W58" s="82">
        <f t="shared" si="125"/>
        <v>0</v>
      </c>
      <c r="X58" s="46">
        <v>0</v>
      </c>
      <c r="Y58" s="42">
        <f>SUMIF('Expense Detail Old'!$E$4:$E$5179,X$1&amp;" "&amp;$A58,'Expense Detail Old'!$H$4:$H$5179)</f>
        <v>0</v>
      </c>
      <c r="Z58" s="82">
        <f t="shared" si="126"/>
        <v>0</v>
      </c>
      <c r="AA58" s="46">
        <v>0</v>
      </c>
      <c r="AB58" s="42">
        <f>SUMIF('Expense Detail Old'!$E$4:$E$5179,AA$1&amp;" "&amp;$A58,'Expense Detail Old'!$H$4:$H$5179)</f>
        <v>0</v>
      </c>
      <c r="AC58" s="82">
        <f t="shared" si="127"/>
        <v>0</v>
      </c>
      <c r="AD58" s="46">
        <v>0</v>
      </c>
      <c r="AE58" s="42">
        <f>SUMIF('Expense Detail Old'!$E$4:$E$5179,AD$1&amp;" "&amp;$A58,'Expense Detail Old'!$H$4:$H$5179)</f>
        <v>0</v>
      </c>
      <c r="AF58" s="82">
        <f t="shared" si="128"/>
        <v>0</v>
      </c>
      <c r="AG58" s="46">
        <v>0</v>
      </c>
      <c r="AH58" s="42">
        <f>SUMIF('Expense Detail Old'!$E$4:$E$5179,AG$1&amp;" "&amp;$A58,'Expense Detail Old'!$H$4:$H$5179)</f>
        <v>0</v>
      </c>
      <c r="AI58" s="82">
        <f t="shared" si="129"/>
        <v>0</v>
      </c>
      <c r="AJ58" s="46">
        <v>0</v>
      </c>
      <c r="AK58" s="42">
        <f>SUMIF('Expense Detail Old'!$E$4:$E$5179,AJ$1&amp;" "&amp;$A58,'Expense Detail Old'!$H$4:$H$5179)</f>
        <v>0</v>
      </c>
      <c r="AL58" s="82">
        <f t="shared" si="130"/>
        <v>0</v>
      </c>
      <c r="AM58" s="90">
        <f t="shared" si="131"/>
        <v>0</v>
      </c>
      <c r="AN58" s="93">
        <f t="shared" si="132"/>
        <v>-7.5</v>
      </c>
      <c r="AO58" s="82">
        <f t="shared" si="133"/>
        <v>-7.5</v>
      </c>
    </row>
    <row r="59" spans="1:41">
      <c r="A59" s="18" t="s">
        <v>85</v>
      </c>
      <c r="B59" s="18" t="s">
        <v>353</v>
      </c>
      <c r="C59" s="45">
        <v>-60</v>
      </c>
      <c r="D59" s="42">
        <f>SUMIF('Expense Detail Old'!$E$4:$E$5179,C$1&amp;" "&amp;$A59,'Expense Detail Old'!$H$4:$H$5179)</f>
        <v>-163.96</v>
      </c>
      <c r="E59" s="82">
        <f t="shared" si="134"/>
        <v>-103.96000000000001</v>
      </c>
      <c r="F59" s="46">
        <v>-60</v>
      </c>
      <c r="G59" s="42">
        <f>SUMIF('Expense Detail Old'!$E$4:$E$5179,F$1&amp;" "&amp;$A59,'Expense Detail Old'!$H$4:$H$5179)</f>
        <v>-182.71</v>
      </c>
      <c r="H59" s="82">
        <f t="shared" si="120"/>
        <v>-122.71000000000001</v>
      </c>
      <c r="I59" s="46">
        <v>-60</v>
      </c>
      <c r="J59" s="42">
        <f>SUMIF('Expense Detail Old'!$E$4:$E$5179,I$1&amp;" "&amp;$A59,'Expense Detail Old'!$H$4:$H$5179)</f>
        <v>-163.21999999999997</v>
      </c>
      <c r="K59" s="82">
        <f t="shared" si="121"/>
        <v>-103.21999999999997</v>
      </c>
      <c r="L59" s="46">
        <v>-60</v>
      </c>
      <c r="M59" s="42">
        <f>SUMIF('Expense Detail Old'!$E$4:$E$5179,L$1&amp;" "&amp;$A59,'Expense Detail Old'!$H$4:$H$5179)</f>
        <v>-193.60999999999999</v>
      </c>
      <c r="N59" s="82">
        <f t="shared" si="122"/>
        <v>-133.60999999999999</v>
      </c>
      <c r="O59" s="46">
        <v>-60</v>
      </c>
      <c r="P59" s="42">
        <f>SUMIF('Expense Detail Old'!$E$4:$E$5179,O$1&amp;" "&amp;$A59,'Expense Detail Old'!$H$4:$H$5179)</f>
        <v>-84.28</v>
      </c>
      <c r="Q59" s="82">
        <f t="shared" si="123"/>
        <v>-24.28</v>
      </c>
      <c r="R59" s="46">
        <v>-60</v>
      </c>
      <c r="S59" s="42">
        <f>SUMIF('Expense Detail Old'!$E$4:$E$5179,R$1&amp;" "&amp;$A59,'Expense Detail Old'!$H$4:$H$5179)</f>
        <v>-202.87000000000003</v>
      </c>
      <c r="T59" s="82">
        <f t="shared" si="124"/>
        <v>-142.87000000000003</v>
      </c>
      <c r="U59" s="46">
        <v>-60</v>
      </c>
      <c r="V59" s="42">
        <f>SUMIF('Expense Detail Old'!$E$4:$E$5179,U$1&amp;" "&amp;$A59,'Expense Detail Old'!$H$4:$H$5179)</f>
        <v>-143.65</v>
      </c>
      <c r="W59" s="82">
        <f t="shared" si="125"/>
        <v>-83.65</v>
      </c>
      <c r="X59" s="46">
        <v>-60</v>
      </c>
      <c r="Y59" s="42">
        <f>SUMIF('Expense Detail Old'!$E$4:$E$5179,X$1&amp;" "&amp;$A59,'Expense Detail Old'!$H$4:$H$5179)</f>
        <v>0</v>
      </c>
      <c r="Z59" s="82">
        <f t="shared" si="126"/>
        <v>60</v>
      </c>
      <c r="AA59" s="46">
        <v>-60</v>
      </c>
      <c r="AB59" s="42">
        <f>SUMIF('Expense Detail Old'!$E$4:$E$5179,AA$1&amp;" "&amp;$A59,'Expense Detail Old'!$H$4:$H$5179)</f>
        <v>0</v>
      </c>
      <c r="AC59" s="82">
        <f t="shared" si="127"/>
        <v>60</v>
      </c>
      <c r="AD59" s="46">
        <v>-60</v>
      </c>
      <c r="AE59" s="42">
        <f>SUMIF('Expense Detail Old'!$E$4:$E$5179,AD$1&amp;" "&amp;$A59,'Expense Detail Old'!$H$4:$H$5179)</f>
        <v>0</v>
      </c>
      <c r="AF59" s="82">
        <f t="shared" si="128"/>
        <v>60</v>
      </c>
      <c r="AG59" s="46">
        <v>-60</v>
      </c>
      <c r="AH59" s="42">
        <f>SUMIF('Expense Detail Old'!$E$4:$E$5179,AG$1&amp;" "&amp;$A59,'Expense Detail Old'!$H$4:$H$5179)</f>
        <v>0</v>
      </c>
      <c r="AI59" s="82">
        <f t="shared" si="129"/>
        <v>60</v>
      </c>
      <c r="AJ59" s="46">
        <v>-60</v>
      </c>
      <c r="AK59" s="42">
        <f>SUMIF('Expense Detail Old'!$E$4:$E$5179,AJ$1&amp;" "&amp;$A59,'Expense Detail Old'!$H$4:$H$5179)</f>
        <v>0</v>
      </c>
      <c r="AL59" s="82">
        <f t="shared" si="130"/>
        <v>60</v>
      </c>
      <c r="AM59" s="90">
        <f t="shared" si="131"/>
        <v>-720</v>
      </c>
      <c r="AN59" s="93">
        <f t="shared" si="132"/>
        <v>-1134.3</v>
      </c>
      <c r="AO59" s="82">
        <f t="shared" si="133"/>
        <v>-414.29999999999995</v>
      </c>
    </row>
    <row r="60" spans="1:41">
      <c r="A60" s="18" t="s">
        <v>145</v>
      </c>
      <c r="B60" s="18" t="s">
        <v>353</v>
      </c>
      <c r="C60" s="41">
        <v>-80</v>
      </c>
      <c r="D60" s="42">
        <f>SUMIF('Expense Detail Old'!$E$4:$E$5179,C$1&amp;" "&amp;$A60,'Expense Detail Old'!$H$4:$H$5179)</f>
        <v>-120.99</v>
      </c>
      <c r="E60" s="82">
        <f t="shared" si="134"/>
        <v>-40.989999999999995</v>
      </c>
      <c r="F60" s="42">
        <v>-80</v>
      </c>
      <c r="G60" s="42">
        <f>SUMIF('Expense Detail Old'!$E$4:$E$5179,F$1&amp;" "&amp;$A60,'Expense Detail Old'!$H$4:$H$5179)</f>
        <v>-68.349999999999994</v>
      </c>
      <c r="H60" s="82">
        <f t="shared" si="120"/>
        <v>11.650000000000006</v>
      </c>
      <c r="I60" s="41">
        <v>-80</v>
      </c>
      <c r="J60" s="42">
        <f>SUMIF('Expense Detail Old'!$E$4:$E$5179,I$1&amp;" "&amp;$A60,'Expense Detail Old'!$H$4:$H$5179)</f>
        <v>-17.28</v>
      </c>
      <c r="K60" s="82">
        <f t="shared" si="121"/>
        <v>62.72</v>
      </c>
      <c r="L60" s="41">
        <v>-80</v>
      </c>
      <c r="M60" s="42">
        <f>SUMIF('Expense Detail Old'!$E$4:$E$5179,L$1&amp;" "&amp;$A60,'Expense Detail Old'!$H$4:$H$5179)</f>
        <v>0</v>
      </c>
      <c r="N60" s="82">
        <f t="shared" si="122"/>
        <v>80</v>
      </c>
      <c r="O60" s="41">
        <v>-80</v>
      </c>
      <c r="P60" s="42">
        <f>SUMIF('Expense Detail Old'!$E$4:$E$5179,O$1&amp;" "&amp;$A60,'Expense Detail Old'!$H$4:$H$5179)</f>
        <v>-44.8</v>
      </c>
      <c r="Q60" s="82">
        <f t="shared" si="123"/>
        <v>35.200000000000003</v>
      </c>
      <c r="R60" s="41">
        <v>-80</v>
      </c>
      <c r="S60" s="42">
        <f>SUMIF('Expense Detail Old'!$E$4:$E$5179,R$1&amp;" "&amp;$A60,'Expense Detail Old'!$H$4:$H$5179)</f>
        <v>-154.05999999999997</v>
      </c>
      <c r="T60" s="82">
        <f t="shared" si="124"/>
        <v>-74.059999999999974</v>
      </c>
      <c r="U60" s="41">
        <v>-80</v>
      </c>
      <c r="V60" s="42">
        <f>SUMIF('Expense Detail Old'!$E$4:$E$5179,U$1&amp;" "&amp;$A60,'Expense Detail Old'!$H$4:$H$5179)</f>
        <v>-92.37</v>
      </c>
      <c r="W60" s="82">
        <f t="shared" si="125"/>
        <v>-12.370000000000005</v>
      </c>
      <c r="X60" s="41">
        <v>-80</v>
      </c>
      <c r="Y60" s="42">
        <f>SUMIF('Expense Detail Old'!$E$4:$E$5179,X$1&amp;" "&amp;$A60,'Expense Detail Old'!$H$4:$H$5179)</f>
        <v>0</v>
      </c>
      <c r="Z60" s="82">
        <f t="shared" si="126"/>
        <v>80</v>
      </c>
      <c r="AA60" s="41">
        <v>-80</v>
      </c>
      <c r="AB60" s="42">
        <f>SUMIF('Expense Detail Old'!$E$4:$E$5179,AA$1&amp;" "&amp;$A60,'Expense Detail Old'!$H$4:$H$5179)</f>
        <v>0</v>
      </c>
      <c r="AC60" s="82">
        <f t="shared" si="127"/>
        <v>80</v>
      </c>
      <c r="AD60" s="41">
        <v>-80</v>
      </c>
      <c r="AE60" s="42">
        <f>SUMIF('Expense Detail Old'!$E$4:$E$5179,AD$1&amp;" "&amp;$A60,'Expense Detail Old'!$H$4:$H$5179)</f>
        <v>0</v>
      </c>
      <c r="AF60" s="82">
        <f t="shared" si="128"/>
        <v>80</v>
      </c>
      <c r="AG60" s="41">
        <v>-80</v>
      </c>
      <c r="AH60" s="42">
        <f>SUMIF('Expense Detail Old'!$E$4:$E$5179,AG$1&amp;" "&amp;$A60,'Expense Detail Old'!$H$4:$H$5179)</f>
        <v>0</v>
      </c>
      <c r="AI60" s="82">
        <f t="shared" si="129"/>
        <v>80</v>
      </c>
      <c r="AJ60" s="41">
        <v>-80</v>
      </c>
      <c r="AK60" s="42">
        <f>SUMIF('Expense Detail Old'!$E$4:$E$5179,AJ$1&amp;" "&amp;$A60,'Expense Detail Old'!$H$4:$H$5179)</f>
        <v>0</v>
      </c>
      <c r="AL60" s="82">
        <f t="shared" si="130"/>
        <v>80</v>
      </c>
      <c r="AM60" s="90">
        <f t="shared" si="131"/>
        <v>-960</v>
      </c>
      <c r="AN60" s="93">
        <f t="shared" si="132"/>
        <v>-497.84999999999991</v>
      </c>
      <c r="AO60" s="82">
        <f t="shared" si="133"/>
        <v>462.15000000000009</v>
      </c>
    </row>
    <row r="61" spans="1:41">
      <c r="A61" s="18" t="s">
        <v>87</v>
      </c>
      <c r="B61" s="18" t="s">
        <v>353</v>
      </c>
      <c r="C61" s="41">
        <v>-28</v>
      </c>
      <c r="D61" s="42">
        <f>SUMIF('Expense Detail Old'!$E$4:$E$5179,C$1&amp;" "&amp;$A61,'Expense Detail Old'!$H$4:$H$5179)</f>
        <v>-14.53</v>
      </c>
      <c r="E61" s="82">
        <f t="shared" si="134"/>
        <v>13.47</v>
      </c>
      <c r="F61" s="44">
        <v>-28</v>
      </c>
      <c r="G61" s="42">
        <f>SUMIF('Expense Detail Old'!$E$4:$E$5179,F$1&amp;" "&amp;$A61,'Expense Detail Old'!$H$4:$H$5179)</f>
        <v>0</v>
      </c>
      <c r="H61" s="82">
        <f t="shared" si="120"/>
        <v>28</v>
      </c>
      <c r="I61" s="45">
        <v>-14</v>
      </c>
      <c r="J61" s="42">
        <f>SUMIF('Expense Detail Old'!$E$4:$E$5179,I$1&amp;" "&amp;$A61,'Expense Detail Old'!$H$4:$H$5179)</f>
        <v>-8.75</v>
      </c>
      <c r="K61" s="82">
        <f t="shared" si="121"/>
        <v>5.25</v>
      </c>
      <c r="L61" s="46">
        <v>-14</v>
      </c>
      <c r="M61" s="42">
        <f>SUMIF('Expense Detail Old'!$E$4:$E$5179,L$1&amp;" "&amp;$A61,'Expense Detail Old'!$H$4:$H$5179)</f>
        <v>-1.69</v>
      </c>
      <c r="N61" s="82">
        <f t="shared" si="122"/>
        <v>12.31</v>
      </c>
      <c r="O61" s="46">
        <v>-14</v>
      </c>
      <c r="P61" s="42">
        <f>SUMIF('Expense Detail Old'!$E$4:$E$5179,O$1&amp;" "&amp;$A61,'Expense Detail Old'!$H$4:$H$5179)</f>
        <v>-5.3999999999999995</v>
      </c>
      <c r="Q61" s="82">
        <f t="shared" si="123"/>
        <v>8.6000000000000014</v>
      </c>
      <c r="R61" s="46">
        <v>-14</v>
      </c>
      <c r="S61" s="42">
        <f>SUMIF('Expense Detail Old'!$E$4:$E$5179,R$1&amp;" "&amp;$A61,'Expense Detail Old'!$H$4:$H$5179)</f>
        <v>-17.88</v>
      </c>
      <c r="T61" s="82">
        <f t="shared" si="124"/>
        <v>-3.879999999999999</v>
      </c>
      <c r="U61" s="46">
        <v>-14</v>
      </c>
      <c r="V61" s="42">
        <f>SUMIF('Expense Detail Old'!$E$4:$E$5179,U$1&amp;" "&amp;$A61,'Expense Detail Old'!$H$4:$H$5179)</f>
        <v>-2.21</v>
      </c>
      <c r="W61" s="82">
        <f t="shared" si="125"/>
        <v>11.79</v>
      </c>
      <c r="X61" s="46">
        <v>-14</v>
      </c>
      <c r="Y61" s="42">
        <f>SUMIF('Expense Detail Old'!$E$4:$E$5179,X$1&amp;" "&amp;$A61,'Expense Detail Old'!$H$4:$H$5179)</f>
        <v>0</v>
      </c>
      <c r="Z61" s="82">
        <f t="shared" si="126"/>
        <v>14</v>
      </c>
      <c r="AA61" s="46">
        <v>-14</v>
      </c>
      <c r="AB61" s="42">
        <f>SUMIF('Expense Detail Old'!$E$4:$E$5179,AA$1&amp;" "&amp;$A61,'Expense Detail Old'!$H$4:$H$5179)</f>
        <v>0</v>
      </c>
      <c r="AC61" s="82">
        <f t="shared" si="127"/>
        <v>14</v>
      </c>
      <c r="AD61" s="46">
        <v>-14</v>
      </c>
      <c r="AE61" s="42">
        <f>SUMIF('Expense Detail Old'!$E$4:$E$5179,AD$1&amp;" "&amp;$A61,'Expense Detail Old'!$H$4:$H$5179)</f>
        <v>0</v>
      </c>
      <c r="AF61" s="82">
        <f t="shared" si="128"/>
        <v>14</v>
      </c>
      <c r="AG61" s="46">
        <v>-14</v>
      </c>
      <c r="AH61" s="42">
        <f>SUMIF('Expense Detail Old'!$E$4:$E$5179,AG$1&amp;" "&amp;$A61,'Expense Detail Old'!$H$4:$H$5179)</f>
        <v>0</v>
      </c>
      <c r="AI61" s="82">
        <f t="shared" si="129"/>
        <v>14</v>
      </c>
      <c r="AJ61" s="46">
        <v>-14</v>
      </c>
      <c r="AK61" s="42">
        <f>SUMIF('Expense Detail Old'!$E$4:$E$5179,AJ$1&amp;" "&amp;$A61,'Expense Detail Old'!$H$4:$H$5179)</f>
        <v>0</v>
      </c>
      <c r="AL61" s="82">
        <f t="shared" si="130"/>
        <v>14</v>
      </c>
      <c r="AM61" s="90">
        <f t="shared" si="131"/>
        <v>-196</v>
      </c>
      <c r="AN61" s="93">
        <f t="shared" si="132"/>
        <v>-50.46</v>
      </c>
      <c r="AO61" s="82">
        <f t="shared" si="133"/>
        <v>145.54</v>
      </c>
    </row>
    <row r="62" spans="1:41">
      <c r="A62" s="18" t="s">
        <v>18</v>
      </c>
      <c r="B62" s="18" t="s">
        <v>353</v>
      </c>
      <c r="C62" s="41">
        <v>0</v>
      </c>
      <c r="D62" s="42">
        <f>SUMIF('Expense Detail Old'!$E$4:$E$5179,C$1&amp;" "&amp;$A62,'Expense Detail Old'!$H$4:$H$5179)</f>
        <v>-45.41</v>
      </c>
      <c r="E62" s="82">
        <f t="shared" si="134"/>
        <v>-45.41</v>
      </c>
      <c r="F62" s="44">
        <v>0</v>
      </c>
      <c r="G62" s="42">
        <f>SUMIF('Expense Detail Old'!$E$4:$E$5179,F$1&amp;" "&amp;$A62,'Expense Detail Old'!$H$4:$H$5179)</f>
        <v>0</v>
      </c>
      <c r="H62" s="82">
        <f t="shared" si="120"/>
        <v>0</v>
      </c>
      <c r="I62" s="45">
        <v>0</v>
      </c>
      <c r="J62" s="42">
        <f>SUMIF('Expense Detail Old'!$E$4:$E$5179,I$1&amp;" "&amp;$A62,'Expense Detail Old'!$H$4:$H$5179)</f>
        <v>-5.29</v>
      </c>
      <c r="K62" s="82">
        <f t="shared" si="121"/>
        <v>-5.29</v>
      </c>
      <c r="L62" s="46">
        <v>0</v>
      </c>
      <c r="M62" s="42">
        <f>SUMIF('Expense Detail Old'!$E$4:$E$5179,L$1&amp;" "&amp;$A62,'Expense Detail Old'!$H$4:$H$5179)</f>
        <v>0</v>
      </c>
      <c r="N62" s="82">
        <f t="shared" si="122"/>
        <v>0</v>
      </c>
      <c r="O62" s="46">
        <v>0</v>
      </c>
      <c r="P62" s="42">
        <f>SUMIF('Expense Detail Old'!$E$4:$E$5179,O$1&amp;" "&amp;$A62,'Expense Detail Old'!$H$4:$H$5179)</f>
        <v>0</v>
      </c>
      <c r="Q62" s="82">
        <f t="shared" si="123"/>
        <v>0</v>
      </c>
      <c r="R62" s="46">
        <v>0</v>
      </c>
      <c r="S62" s="42">
        <f>SUMIF('Expense Detail Old'!$E$4:$E$5179,R$1&amp;" "&amp;$A62,'Expense Detail Old'!$H$4:$H$5179)</f>
        <v>-18.98</v>
      </c>
      <c r="T62" s="82">
        <f t="shared" si="124"/>
        <v>-18.98</v>
      </c>
      <c r="U62" s="46">
        <v>0</v>
      </c>
      <c r="V62" s="42">
        <f>SUMIF('Expense Detail Old'!$E$4:$E$5179,U$1&amp;" "&amp;$A62,'Expense Detail Old'!$H$4:$H$5179)</f>
        <v>-94.54</v>
      </c>
      <c r="W62" s="82">
        <f t="shared" si="125"/>
        <v>-94.54</v>
      </c>
      <c r="X62" s="46">
        <v>0</v>
      </c>
      <c r="Y62" s="42">
        <f>SUMIF('Expense Detail Old'!$E$4:$E$5179,X$1&amp;" "&amp;$A62,'Expense Detail Old'!$H$4:$H$5179)</f>
        <v>0</v>
      </c>
      <c r="Z62" s="82">
        <f t="shared" si="126"/>
        <v>0</v>
      </c>
      <c r="AA62" s="46">
        <v>0</v>
      </c>
      <c r="AB62" s="42">
        <f>SUMIF('Expense Detail Old'!$E$4:$E$5179,AA$1&amp;" "&amp;$A62,'Expense Detail Old'!$H$4:$H$5179)</f>
        <v>0</v>
      </c>
      <c r="AC62" s="82">
        <f t="shared" si="127"/>
        <v>0</v>
      </c>
      <c r="AD62" s="46">
        <v>0</v>
      </c>
      <c r="AE62" s="42">
        <f>SUMIF('Expense Detail Old'!$E$4:$E$5179,AD$1&amp;" "&amp;$A62,'Expense Detail Old'!$H$4:$H$5179)</f>
        <v>0</v>
      </c>
      <c r="AF62" s="82">
        <f t="shared" si="128"/>
        <v>0</v>
      </c>
      <c r="AG62" s="46">
        <v>0</v>
      </c>
      <c r="AH62" s="42">
        <f>SUMIF('Expense Detail Old'!$E$4:$E$5179,AG$1&amp;" "&amp;$A62,'Expense Detail Old'!$H$4:$H$5179)</f>
        <v>0</v>
      </c>
      <c r="AI62" s="82">
        <f t="shared" si="129"/>
        <v>0</v>
      </c>
      <c r="AJ62" s="46">
        <v>0</v>
      </c>
      <c r="AK62" s="42">
        <f>SUMIF('Expense Detail Old'!$E$4:$E$5179,AJ$1&amp;" "&amp;$A62,'Expense Detail Old'!$H$4:$H$5179)</f>
        <v>0</v>
      </c>
      <c r="AL62" s="82">
        <f t="shared" si="130"/>
        <v>0</v>
      </c>
      <c r="AM62" s="90">
        <f t="shared" si="131"/>
        <v>0</v>
      </c>
      <c r="AN62" s="93">
        <f t="shared" si="132"/>
        <v>-164.22</v>
      </c>
      <c r="AO62" s="82">
        <f t="shared" si="133"/>
        <v>-164.22</v>
      </c>
    </row>
    <row r="63" spans="1:41">
      <c r="A63" s="18" t="s">
        <v>83</v>
      </c>
      <c r="B63" s="18" t="s">
        <v>353</v>
      </c>
      <c r="C63" s="41">
        <v>0</v>
      </c>
      <c r="D63" s="42">
        <f>SUMIF('Expense Detail Old'!$E$4:$E$5179,C$1&amp;" "&amp;$A63,'Expense Detail Old'!$H$4:$H$5179)</f>
        <v>-150</v>
      </c>
      <c r="E63" s="82">
        <f t="shared" si="134"/>
        <v>-150</v>
      </c>
      <c r="F63" s="44">
        <v>0</v>
      </c>
      <c r="G63" s="42">
        <f>SUMIF('Expense Detail Old'!$E$4:$E$5179,F$1&amp;" "&amp;$A63,'Expense Detail Old'!$H$4:$H$5179)</f>
        <v>0</v>
      </c>
      <c r="H63" s="82">
        <f t="shared" si="120"/>
        <v>0</v>
      </c>
      <c r="I63" s="45">
        <v>0</v>
      </c>
      <c r="J63" s="42">
        <f>SUMIF('Expense Detail Old'!$E$4:$E$5179,I$1&amp;" "&amp;$A63,'Expense Detail Old'!$H$4:$H$5179)</f>
        <v>0</v>
      </c>
      <c r="K63" s="82">
        <f t="shared" si="121"/>
        <v>0</v>
      </c>
      <c r="L63" s="46">
        <v>-100</v>
      </c>
      <c r="M63" s="42">
        <f>SUMIF('Expense Detail Old'!$E$4:$E$5179,L$1&amp;" "&amp;$A63,'Expense Detail Old'!$H$4:$H$5179)</f>
        <v>0</v>
      </c>
      <c r="N63" s="82">
        <f t="shared" si="122"/>
        <v>100</v>
      </c>
      <c r="O63" s="46">
        <v>-30</v>
      </c>
      <c r="P63" s="42">
        <f>SUMIF('Expense Detail Old'!$E$4:$E$5179,O$1&amp;" "&amp;$A63,'Expense Detail Old'!$H$4:$H$5179)</f>
        <v>0</v>
      </c>
      <c r="Q63" s="82">
        <f t="shared" si="123"/>
        <v>30</v>
      </c>
      <c r="R63" s="46">
        <v>-50</v>
      </c>
      <c r="S63" s="42">
        <f>SUMIF('Expense Detail Old'!$E$4:$E$5179,R$1&amp;" "&amp;$A63,'Expense Detail Old'!$H$4:$H$5179)</f>
        <v>-25.32</v>
      </c>
      <c r="T63" s="82">
        <f t="shared" si="124"/>
        <v>24.68</v>
      </c>
      <c r="U63" s="46">
        <v>-200</v>
      </c>
      <c r="V63" s="42">
        <f>SUMIF('Expense Detail Old'!$E$4:$E$5179,U$1&amp;" "&amp;$A63,'Expense Detail Old'!$H$4:$H$5179)</f>
        <v>0</v>
      </c>
      <c r="W63" s="82">
        <f t="shared" si="125"/>
        <v>200</v>
      </c>
      <c r="X63" s="46">
        <v>0</v>
      </c>
      <c r="Y63" s="42">
        <f>SUMIF('Expense Detail Old'!$E$4:$E$5179,X$1&amp;" "&amp;$A63,'Expense Detail Old'!$H$4:$H$5179)</f>
        <v>0</v>
      </c>
      <c r="Z63" s="82">
        <f t="shared" si="126"/>
        <v>0</v>
      </c>
      <c r="AA63" s="46">
        <v>0</v>
      </c>
      <c r="AB63" s="42">
        <f>SUMIF('Expense Detail Old'!$E$4:$E$5179,AA$1&amp;" "&amp;$A63,'Expense Detail Old'!$H$4:$H$5179)</f>
        <v>0</v>
      </c>
      <c r="AC63" s="82">
        <f t="shared" si="127"/>
        <v>0</v>
      </c>
      <c r="AD63" s="46">
        <v>-100</v>
      </c>
      <c r="AE63" s="42">
        <f>SUMIF('Expense Detail Old'!$E$4:$E$5179,AD$1&amp;" "&amp;$A63,'Expense Detail Old'!$H$4:$H$5179)</f>
        <v>0</v>
      </c>
      <c r="AF63" s="82">
        <f t="shared" si="128"/>
        <v>100</v>
      </c>
      <c r="AG63" s="46">
        <v>0</v>
      </c>
      <c r="AH63" s="42">
        <f>SUMIF('Expense Detail Old'!$E$4:$E$5179,AG$1&amp;" "&amp;$A63,'Expense Detail Old'!$H$4:$H$5179)</f>
        <v>0</v>
      </c>
      <c r="AI63" s="82">
        <f t="shared" si="129"/>
        <v>0</v>
      </c>
      <c r="AJ63" s="46">
        <v>-400</v>
      </c>
      <c r="AK63" s="42">
        <f>SUMIF('Expense Detail Old'!$E$4:$E$5179,AJ$1&amp;" "&amp;$A63,'Expense Detail Old'!$H$4:$H$5179)</f>
        <v>0</v>
      </c>
      <c r="AL63" s="82">
        <f t="shared" si="130"/>
        <v>400</v>
      </c>
      <c r="AM63" s="90">
        <f t="shared" si="131"/>
        <v>-880</v>
      </c>
      <c r="AN63" s="93">
        <f t="shared" si="132"/>
        <v>-175.32</v>
      </c>
      <c r="AO63" s="82">
        <f t="shared" si="133"/>
        <v>704.68000000000006</v>
      </c>
    </row>
    <row r="64" spans="1:41">
      <c r="A64" s="18" t="s">
        <v>11</v>
      </c>
      <c r="B64" s="18" t="s">
        <v>353</v>
      </c>
      <c r="C64" s="41">
        <v>-250</v>
      </c>
      <c r="D64" s="42">
        <f>SUMIF('Expense Detail Old'!$E$4:$E$5179,C$1&amp;" "&amp;$A64,'Expense Detail Old'!$H$4:$H$5179)</f>
        <v>-202.97</v>
      </c>
      <c r="E64" s="82">
        <f t="shared" si="134"/>
        <v>47.03</v>
      </c>
      <c r="F64" s="44">
        <v>-250</v>
      </c>
      <c r="G64" s="42">
        <f>SUMIF('Expense Detail Old'!$E$4:$E$5179,F$1&amp;" "&amp;$A64,'Expense Detail Old'!$H$4:$H$5179)</f>
        <v>-437.63</v>
      </c>
      <c r="H64" s="82">
        <f t="shared" si="120"/>
        <v>-187.63</v>
      </c>
      <c r="I64" s="45">
        <v>-250</v>
      </c>
      <c r="J64" s="42">
        <f>SUMIF('Expense Detail Old'!$E$4:$E$5179,I$1&amp;" "&amp;$A64,'Expense Detail Old'!$H$4:$H$5179)</f>
        <v>-544.95999999999992</v>
      </c>
      <c r="K64" s="82">
        <f t="shared" si="121"/>
        <v>-294.95999999999992</v>
      </c>
      <c r="L64" s="46">
        <v>-250</v>
      </c>
      <c r="M64" s="42">
        <f>SUMIF('Expense Detail Old'!$E$4:$E$5179,L$1&amp;" "&amp;$A64,'Expense Detail Old'!$H$4:$H$5179)</f>
        <v>-237.22</v>
      </c>
      <c r="N64" s="82">
        <f t="shared" si="122"/>
        <v>12.780000000000001</v>
      </c>
      <c r="O64" s="46">
        <v>-250</v>
      </c>
      <c r="P64" s="42">
        <f>SUMIF('Expense Detail Old'!$E$4:$E$5179,O$1&amp;" "&amp;$A64,'Expense Detail Old'!$H$4:$H$5179)</f>
        <v>-287.69</v>
      </c>
      <c r="Q64" s="82">
        <f t="shared" si="123"/>
        <v>-37.69</v>
      </c>
      <c r="R64" s="46">
        <v>-250</v>
      </c>
      <c r="S64" s="42">
        <f>SUMIF('Expense Detail Old'!$E$4:$E$5179,R$1&amp;" "&amp;$A64,'Expense Detail Old'!$H$4:$H$5179)</f>
        <v>-336.06</v>
      </c>
      <c r="T64" s="82">
        <f t="shared" si="124"/>
        <v>-86.06</v>
      </c>
      <c r="U64" s="46">
        <v>-250</v>
      </c>
      <c r="V64" s="42">
        <f>SUMIF('Expense Detail Old'!$E$4:$E$5179,U$1&amp;" "&amp;$A64,'Expense Detail Old'!$H$4:$H$5179)</f>
        <v>-262.47000000000003</v>
      </c>
      <c r="W64" s="82">
        <f t="shared" si="125"/>
        <v>-12.470000000000027</v>
      </c>
      <c r="X64" s="46">
        <v>-250</v>
      </c>
      <c r="Y64" s="42">
        <f>SUMIF('Expense Detail Old'!$E$4:$E$5179,X$1&amp;" "&amp;$A64,'Expense Detail Old'!$H$4:$H$5179)</f>
        <v>0</v>
      </c>
      <c r="Z64" s="82">
        <f t="shared" si="126"/>
        <v>250</v>
      </c>
      <c r="AA64" s="46">
        <v>-250</v>
      </c>
      <c r="AB64" s="42">
        <f>SUMIF('Expense Detail Old'!$E$4:$E$5179,AA$1&amp;" "&amp;$A64,'Expense Detail Old'!$H$4:$H$5179)</f>
        <v>0</v>
      </c>
      <c r="AC64" s="82">
        <f t="shared" si="127"/>
        <v>250</v>
      </c>
      <c r="AD64" s="46">
        <v>-250</v>
      </c>
      <c r="AE64" s="42">
        <f>SUMIF('Expense Detail Old'!$E$4:$E$5179,AD$1&amp;" "&amp;$A64,'Expense Detail Old'!$H$4:$H$5179)</f>
        <v>0</v>
      </c>
      <c r="AF64" s="82">
        <f t="shared" si="128"/>
        <v>250</v>
      </c>
      <c r="AG64" s="46">
        <v>-250</v>
      </c>
      <c r="AH64" s="42">
        <f>SUMIF('Expense Detail Old'!$E$4:$E$5179,AG$1&amp;" "&amp;$A64,'Expense Detail Old'!$H$4:$H$5179)</f>
        <v>0</v>
      </c>
      <c r="AI64" s="82">
        <f t="shared" si="129"/>
        <v>250</v>
      </c>
      <c r="AJ64" s="46">
        <v>-250</v>
      </c>
      <c r="AK64" s="42">
        <f>SUMIF('Expense Detail Old'!$E$4:$E$5179,AJ$1&amp;" "&amp;$A64,'Expense Detail Old'!$H$4:$H$5179)</f>
        <v>0</v>
      </c>
      <c r="AL64" s="82">
        <f t="shared" si="130"/>
        <v>250</v>
      </c>
      <c r="AM64" s="90">
        <f t="shared" si="131"/>
        <v>-3000</v>
      </c>
      <c r="AN64" s="93">
        <f t="shared" si="132"/>
        <v>-2309</v>
      </c>
      <c r="AO64" s="82">
        <f t="shared" si="133"/>
        <v>691</v>
      </c>
    </row>
    <row r="65" spans="1:50">
      <c r="A65" s="18" t="s">
        <v>12</v>
      </c>
      <c r="B65" s="18" t="s">
        <v>353</v>
      </c>
      <c r="C65" s="41">
        <v>-280</v>
      </c>
      <c r="D65" s="42">
        <f>SUMIF('Expense Detail Old'!$E$4:$E$5179,C$1&amp;" "&amp;$A65,'Expense Detail Old'!$H$4:$H$5179)</f>
        <v>0</v>
      </c>
      <c r="E65" s="82">
        <f t="shared" si="134"/>
        <v>280</v>
      </c>
      <c r="F65" s="44">
        <v>0</v>
      </c>
      <c r="G65" s="42">
        <f>SUMIF('Expense Detail Old'!$E$4:$E$5179,F$1&amp;" "&amp;$A65,'Expense Detail Old'!$H$4:$H$5179)</f>
        <v>0</v>
      </c>
      <c r="H65" s="82">
        <f t="shared" si="120"/>
        <v>0</v>
      </c>
      <c r="I65" s="45">
        <v>0</v>
      </c>
      <c r="J65" s="42">
        <f>SUMIF('Expense Detail Old'!$E$4:$E$5179,I$1&amp;" "&amp;$A65,'Expense Detail Old'!$H$4:$H$5179)</f>
        <v>0</v>
      </c>
      <c r="K65" s="82">
        <f t="shared" si="121"/>
        <v>0</v>
      </c>
      <c r="L65" s="46">
        <v>0</v>
      </c>
      <c r="M65" s="42">
        <f>SUMIF('Expense Detail Old'!$E$4:$E$5179,L$1&amp;" "&amp;$A65,'Expense Detail Old'!$H$4:$H$5179)</f>
        <v>0</v>
      </c>
      <c r="N65" s="82">
        <f t="shared" si="122"/>
        <v>0</v>
      </c>
      <c r="O65" s="46">
        <v>0</v>
      </c>
      <c r="P65" s="42">
        <f>SUMIF('Expense Detail Old'!$E$4:$E$5179,O$1&amp;" "&amp;$A65,'Expense Detail Old'!$H$4:$H$5179)</f>
        <v>0</v>
      </c>
      <c r="Q65" s="82">
        <f t="shared" si="123"/>
        <v>0</v>
      </c>
      <c r="R65" s="46">
        <v>0</v>
      </c>
      <c r="S65" s="42">
        <f>SUMIF('Expense Detail Old'!$E$4:$E$5179,R$1&amp;" "&amp;$A65,'Expense Detail Old'!$H$4:$H$5179)</f>
        <v>0</v>
      </c>
      <c r="T65" s="82">
        <f t="shared" si="124"/>
        <v>0</v>
      </c>
      <c r="U65" s="46">
        <v>0</v>
      </c>
      <c r="V65" s="42">
        <f>SUMIF('Expense Detail Old'!$E$4:$E$5179,U$1&amp;" "&amp;$A65,'Expense Detail Old'!$H$4:$H$5179)</f>
        <v>0</v>
      </c>
      <c r="W65" s="82">
        <f t="shared" si="125"/>
        <v>0</v>
      </c>
      <c r="X65" s="46">
        <v>0</v>
      </c>
      <c r="Y65" s="42">
        <f>SUMIF('Expense Detail Old'!$E$4:$E$5179,X$1&amp;" "&amp;$A65,'Expense Detail Old'!$H$4:$H$5179)</f>
        <v>0</v>
      </c>
      <c r="Z65" s="82">
        <f t="shared" si="126"/>
        <v>0</v>
      </c>
      <c r="AA65" s="46">
        <v>0</v>
      </c>
      <c r="AB65" s="42">
        <f>SUMIF('Expense Detail Old'!$E$4:$E$5179,AA$1&amp;" "&amp;$A65,'Expense Detail Old'!$H$4:$H$5179)</f>
        <v>0</v>
      </c>
      <c r="AC65" s="82">
        <f t="shared" si="127"/>
        <v>0</v>
      </c>
      <c r="AD65" s="46">
        <v>0</v>
      </c>
      <c r="AE65" s="42">
        <f>SUMIF('Expense Detail Old'!$E$4:$E$5179,AD$1&amp;" "&amp;$A65,'Expense Detail Old'!$H$4:$H$5179)</f>
        <v>0</v>
      </c>
      <c r="AF65" s="82">
        <f t="shared" si="128"/>
        <v>0</v>
      </c>
      <c r="AG65" s="46">
        <v>0</v>
      </c>
      <c r="AH65" s="42">
        <f>SUMIF('Expense Detail Old'!$E$4:$E$5179,AG$1&amp;" "&amp;$A65,'Expense Detail Old'!$H$4:$H$5179)</f>
        <v>0</v>
      </c>
      <c r="AI65" s="82">
        <f t="shared" si="129"/>
        <v>0</v>
      </c>
      <c r="AJ65" s="46">
        <v>0</v>
      </c>
      <c r="AK65" s="42">
        <f>SUMIF('Expense Detail Old'!$E$4:$E$5179,AJ$1&amp;" "&amp;$A65,'Expense Detail Old'!$H$4:$H$5179)</f>
        <v>0</v>
      </c>
      <c r="AL65" s="82">
        <f t="shared" si="130"/>
        <v>0</v>
      </c>
      <c r="AM65" s="90">
        <f t="shared" si="131"/>
        <v>-280</v>
      </c>
      <c r="AN65" s="93">
        <f t="shared" si="132"/>
        <v>0</v>
      </c>
      <c r="AO65" s="82">
        <f t="shared" si="133"/>
        <v>280</v>
      </c>
    </row>
    <row r="66" spans="1:50">
      <c r="A66" s="18" t="s">
        <v>265</v>
      </c>
      <c r="B66" s="18" t="s">
        <v>353</v>
      </c>
      <c r="C66" s="41">
        <v>0</v>
      </c>
      <c r="D66" s="42">
        <f>SUMIF('Expense Detail Old'!$E$4:$E$5179,C$1&amp;" "&amp;$A66,'Expense Detail Old'!$H$4:$H$5179)</f>
        <v>0</v>
      </c>
      <c r="E66" s="82">
        <f t="shared" si="134"/>
        <v>0</v>
      </c>
      <c r="F66" s="44">
        <v>0</v>
      </c>
      <c r="G66" s="42">
        <f>SUMIF('Expense Detail Old'!$E$4:$E$5179,F$1&amp;" "&amp;$A66,'Expense Detail Old'!$H$4:$H$5179)</f>
        <v>0</v>
      </c>
      <c r="H66" s="82">
        <f t="shared" si="120"/>
        <v>0</v>
      </c>
      <c r="I66" s="45">
        <v>0</v>
      </c>
      <c r="J66" s="42">
        <f>SUMIF('Expense Detail Old'!$E$4:$E$5179,I$1&amp;" "&amp;$A66,'Expense Detail Old'!$H$4:$H$5179)</f>
        <v>-51.45</v>
      </c>
      <c r="K66" s="82">
        <f t="shared" si="121"/>
        <v>-51.45</v>
      </c>
      <c r="L66" s="46">
        <v>0</v>
      </c>
      <c r="M66" s="42">
        <f>SUMIF('Expense Detail Old'!$E$4:$E$5179,L$1&amp;" "&amp;$A66,'Expense Detail Old'!$H$4:$H$5179)</f>
        <v>0</v>
      </c>
      <c r="N66" s="82">
        <f t="shared" si="122"/>
        <v>0</v>
      </c>
      <c r="O66" s="46">
        <v>0</v>
      </c>
      <c r="P66" s="42">
        <f>SUMIF('Expense Detail Old'!$E$4:$E$5179,O$1&amp;" "&amp;$A66,'Expense Detail Old'!$H$4:$H$5179)</f>
        <v>0</v>
      </c>
      <c r="Q66" s="82">
        <f t="shared" si="123"/>
        <v>0</v>
      </c>
      <c r="R66" s="46">
        <v>0</v>
      </c>
      <c r="S66" s="42">
        <f>SUMIF('Expense Detail Old'!$E$4:$E$5179,R$1&amp;" "&amp;$A66,'Expense Detail Old'!$H$4:$H$5179)</f>
        <v>0</v>
      </c>
      <c r="T66" s="82">
        <f t="shared" si="124"/>
        <v>0</v>
      </c>
      <c r="U66" s="46">
        <v>0</v>
      </c>
      <c r="V66" s="42">
        <f>SUMIF('Expense Detail Old'!$E$4:$E$5179,U$1&amp;" "&amp;$A66,'Expense Detail Old'!$H$4:$H$5179)</f>
        <v>0</v>
      </c>
      <c r="W66" s="82">
        <f t="shared" si="125"/>
        <v>0</v>
      </c>
      <c r="X66" s="46">
        <v>0</v>
      </c>
      <c r="Y66" s="42">
        <f>SUMIF('Expense Detail Old'!$E$4:$E$5179,X$1&amp;" "&amp;$A66,'Expense Detail Old'!$H$4:$H$5179)</f>
        <v>0</v>
      </c>
      <c r="Z66" s="82">
        <f t="shared" si="126"/>
        <v>0</v>
      </c>
      <c r="AA66" s="46">
        <v>-20</v>
      </c>
      <c r="AB66" s="42">
        <f>SUMIF('Expense Detail Old'!$E$4:$E$5179,AA$1&amp;" "&amp;$A66,'Expense Detail Old'!$H$4:$H$5179)</f>
        <v>0</v>
      </c>
      <c r="AC66" s="82">
        <f t="shared" si="127"/>
        <v>20</v>
      </c>
      <c r="AD66" s="46">
        <v>0</v>
      </c>
      <c r="AE66" s="42">
        <f>SUMIF('Expense Detail Old'!$E$4:$E$5179,AD$1&amp;" "&amp;$A66,'Expense Detail Old'!$H$4:$H$5179)</f>
        <v>0</v>
      </c>
      <c r="AF66" s="82">
        <f t="shared" si="128"/>
        <v>0</v>
      </c>
      <c r="AG66" s="46">
        <v>0</v>
      </c>
      <c r="AH66" s="42">
        <f>SUMIF('Expense Detail Old'!$E$4:$E$5179,AG$1&amp;" "&amp;$A66,'Expense Detail Old'!$H$4:$H$5179)</f>
        <v>0</v>
      </c>
      <c r="AI66" s="82">
        <f t="shared" si="129"/>
        <v>0</v>
      </c>
      <c r="AJ66" s="46">
        <v>0</v>
      </c>
      <c r="AK66" s="42">
        <f>SUMIF('Expense Detail Old'!$E$4:$E$5179,AJ$1&amp;" "&amp;$A66,'Expense Detail Old'!$H$4:$H$5179)</f>
        <v>0</v>
      </c>
      <c r="AL66" s="82">
        <f t="shared" si="130"/>
        <v>0</v>
      </c>
      <c r="AM66" s="90">
        <f t="shared" si="131"/>
        <v>-20</v>
      </c>
      <c r="AN66" s="93">
        <f t="shared" si="132"/>
        <v>-51.45</v>
      </c>
      <c r="AO66" s="82">
        <f t="shared" si="133"/>
        <v>-31.450000000000003</v>
      </c>
    </row>
    <row r="67" spans="1:50">
      <c r="A67" s="18" t="s">
        <v>264</v>
      </c>
      <c r="B67" s="18" t="s">
        <v>353</v>
      </c>
      <c r="C67" s="41">
        <v>0</v>
      </c>
      <c r="D67" s="42">
        <f>SUMIF('Expense Detail Old'!$E$4:$E$5179,C$1&amp;" "&amp;$A67,'Expense Detail Old'!$H$4:$H$5179)</f>
        <v>0</v>
      </c>
      <c r="E67" s="82">
        <f t="shared" si="134"/>
        <v>0</v>
      </c>
      <c r="F67" s="44">
        <v>0</v>
      </c>
      <c r="G67" s="42">
        <f>SUMIF('Expense Detail Old'!$E$4:$E$5179,F$1&amp;" "&amp;$A67,'Expense Detail Old'!$H$4:$H$5179)</f>
        <v>0</v>
      </c>
      <c r="H67" s="82">
        <f t="shared" si="120"/>
        <v>0</v>
      </c>
      <c r="I67" s="45">
        <v>0</v>
      </c>
      <c r="J67" s="42">
        <f>SUMIF('Expense Detail Old'!$E$4:$E$5179,I$1&amp;" "&amp;$A67,'Expense Detail Old'!$H$4:$H$5179)</f>
        <v>0</v>
      </c>
      <c r="K67" s="82">
        <f t="shared" si="121"/>
        <v>0</v>
      </c>
      <c r="L67" s="46">
        <v>0</v>
      </c>
      <c r="M67" s="42">
        <f>SUMIF('Expense Detail Old'!$E$4:$E$5179,L$1&amp;" "&amp;$A67,'Expense Detail Old'!$H$4:$H$5179)</f>
        <v>0</v>
      </c>
      <c r="N67" s="82">
        <f t="shared" si="122"/>
        <v>0</v>
      </c>
      <c r="O67" s="46">
        <v>0</v>
      </c>
      <c r="P67" s="42">
        <f>SUMIF('Expense Detail Old'!$E$4:$E$5179,O$1&amp;" "&amp;$A67,'Expense Detail Old'!$H$4:$H$5179)</f>
        <v>0</v>
      </c>
      <c r="Q67" s="82">
        <f t="shared" si="123"/>
        <v>0</v>
      </c>
      <c r="R67" s="46">
        <v>0</v>
      </c>
      <c r="S67" s="42">
        <f>SUMIF('Expense Detail Old'!$E$4:$E$5179,R$1&amp;" "&amp;$A67,'Expense Detail Old'!$H$4:$H$5179)</f>
        <v>0</v>
      </c>
      <c r="T67" s="82">
        <f t="shared" si="124"/>
        <v>0</v>
      </c>
      <c r="U67" s="46">
        <v>0</v>
      </c>
      <c r="V67" s="42">
        <f>SUMIF('Expense Detail Old'!$E$4:$E$5179,U$1&amp;" "&amp;$A67,'Expense Detail Old'!$H$4:$H$5179)</f>
        <v>0</v>
      </c>
      <c r="W67" s="82">
        <f t="shared" si="125"/>
        <v>0</v>
      </c>
      <c r="X67" s="46">
        <v>0</v>
      </c>
      <c r="Y67" s="42">
        <f>SUMIF('Expense Detail Old'!$E$4:$E$5179,X$1&amp;" "&amp;$A67,'Expense Detail Old'!$H$4:$H$5179)</f>
        <v>0</v>
      </c>
      <c r="Z67" s="82">
        <f t="shared" si="126"/>
        <v>0</v>
      </c>
      <c r="AA67" s="46">
        <v>-20</v>
      </c>
      <c r="AB67" s="42">
        <f>SUMIF('Expense Detail Old'!$E$4:$E$5179,AA$1&amp;" "&amp;$A67,'Expense Detail Old'!$H$4:$H$5179)</f>
        <v>0</v>
      </c>
      <c r="AC67" s="82">
        <f t="shared" si="127"/>
        <v>20</v>
      </c>
      <c r="AD67" s="46">
        <v>0</v>
      </c>
      <c r="AE67" s="42">
        <f>SUMIF('Expense Detail Old'!$E$4:$E$5179,AD$1&amp;" "&amp;$A67,'Expense Detail Old'!$H$4:$H$5179)</f>
        <v>0</v>
      </c>
      <c r="AF67" s="82">
        <f t="shared" si="128"/>
        <v>0</v>
      </c>
      <c r="AG67" s="46">
        <v>0</v>
      </c>
      <c r="AH67" s="42">
        <f>SUMIF('Expense Detail Old'!$E$4:$E$5179,AG$1&amp;" "&amp;$A67,'Expense Detail Old'!$H$4:$H$5179)</f>
        <v>0</v>
      </c>
      <c r="AI67" s="82">
        <f t="shared" si="129"/>
        <v>0</v>
      </c>
      <c r="AJ67" s="46">
        <v>0</v>
      </c>
      <c r="AK67" s="42">
        <f>SUMIF('Expense Detail Old'!$E$4:$E$5179,AJ$1&amp;" "&amp;$A67,'Expense Detail Old'!$H$4:$H$5179)</f>
        <v>0</v>
      </c>
      <c r="AL67" s="82">
        <f t="shared" si="130"/>
        <v>0</v>
      </c>
      <c r="AM67" s="90">
        <f t="shared" si="131"/>
        <v>-20</v>
      </c>
      <c r="AN67" s="93">
        <f t="shared" si="132"/>
        <v>0</v>
      </c>
      <c r="AO67" s="82">
        <f t="shared" si="133"/>
        <v>20</v>
      </c>
    </row>
    <row r="68" spans="1:50">
      <c r="A68" s="18" t="s">
        <v>20</v>
      </c>
      <c r="B68" s="18" t="s">
        <v>353</v>
      </c>
      <c r="C68" s="41">
        <v>0</v>
      </c>
      <c r="D68" s="42">
        <f>SUMIF('Expense Detail Old'!$E$4:$E$5179,C$1&amp;" "&amp;$A68,'Expense Detail Old'!$H$4:$H$5179)</f>
        <v>0</v>
      </c>
      <c r="E68" s="82">
        <f t="shared" si="134"/>
        <v>0</v>
      </c>
      <c r="F68" s="44">
        <v>-21</v>
      </c>
      <c r="G68" s="42">
        <f>SUMIF('Expense Detail Old'!$E$4:$E$5179,F$1&amp;" "&amp;$A68,'Expense Detail Old'!$H$4:$H$5179)</f>
        <v>0</v>
      </c>
      <c r="H68" s="82">
        <f t="shared" si="120"/>
        <v>21</v>
      </c>
      <c r="I68" s="45">
        <v>0</v>
      </c>
      <c r="J68" s="42">
        <f>SUMIF('Expense Detail Old'!$E$4:$E$5179,I$1&amp;" "&amp;$A68,'Expense Detail Old'!$H$4:$H$5179)</f>
        <v>-21</v>
      </c>
      <c r="K68" s="82">
        <f t="shared" si="121"/>
        <v>-21</v>
      </c>
      <c r="L68" s="46">
        <v>-21</v>
      </c>
      <c r="M68" s="42">
        <f>SUMIF('Expense Detail Old'!$E$4:$E$5179,L$1&amp;" "&amp;$A68,'Expense Detail Old'!$H$4:$H$5179)</f>
        <v>0</v>
      </c>
      <c r="N68" s="82">
        <f t="shared" si="122"/>
        <v>21</v>
      </c>
      <c r="O68" s="46">
        <v>0</v>
      </c>
      <c r="P68" s="42">
        <f>SUMIF('Expense Detail Old'!$E$4:$E$5179,O$1&amp;" "&amp;$A68,'Expense Detail Old'!$H$4:$H$5179)</f>
        <v>0</v>
      </c>
      <c r="Q68" s="82">
        <f t="shared" si="123"/>
        <v>0</v>
      </c>
      <c r="R68" s="46">
        <v>-21</v>
      </c>
      <c r="S68" s="42">
        <f>SUMIF('Expense Detail Old'!$E$4:$E$5179,R$1&amp;" "&amp;$A68,'Expense Detail Old'!$H$4:$H$5179)</f>
        <v>0</v>
      </c>
      <c r="T68" s="82">
        <f t="shared" si="124"/>
        <v>21</v>
      </c>
      <c r="U68" s="46">
        <v>0</v>
      </c>
      <c r="V68" s="42">
        <f>SUMIF('Expense Detail Old'!$E$4:$E$5179,U$1&amp;" "&amp;$A68,'Expense Detail Old'!$H$4:$H$5179)</f>
        <v>0</v>
      </c>
      <c r="W68" s="82">
        <f t="shared" si="125"/>
        <v>0</v>
      </c>
      <c r="X68" s="46">
        <v>-21</v>
      </c>
      <c r="Y68" s="42">
        <f>SUMIF('Expense Detail Old'!$E$4:$E$5179,X$1&amp;" "&amp;$A68,'Expense Detail Old'!$H$4:$H$5179)</f>
        <v>0</v>
      </c>
      <c r="Z68" s="82">
        <f t="shared" si="126"/>
        <v>21</v>
      </c>
      <c r="AA68" s="46">
        <v>0</v>
      </c>
      <c r="AB68" s="42">
        <f>SUMIF('Expense Detail Old'!$E$4:$E$5179,AA$1&amp;" "&amp;$A68,'Expense Detail Old'!$H$4:$H$5179)</f>
        <v>0</v>
      </c>
      <c r="AC68" s="82">
        <f t="shared" si="127"/>
        <v>0</v>
      </c>
      <c r="AD68" s="46">
        <v>-21</v>
      </c>
      <c r="AE68" s="42">
        <f>SUMIF('Expense Detail Old'!$E$4:$E$5179,AD$1&amp;" "&amp;$A68,'Expense Detail Old'!$H$4:$H$5179)</f>
        <v>0</v>
      </c>
      <c r="AF68" s="82">
        <f t="shared" si="128"/>
        <v>21</v>
      </c>
      <c r="AG68" s="46">
        <v>0</v>
      </c>
      <c r="AH68" s="42">
        <f>SUMIF('Expense Detail Old'!$E$4:$E$5179,AG$1&amp;" "&amp;$A68,'Expense Detail Old'!$H$4:$H$5179)</f>
        <v>0</v>
      </c>
      <c r="AI68" s="82">
        <f t="shared" si="129"/>
        <v>0</v>
      </c>
      <c r="AJ68" s="46">
        <v>-21</v>
      </c>
      <c r="AK68" s="42">
        <f>SUMIF('Expense Detail Old'!$E$4:$E$5179,AJ$1&amp;" "&amp;$A68,'Expense Detail Old'!$H$4:$H$5179)</f>
        <v>0</v>
      </c>
      <c r="AL68" s="82">
        <f t="shared" si="130"/>
        <v>21</v>
      </c>
      <c r="AM68" s="90">
        <f t="shared" si="131"/>
        <v>-126</v>
      </c>
      <c r="AN68" s="93">
        <f t="shared" si="132"/>
        <v>-21</v>
      </c>
      <c r="AO68" s="82">
        <f t="shared" si="133"/>
        <v>105</v>
      </c>
      <c r="AP68" s="18"/>
      <c r="AR68" s="18"/>
      <c r="AS68" s="18"/>
      <c r="AT68" s="18"/>
      <c r="AU68" s="18"/>
      <c r="AV68" s="18"/>
      <c r="AW68" s="18"/>
      <c r="AX68" s="18"/>
    </row>
    <row r="69" spans="1:50">
      <c r="A69" s="18" t="s">
        <v>37</v>
      </c>
      <c r="B69" s="18" t="s">
        <v>353</v>
      </c>
      <c r="C69" s="41">
        <v>0</v>
      </c>
      <c r="D69" s="42">
        <f>SUMIF('Expense Detail Old'!$E$4:$E$5179,C$1&amp;" "&amp;$A69,'Expense Detail Old'!$H$4:$H$5179)</f>
        <v>0</v>
      </c>
      <c r="E69" s="82">
        <f t="shared" si="134"/>
        <v>0</v>
      </c>
      <c r="F69" s="44">
        <v>0</v>
      </c>
      <c r="G69" s="42">
        <f>SUMIF('Expense Detail Old'!$E$4:$E$5179,F$1&amp;" "&amp;$A69,'Expense Detail Old'!$H$4:$H$5179)</f>
        <v>0</v>
      </c>
      <c r="H69" s="82">
        <f t="shared" si="120"/>
        <v>0</v>
      </c>
      <c r="I69" s="45">
        <v>0</v>
      </c>
      <c r="J69" s="42">
        <f>SUMIF('Expense Detail Old'!$E$4:$E$5179,I$1&amp;" "&amp;$A69,'Expense Detail Old'!$H$4:$H$5179)</f>
        <v>0</v>
      </c>
      <c r="K69" s="82">
        <f t="shared" si="121"/>
        <v>0</v>
      </c>
      <c r="L69" s="46">
        <v>0</v>
      </c>
      <c r="M69" s="42">
        <f>SUMIF('Expense Detail Old'!$E$4:$E$5179,L$1&amp;" "&amp;$A69,'Expense Detail Old'!$H$4:$H$5179)</f>
        <v>0</v>
      </c>
      <c r="N69" s="82">
        <f t="shared" si="122"/>
        <v>0</v>
      </c>
      <c r="O69" s="46">
        <v>-35</v>
      </c>
      <c r="P69" s="42">
        <f>SUMIF('Expense Detail Old'!$E$4:$E$5179,O$1&amp;" "&amp;$A69,'Expense Detail Old'!$H$4:$H$5179)</f>
        <v>-148.38</v>
      </c>
      <c r="Q69" s="82">
        <f t="shared" si="123"/>
        <v>-113.38</v>
      </c>
      <c r="R69" s="46">
        <v>0</v>
      </c>
      <c r="S69" s="42">
        <f>SUMIF('Expense Detail Old'!$E$4:$E$5179,R$1&amp;" "&amp;$A69,'Expense Detail Old'!$H$4:$H$5179)</f>
        <v>-15.89</v>
      </c>
      <c r="T69" s="82">
        <f t="shared" si="124"/>
        <v>-15.89</v>
      </c>
      <c r="U69" s="46">
        <v>0</v>
      </c>
      <c r="V69" s="42">
        <f>SUMIF('Expense Detail Old'!$E$4:$E$5179,U$1&amp;" "&amp;$A69,'Expense Detail Old'!$H$4:$H$5179)</f>
        <v>0</v>
      </c>
      <c r="W69" s="82">
        <f t="shared" si="125"/>
        <v>0</v>
      </c>
      <c r="X69" s="46">
        <v>0</v>
      </c>
      <c r="Y69" s="42">
        <f>SUMIF('Expense Detail Old'!$E$4:$E$5179,X$1&amp;" "&amp;$A69,'Expense Detail Old'!$H$4:$H$5179)</f>
        <v>0</v>
      </c>
      <c r="Z69" s="82">
        <f t="shared" si="126"/>
        <v>0</v>
      </c>
      <c r="AA69" s="46">
        <v>0</v>
      </c>
      <c r="AB69" s="42">
        <f>SUMIF('Expense Detail Old'!$E$4:$E$5179,AA$1&amp;" "&amp;$A69,'Expense Detail Old'!$H$4:$H$5179)</f>
        <v>0</v>
      </c>
      <c r="AC69" s="82">
        <f t="shared" si="127"/>
        <v>0</v>
      </c>
      <c r="AD69" s="46">
        <v>0</v>
      </c>
      <c r="AE69" s="42">
        <f>SUMIF('Expense Detail Old'!$E$4:$E$5179,AD$1&amp;" "&amp;$A69,'Expense Detail Old'!$H$4:$H$5179)</f>
        <v>0</v>
      </c>
      <c r="AF69" s="82">
        <f t="shared" si="128"/>
        <v>0</v>
      </c>
      <c r="AG69" s="46">
        <v>0</v>
      </c>
      <c r="AH69" s="42">
        <f>SUMIF('Expense Detail Old'!$E$4:$E$5179,AG$1&amp;" "&amp;$A69,'Expense Detail Old'!$H$4:$H$5179)</f>
        <v>0</v>
      </c>
      <c r="AI69" s="82">
        <f t="shared" si="129"/>
        <v>0</v>
      </c>
      <c r="AJ69" s="46">
        <v>0</v>
      </c>
      <c r="AK69" s="42">
        <f>SUMIF('Expense Detail Old'!$E$4:$E$5179,AJ$1&amp;" "&amp;$A69,'Expense Detail Old'!$H$4:$H$5179)</f>
        <v>0</v>
      </c>
      <c r="AL69" s="82">
        <f t="shared" si="130"/>
        <v>0</v>
      </c>
      <c r="AM69" s="90">
        <f t="shared" si="131"/>
        <v>-35</v>
      </c>
      <c r="AN69" s="93">
        <f t="shared" si="132"/>
        <v>-164.26999999999998</v>
      </c>
      <c r="AO69" s="82">
        <f t="shared" si="133"/>
        <v>-129.26999999999998</v>
      </c>
      <c r="AP69" s="18"/>
      <c r="AQ69" s="18"/>
      <c r="AR69" s="18"/>
      <c r="AS69" s="18"/>
      <c r="AT69" s="18"/>
      <c r="AU69" s="18"/>
      <c r="AV69" s="18"/>
      <c r="AW69" s="18"/>
      <c r="AX69" s="18"/>
    </row>
    <row r="70" spans="1:50" ht="16.5" thickBot="1">
      <c r="A70" s="18" t="s">
        <v>256</v>
      </c>
      <c r="B70" s="18" t="s">
        <v>353</v>
      </c>
      <c r="C70" s="101">
        <v>0</v>
      </c>
      <c r="D70" s="102">
        <f>SUMIF('Expense Detail Old'!$E$4:$E$5179,C$1&amp;" "&amp;$A70,'Expense Detail Old'!$H$4:$H$5179)</f>
        <v>0</v>
      </c>
      <c r="E70" s="103">
        <f t="shared" si="134"/>
        <v>0</v>
      </c>
      <c r="F70" s="44">
        <v>0</v>
      </c>
      <c r="G70" s="102">
        <f>SUMIF('Expense Detail Old'!$E$4:$E$5179,F$1&amp;" "&amp;$A70,'Expense Detail Old'!$H$4:$H$5179)</f>
        <v>0</v>
      </c>
      <c r="H70" s="82">
        <f t="shared" si="120"/>
        <v>0</v>
      </c>
      <c r="I70" s="45">
        <v>0</v>
      </c>
      <c r="J70" s="102">
        <f>SUMIF('Expense Detail Old'!$E$4:$E$5179,I$1&amp;" "&amp;$A70,'Expense Detail Old'!$H$4:$H$5179)</f>
        <v>0</v>
      </c>
      <c r="K70" s="82">
        <f t="shared" si="121"/>
        <v>0</v>
      </c>
      <c r="L70" s="46">
        <v>0</v>
      </c>
      <c r="M70" s="102">
        <f>SUMIF('Expense Detail Old'!$E$4:$E$5179,L$1&amp;" "&amp;$A70,'Expense Detail Old'!$H$4:$H$5179)</f>
        <v>0</v>
      </c>
      <c r="N70" s="82">
        <f t="shared" si="122"/>
        <v>0</v>
      </c>
      <c r="O70" s="46">
        <v>0</v>
      </c>
      <c r="P70" s="102">
        <f>SUMIF('Expense Detail Old'!$E$4:$E$5179,O$1&amp;" "&amp;$A70,'Expense Detail Old'!$H$4:$H$5179)</f>
        <v>0</v>
      </c>
      <c r="Q70" s="82">
        <f t="shared" si="123"/>
        <v>0</v>
      </c>
      <c r="R70" s="46">
        <v>0</v>
      </c>
      <c r="S70" s="42">
        <f>SUMIF('Expense Detail Old'!$E$4:$E$5179,R$1&amp;" "&amp;$A70,'Expense Detail Old'!$H$4:$H$5179)</f>
        <v>0</v>
      </c>
      <c r="T70" s="82">
        <f t="shared" si="124"/>
        <v>0</v>
      </c>
      <c r="U70" s="46">
        <v>0</v>
      </c>
      <c r="V70" s="42">
        <f>SUMIF('Expense Detail Old'!$E$4:$E$5179,U$1&amp;" "&amp;$A70,'Expense Detail Old'!$H$4:$H$5179)</f>
        <v>0</v>
      </c>
      <c r="W70" s="82">
        <f t="shared" si="125"/>
        <v>0</v>
      </c>
      <c r="X70" s="46">
        <v>0</v>
      </c>
      <c r="Y70" s="42">
        <f>SUMIF('Expense Detail Old'!$E$4:$E$5179,X$1&amp;" "&amp;$A70,'Expense Detail Old'!$H$4:$H$5179)</f>
        <v>0</v>
      </c>
      <c r="Z70" s="82">
        <f t="shared" si="126"/>
        <v>0</v>
      </c>
      <c r="AA70" s="46">
        <v>-240</v>
      </c>
      <c r="AB70" s="102">
        <f>SUMIF('Expense Detail Old'!$E$4:$E$5179,AA$1&amp;" "&amp;$A70,'Expense Detail Old'!$H$4:$H$5179)</f>
        <v>0</v>
      </c>
      <c r="AC70" s="82">
        <f t="shared" si="127"/>
        <v>240</v>
      </c>
      <c r="AD70" s="46">
        <v>0</v>
      </c>
      <c r="AE70" s="102">
        <f>SUMIF('Expense Detail Old'!$E$4:$E$5179,AD$1&amp;" "&amp;$A70,'Expense Detail Old'!$H$4:$H$5179)</f>
        <v>0</v>
      </c>
      <c r="AF70" s="82">
        <f t="shared" si="128"/>
        <v>0</v>
      </c>
      <c r="AG70" s="46">
        <v>0</v>
      </c>
      <c r="AH70" s="102">
        <f>SUMIF('Expense Detail Old'!$E$4:$E$5179,AG$1&amp;" "&amp;$A70,'Expense Detail Old'!$H$4:$H$5179)</f>
        <v>0</v>
      </c>
      <c r="AI70" s="82">
        <f t="shared" si="129"/>
        <v>0</v>
      </c>
      <c r="AJ70" s="46">
        <v>0</v>
      </c>
      <c r="AK70" s="102">
        <f>SUMIF('Expense Detail Old'!$E$4:$E$5179,AJ$1&amp;" "&amp;$A70,'Expense Detail Old'!$H$4:$H$5179)</f>
        <v>0</v>
      </c>
      <c r="AL70" s="82">
        <f t="shared" si="130"/>
        <v>0</v>
      </c>
      <c r="AM70" s="90">
        <f t="shared" si="131"/>
        <v>-240</v>
      </c>
      <c r="AN70" s="93">
        <f t="shared" si="132"/>
        <v>0</v>
      </c>
      <c r="AO70" s="82">
        <f t="shared" si="133"/>
        <v>240</v>
      </c>
    </row>
    <row r="71" spans="1:50" ht="16.5" thickBot="1">
      <c r="A71" s="36"/>
      <c r="B71" s="36" t="s">
        <v>354</v>
      </c>
      <c r="C71" s="96">
        <f>SUM(C55:C70)</f>
        <v>-698</v>
      </c>
      <c r="D71" s="96">
        <f>SUM(D55:D70)</f>
        <v>-766.84</v>
      </c>
      <c r="E71" s="96">
        <f>SUM(E55:E70)</f>
        <v>-68.840000000000032</v>
      </c>
      <c r="F71" s="84">
        <f>SUM(F7:F70)</f>
        <v>-4628.83</v>
      </c>
      <c r="G71" s="96">
        <f>SUM(G55:G70)</f>
        <v>-925.27</v>
      </c>
      <c r="H71" s="84">
        <f t="shared" ref="H71:AO71" si="135">SUM(H55:H70)</f>
        <v>-399.84000000000003</v>
      </c>
      <c r="I71" s="84">
        <f t="shared" si="135"/>
        <v>-504</v>
      </c>
      <c r="J71" s="96">
        <f>SUM(J55:J70)</f>
        <v>-811.94999999999993</v>
      </c>
      <c r="K71" s="84">
        <f t="shared" si="135"/>
        <v>-307.94999999999987</v>
      </c>
      <c r="L71" s="84">
        <f t="shared" si="135"/>
        <v>-525</v>
      </c>
      <c r="M71" s="96">
        <f>SUM(M55:M70)</f>
        <v>-432.52</v>
      </c>
      <c r="N71" s="84">
        <f t="shared" si="135"/>
        <v>92.480000000000018</v>
      </c>
      <c r="O71" s="84">
        <f t="shared" si="135"/>
        <v>-469</v>
      </c>
      <c r="P71" s="96">
        <f>SUM(P55:P70)</f>
        <v>-770.83</v>
      </c>
      <c r="Q71" s="84">
        <f t="shared" si="135"/>
        <v>-301.83000000000004</v>
      </c>
      <c r="R71" s="84">
        <f t="shared" si="135"/>
        <v>-575</v>
      </c>
      <c r="S71" s="84">
        <f t="shared" si="135"/>
        <v>-570.78</v>
      </c>
      <c r="T71" s="84">
        <f t="shared" si="135"/>
        <v>4.2199999999999562</v>
      </c>
      <c r="U71" s="84">
        <f t="shared" si="135"/>
        <v>-604</v>
      </c>
      <c r="V71" s="84">
        <f t="shared" si="135"/>
        <v>-595.24</v>
      </c>
      <c r="W71" s="84">
        <f t="shared" si="135"/>
        <v>8.7599999999999341</v>
      </c>
      <c r="X71" s="84">
        <f t="shared" si="135"/>
        <v>-425</v>
      </c>
      <c r="Y71" s="84">
        <f t="shared" si="135"/>
        <v>0</v>
      </c>
      <c r="Z71" s="84">
        <f t="shared" si="135"/>
        <v>425</v>
      </c>
      <c r="AA71" s="84">
        <f t="shared" si="135"/>
        <v>-784</v>
      </c>
      <c r="AB71" s="96">
        <f>SUM(AB55:AB70)</f>
        <v>0</v>
      </c>
      <c r="AC71" s="84">
        <f t="shared" si="135"/>
        <v>784</v>
      </c>
      <c r="AD71" s="84">
        <f t="shared" si="135"/>
        <v>-525</v>
      </c>
      <c r="AE71" s="96">
        <f>SUM(AE55:AE70)</f>
        <v>0</v>
      </c>
      <c r="AF71" s="84">
        <f t="shared" si="135"/>
        <v>525</v>
      </c>
      <c r="AG71" s="84">
        <f t="shared" si="135"/>
        <v>-404</v>
      </c>
      <c r="AH71" s="96">
        <f>SUM(AH55:AH70)</f>
        <v>0</v>
      </c>
      <c r="AI71" s="84">
        <f t="shared" si="135"/>
        <v>404</v>
      </c>
      <c r="AJ71" s="84">
        <f t="shared" si="135"/>
        <v>-925</v>
      </c>
      <c r="AK71" s="96">
        <f>SUM(AK55:AK70)</f>
        <v>0</v>
      </c>
      <c r="AL71" s="84">
        <f t="shared" si="135"/>
        <v>925</v>
      </c>
      <c r="AM71" s="84">
        <f t="shared" si="135"/>
        <v>-6877</v>
      </c>
      <c r="AN71" s="84">
        <f t="shared" si="135"/>
        <v>-4787</v>
      </c>
      <c r="AO71" s="84">
        <f t="shared" si="135"/>
        <v>2090</v>
      </c>
    </row>
    <row r="72" spans="1:50" ht="24" thickTop="1">
      <c r="A72" s="275" t="s">
        <v>136</v>
      </c>
      <c r="B72" s="276"/>
      <c r="C72" s="38"/>
      <c r="D72" s="47"/>
      <c r="E72" s="49"/>
      <c r="F72" s="48"/>
      <c r="G72" s="47"/>
      <c r="H72" s="49"/>
      <c r="I72" s="48"/>
      <c r="J72" s="47"/>
      <c r="K72" s="49"/>
      <c r="L72" s="48"/>
      <c r="M72" s="47"/>
      <c r="N72" s="49"/>
      <c r="O72" s="48"/>
      <c r="P72" s="47"/>
      <c r="Q72" s="49"/>
      <c r="R72" s="48"/>
      <c r="S72" s="47"/>
      <c r="T72" s="49"/>
      <c r="U72" s="48"/>
      <c r="V72" s="47"/>
      <c r="W72" s="49"/>
      <c r="X72" s="48"/>
      <c r="Y72" s="47"/>
      <c r="Z72" s="49"/>
      <c r="AA72" s="48"/>
      <c r="AB72" s="47"/>
      <c r="AC72" s="49"/>
      <c r="AD72" s="48"/>
      <c r="AE72" s="47"/>
      <c r="AF72" s="49"/>
      <c r="AG72" s="48"/>
      <c r="AH72" s="47"/>
      <c r="AI72" s="49"/>
      <c r="AJ72" s="48"/>
      <c r="AK72" s="47"/>
      <c r="AL72" s="49"/>
      <c r="AM72" s="48"/>
      <c r="AN72" s="47"/>
      <c r="AO72" s="49"/>
    </row>
    <row r="73" spans="1:50">
      <c r="A73" s="18" t="s">
        <v>146</v>
      </c>
      <c r="B73" s="18" t="s">
        <v>136</v>
      </c>
      <c r="C73" s="41">
        <v>-258.84900000000005</v>
      </c>
      <c r="D73" s="42">
        <f>SUMIF('Expense Detail Old'!$E$4:$E$5179,C$1&amp;" "&amp;$A73,'Expense Detail Old'!$H$4:$H$5179)</f>
        <v>-277.36</v>
      </c>
      <c r="E73" s="82">
        <f t="shared" ref="E73:E77" si="136">D73-C73</f>
        <v>-18.510999999999967</v>
      </c>
      <c r="F73" s="44">
        <v>-261.774</v>
      </c>
      <c r="G73" s="42">
        <f>SUMIF('Expense Detail Old'!$E$4:$E$5179,F$1&amp;" "&amp;$A73,'Expense Detail Old'!$H$4:$H$5179)</f>
        <v>-243.58</v>
      </c>
      <c r="H73" s="82">
        <f t="shared" ref="H73:H77" si="137">G73-F73</f>
        <v>18.193999999999988</v>
      </c>
      <c r="I73" s="45">
        <v>-271.24200000000002</v>
      </c>
      <c r="J73" s="42">
        <f>SUMIF('Expense Detail Old'!$E$4:$E$5179,I$1&amp;" "&amp;$A73,'Expense Detail Old'!$H$4:$H$5179)</f>
        <v>0</v>
      </c>
      <c r="K73" s="82">
        <f t="shared" ref="K73:K77" si="138">J73-I73</f>
        <v>271.24200000000002</v>
      </c>
      <c r="L73" s="46">
        <v>-229.61699999999999</v>
      </c>
      <c r="M73" s="42">
        <f>SUMIF('Expense Detail Old'!$E$4:$E$5179,L$1&amp;" "&amp;$A73,'Expense Detail Old'!$H$4:$H$5179)</f>
        <v>0</v>
      </c>
      <c r="N73" s="82">
        <f t="shared" ref="N73:N77" si="139">M73-L73</f>
        <v>229.61699999999999</v>
      </c>
      <c r="O73" s="46">
        <v>-164.79</v>
      </c>
      <c r="P73" s="42">
        <f>SUMIF('Expense Detail Old'!$E$4:$E$5179,O$1&amp;" "&amp;$A73,'Expense Detail Old'!$H$4:$H$5179)</f>
        <v>0</v>
      </c>
      <c r="Q73" s="82">
        <f t="shared" ref="Q73:Q77" si="140">P73-O73</f>
        <v>164.79</v>
      </c>
      <c r="R73" s="46">
        <v>-142.36200000000002</v>
      </c>
      <c r="S73" s="42">
        <f>SUMIF('Expense Detail Old'!$E$4:$E$5179,R$1&amp;" "&amp;$A73,'Expense Detail Old'!$H$4:$H$5179)</f>
        <v>0</v>
      </c>
      <c r="T73" s="82">
        <f t="shared" ref="T73:T77" si="141">S73-R73</f>
        <v>142.36200000000002</v>
      </c>
      <c r="U73" s="46">
        <v>-158.89500000000001</v>
      </c>
      <c r="V73" s="42">
        <f>SUMIF('Expense Detail Old'!$E$4:$E$5179,U$1&amp;" "&amp;$A73,'Expense Detail Old'!$H$4:$H$5179)</f>
        <v>0</v>
      </c>
      <c r="W73" s="82">
        <f t="shared" ref="W73:W77" si="142">V73-U73</f>
        <v>158.89500000000001</v>
      </c>
      <c r="X73" s="46">
        <v>0</v>
      </c>
      <c r="Y73" s="42">
        <f>SUMIF('Expense Detail Old'!$E$4:$E$5179,X$1&amp;" "&amp;$A73,'Expense Detail Old'!$H$4:$H$5179)</f>
        <v>0</v>
      </c>
      <c r="Z73" s="82">
        <f t="shared" ref="Z73:Z77" si="143">Y73-X73</f>
        <v>0</v>
      </c>
      <c r="AA73" s="46">
        <v>0</v>
      </c>
      <c r="AB73" s="42">
        <f>SUMIF('Expense Detail Old'!$E$4:$E$5179,AA$1&amp;" "&amp;$A73,'Expense Detail Old'!$H$4:$H$5179)</f>
        <v>0</v>
      </c>
      <c r="AC73" s="82">
        <f t="shared" ref="AC73:AC77" si="144">AB73-AA73</f>
        <v>0</v>
      </c>
      <c r="AD73" s="46">
        <v>-272.637</v>
      </c>
      <c r="AE73" s="42">
        <f>SUMIF('Expense Detail Old'!$E$4:$E$5179,AD$1&amp;" "&amp;$A73,'Expense Detail Old'!$H$4:$H$5179)</f>
        <v>0</v>
      </c>
      <c r="AF73" s="82">
        <f t="shared" ref="AF73:AF77" si="145">AE73-AD73</f>
        <v>272.637</v>
      </c>
      <c r="AG73" s="46">
        <v>-313.11</v>
      </c>
      <c r="AH73" s="42">
        <f>SUMIF('Expense Detail Old'!$E$4:$E$5179,AG$1&amp;" "&amp;$A73,'Expense Detail Old'!$H$4:$H$5179)</f>
        <v>0</v>
      </c>
      <c r="AI73" s="82">
        <f t="shared" ref="AI73:AI77" si="146">AH73-AG73</f>
        <v>313.11</v>
      </c>
      <c r="AJ73" s="46">
        <v>-130.5</v>
      </c>
      <c r="AK73" s="42">
        <f>SUMIF('Expense Detail Old'!$E$4:$E$5179,AJ$1&amp;" "&amp;$A73,'Expense Detail Old'!$H$4:$H$5179)</f>
        <v>0</v>
      </c>
      <c r="AL73" s="82">
        <f t="shared" ref="AL73:AL77" si="147">AK73-AJ73</f>
        <v>130.5</v>
      </c>
      <c r="AM73" s="90">
        <f t="shared" ref="AM73:AM77" si="148">SUM(C73,F73,I73,L73,O73,R73,U73,X73,AA73,AD73,AG73,AJ73)</f>
        <v>-2203.7759999999998</v>
      </c>
      <c r="AN73" s="93">
        <f t="shared" ref="AN73:AN77" si="149">SUM(D73,G73,J73,M73,P73,S73,V73,Y73,AB73,AE73,AH73,AK73)</f>
        <v>-520.94000000000005</v>
      </c>
      <c r="AO73" s="82">
        <f t="shared" ref="AO73:AO77" si="150">AN73-AM73</f>
        <v>1682.8359999999998</v>
      </c>
    </row>
    <row r="74" spans="1:50">
      <c r="A74" s="18" t="s">
        <v>151</v>
      </c>
      <c r="B74" s="18" t="s">
        <v>136</v>
      </c>
      <c r="C74" s="41">
        <v>0</v>
      </c>
      <c r="D74" s="42">
        <f>SUMIF('Expense Detail Old'!$E$4:$E$5179,C$1&amp;" "&amp;$A74,'Expense Detail Old'!$H$4:$H$5179)</f>
        <v>0</v>
      </c>
      <c r="E74" s="82">
        <f t="shared" si="136"/>
        <v>0</v>
      </c>
      <c r="F74" s="44">
        <v>0</v>
      </c>
      <c r="G74" s="42">
        <f>SUMIF('Expense Detail Old'!$E$4:$E$5179,F$1&amp;" "&amp;$A74,'Expense Detail Old'!$H$4:$H$5179)</f>
        <v>0</v>
      </c>
      <c r="H74" s="82">
        <f t="shared" si="137"/>
        <v>0</v>
      </c>
      <c r="I74" s="45">
        <v>0</v>
      </c>
      <c r="J74" s="42">
        <f>SUMIF('Expense Detail Old'!$E$4:$E$5179,I$1&amp;" "&amp;$A74,'Expense Detail Old'!$H$4:$H$5179)</f>
        <v>0</v>
      </c>
      <c r="K74" s="82">
        <f t="shared" si="138"/>
        <v>0</v>
      </c>
      <c r="L74" s="46">
        <v>-35</v>
      </c>
      <c r="M74" s="42">
        <f>SUMIF('Expense Detail Old'!$E$4:$E$5179,L$1&amp;" "&amp;$A74,'Expense Detail Old'!$H$4:$H$5179)</f>
        <v>0</v>
      </c>
      <c r="N74" s="82">
        <f t="shared" si="139"/>
        <v>35</v>
      </c>
      <c r="O74" s="46">
        <v>-35</v>
      </c>
      <c r="P74" s="42">
        <f>SUMIF('Expense Detail Old'!$E$4:$E$5179,O$1&amp;" "&amp;$A74,'Expense Detail Old'!$H$4:$H$5179)</f>
        <v>0</v>
      </c>
      <c r="Q74" s="82">
        <f t="shared" si="140"/>
        <v>35</v>
      </c>
      <c r="R74" s="46">
        <v>-35</v>
      </c>
      <c r="S74" s="42">
        <f>SUMIF('Expense Detail Old'!$E$4:$E$5179,R$1&amp;" "&amp;$A74,'Expense Detail Old'!$H$4:$H$5179)</f>
        <v>0</v>
      </c>
      <c r="T74" s="82">
        <f t="shared" si="141"/>
        <v>35</v>
      </c>
      <c r="U74" s="46">
        <v>-35</v>
      </c>
      <c r="V74" s="42">
        <f>SUMIF('Expense Detail Old'!$E$4:$E$5179,U$1&amp;" "&amp;$A74,'Expense Detail Old'!$H$4:$H$5179)</f>
        <v>-109.49</v>
      </c>
      <c r="W74" s="82">
        <f t="shared" si="142"/>
        <v>-74.489999999999995</v>
      </c>
      <c r="X74" s="46">
        <v>-35</v>
      </c>
      <c r="Y74" s="42">
        <f>SUMIF('Expense Detail Old'!$E$4:$E$5179,X$1&amp;" "&amp;$A74,'Expense Detail Old'!$H$4:$H$5179)</f>
        <v>0</v>
      </c>
      <c r="Z74" s="82">
        <f t="shared" si="143"/>
        <v>35</v>
      </c>
      <c r="AA74" s="46">
        <v>-35</v>
      </c>
      <c r="AB74" s="42">
        <f>SUMIF('Expense Detail Old'!$E$4:$E$5179,AA$1&amp;" "&amp;$A74,'Expense Detail Old'!$H$4:$H$5179)</f>
        <v>0</v>
      </c>
      <c r="AC74" s="82">
        <f t="shared" si="144"/>
        <v>35</v>
      </c>
      <c r="AD74" s="46">
        <v>-35</v>
      </c>
      <c r="AE74" s="42">
        <f>SUMIF('Expense Detail Old'!$E$4:$E$5179,AD$1&amp;" "&amp;$A74,'Expense Detail Old'!$H$4:$H$5179)</f>
        <v>0</v>
      </c>
      <c r="AF74" s="82">
        <f t="shared" si="145"/>
        <v>35</v>
      </c>
      <c r="AG74" s="46">
        <v>0</v>
      </c>
      <c r="AH74" s="42">
        <f>SUMIF('Expense Detail Old'!$E$4:$E$5179,AG$1&amp;" "&amp;$A74,'Expense Detail Old'!$H$4:$H$5179)</f>
        <v>0</v>
      </c>
      <c r="AI74" s="82">
        <f t="shared" si="146"/>
        <v>0</v>
      </c>
      <c r="AJ74" s="46">
        <v>0</v>
      </c>
      <c r="AK74" s="42">
        <f>SUMIF('Expense Detail Old'!$E$4:$E$5179,AJ$1&amp;" "&amp;$A74,'Expense Detail Old'!$H$4:$H$5179)</f>
        <v>0</v>
      </c>
      <c r="AL74" s="82">
        <f t="shared" si="147"/>
        <v>0</v>
      </c>
      <c r="AM74" s="90">
        <f t="shared" si="148"/>
        <v>-245</v>
      </c>
      <c r="AN74" s="93">
        <f t="shared" si="149"/>
        <v>-109.49</v>
      </c>
      <c r="AO74" s="82">
        <f t="shared" si="150"/>
        <v>135.51</v>
      </c>
    </row>
    <row r="75" spans="1:50">
      <c r="A75" s="18" t="s">
        <v>82</v>
      </c>
      <c r="B75" s="18" t="s">
        <v>136</v>
      </c>
      <c r="C75" s="41">
        <v>0</v>
      </c>
      <c r="D75" s="42">
        <f>SUMIF('Expense Detail Old'!$E$4:$E$5179,C$1&amp;" "&amp;$A75,'Expense Detail Old'!$H$4:$H$5179)</f>
        <v>0</v>
      </c>
      <c r="E75" s="82">
        <f t="shared" si="136"/>
        <v>0</v>
      </c>
      <c r="F75" s="44">
        <v>0</v>
      </c>
      <c r="G75" s="42">
        <f>SUMIF('Expense Detail Old'!$E$4:$E$5179,F$1&amp;" "&amp;$A75,'Expense Detail Old'!$H$4:$H$5179)</f>
        <v>0</v>
      </c>
      <c r="H75" s="82">
        <f t="shared" si="137"/>
        <v>0</v>
      </c>
      <c r="I75" s="45">
        <v>0</v>
      </c>
      <c r="J75" s="42">
        <f>SUMIF('Expense Detail Old'!$E$4:$E$5179,I$1&amp;" "&amp;$A75,'Expense Detail Old'!$H$4:$H$5179)</f>
        <v>0</v>
      </c>
      <c r="K75" s="82">
        <f t="shared" si="138"/>
        <v>0</v>
      </c>
      <c r="L75" s="46">
        <v>0</v>
      </c>
      <c r="M75" s="42">
        <f>SUMIF('Expense Detail Old'!$E$4:$E$5179,L$1&amp;" "&amp;$A75,'Expense Detail Old'!$H$4:$H$5179)</f>
        <v>0</v>
      </c>
      <c r="N75" s="82">
        <f t="shared" si="139"/>
        <v>0</v>
      </c>
      <c r="O75" s="46">
        <v>0</v>
      </c>
      <c r="P75" s="42">
        <f>SUMIF('Expense Detail Old'!$E$4:$E$5179,O$1&amp;" "&amp;$A75,'Expense Detail Old'!$H$4:$H$5179)</f>
        <v>0</v>
      </c>
      <c r="Q75" s="82">
        <f t="shared" si="140"/>
        <v>0</v>
      </c>
      <c r="R75" s="46">
        <v>0</v>
      </c>
      <c r="S75" s="42">
        <f>SUMIF('Expense Detail Old'!$E$4:$E$5179,R$1&amp;" "&amp;$A75,'Expense Detail Old'!$H$4:$H$5179)</f>
        <v>0</v>
      </c>
      <c r="T75" s="82">
        <f t="shared" si="141"/>
        <v>0</v>
      </c>
      <c r="U75" s="46">
        <v>0</v>
      </c>
      <c r="V75" s="42">
        <f>SUMIF('Expense Detail Old'!$E$4:$E$5179,U$1&amp;" "&amp;$A75,'Expense Detail Old'!$H$4:$H$5179)</f>
        <v>0</v>
      </c>
      <c r="W75" s="82">
        <f t="shared" si="142"/>
        <v>0</v>
      </c>
      <c r="X75" s="46">
        <v>0</v>
      </c>
      <c r="Y75" s="42">
        <f>SUMIF('Expense Detail Old'!$E$4:$E$5179,X$1&amp;" "&amp;$A75,'Expense Detail Old'!$H$4:$H$5179)</f>
        <v>0</v>
      </c>
      <c r="Z75" s="82">
        <f t="shared" si="143"/>
        <v>0</v>
      </c>
      <c r="AA75" s="46">
        <v>-100</v>
      </c>
      <c r="AB75" s="42">
        <f>SUMIF('Expense Detail Old'!$E$4:$E$5179,AA$1&amp;" "&amp;$A75,'Expense Detail Old'!$H$4:$H$5179)</f>
        <v>0</v>
      </c>
      <c r="AC75" s="82">
        <f t="shared" si="144"/>
        <v>100</v>
      </c>
      <c r="AD75" s="46"/>
      <c r="AE75" s="42">
        <f>SUMIF('Expense Detail Old'!$E$4:$E$5179,AD$1&amp;" "&amp;$A75,'Expense Detail Old'!$H$4:$H$5179)</f>
        <v>0</v>
      </c>
      <c r="AF75" s="82">
        <f t="shared" si="145"/>
        <v>0</v>
      </c>
      <c r="AG75" s="46">
        <v>0</v>
      </c>
      <c r="AH75" s="42">
        <f>SUMIF('Expense Detail Old'!$E$4:$E$5179,AG$1&amp;" "&amp;$A75,'Expense Detail Old'!$H$4:$H$5179)</f>
        <v>0</v>
      </c>
      <c r="AI75" s="82">
        <f t="shared" si="146"/>
        <v>0</v>
      </c>
      <c r="AJ75" s="46">
        <v>0</v>
      </c>
      <c r="AK75" s="42">
        <f>SUMIF('Expense Detail Old'!$E$4:$E$5179,AJ$1&amp;" "&amp;$A75,'Expense Detail Old'!$H$4:$H$5179)</f>
        <v>0</v>
      </c>
      <c r="AL75" s="82">
        <f t="shared" si="147"/>
        <v>0</v>
      </c>
      <c r="AM75" s="90">
        <f t="shared" si="148"/>
        <v>-100</v>
      </c>
      <c r="AN75" s="93">
        <f t="shared" si="149"/>
        <v>0</v>
      </c>
      <c r="AO75" s="82">
        <f t="shared" si="150"/>
        <v>100</v>
      </c>
    </row>
    <row r="76" spans="1:50">
      <c r="A76" s="18" t="s">
        <v>19</v>
      </c>
      <c r="B76" s="18" t="s">
        <v>136</v>
      </c>
      <c r="C76" s="41">
        <v>0</v>
      </c>
      <c r="D76" s="42">
        <f>SUMIF('Expense Detail Old'!$E$4:$E$5179,C$1&amp;" "&amp;$A76,'Expense Detail Old'!$H$4:$H$5179)</f>
        <v>-148</v>
      </c>
      <c r="E76" s="82">
        <f t="shared" si="136"/>
        <v>-148</v>
      </c>
      <c r="F76" s="44">
        <v>0</v>
      </c>
      <c r="G76" s="42">
        <f>SUMIF('Expense Detail Old'!$E$4:$E$5179,F$1&amp;" "&amp;$A76,'Expense Detail Old'!$H$4:$H$5179)</f>
        <v>-63.059999999999995</v>
      </c>
      <c r="H76" s="82">
        <f t="shared" si="137"/>
        <v>-63.059999999999995</v>
      </c>
      <c r="I76" s="45">
        <v>0</v>
      </c>
      <c r="J76" s="42">
        <f>SUMIF('Expense Detail Old'!$E$4:$E$5179,I$1&amp;" "&amp;$A76,'Expense Detail Old'!$H$4:$H$5179)</f>
        <v>-80.34</v>
      </c>
      <c r="K76" s="82">
        <f t="shared" si="138"/>
        <v>-80.34</v>
      </c>
      <c r="L76" s="46">
        <v>0</v>
      </c>
      <c r="M76" s="42">
        <f>SUMIF('Expense Detail Old'!$E$4:$E$5179,L$1&amp;" "&amp;$A76,'Expense Detail Old'!$H$4:$H$5179)</f>
        <v>-526.14</v>
      </c>
      <c r="N76" s="82">
        <f t="shared" si="139"/>
        <v>-526.14</v>
      </c>
      <c r="O76" s="46">
        <v>0</v>
      </c>
      <c r="P76" s="42">
        <f>SUMIF('Expense Detail Old'!$E$4:$E$5179,O$1&amp;" "&amp;$A76,'Expense Detail Old'!$H$4:$H$5179)</f>
        <v>179.24</v>
      </c>
      <c r="Q76" s="82">
        <f t="shared" si="140"/>
        <v>179.24</v>
      </c>
      <c r="R76" s="46">
        <v>0</v>
      </c>
      <c r="S76" s="42">
        <f>SUMIF('Expense Detail Old'!$E$4:$E$5179,R$1&amp;" "&amp;$A76,'Expense Detail Old'!$H$4:$H$5179)</f>
        <v>-839.65</v>
      </c>
      <c r="T76" s="82">
        <f t="shared" si="141"/>
        <v>-839.65</v>
      </c>
      <c r="U76" s="46">
        <v>0</v>
      </c>
      <c r="V76" s="42">
        <f>SUMIF('Expense Detail Old'!$E$4:$E$5179,U$1&amp;" "&amp;$A76,'Expense Detail Old'!$H$4:$H$5179)</f>
        <v>-10.64</v>
      </c>
      <c r="W76" s="82">
        <f t="shared" si="142"/>
        <v>-10.64</v>
      </c>
      <c r="X76" s="46">
        <v>0</v>
      </c>
      <c r="Y76" s="42">
        <f>SUMIF('Expense Detail Old'!$E$4:$E$5179,X$1&amp;" "&amp;$A76,'Expense Detail Old'!$H$4:$H$5179)</f>
        <v>-72.03</v>
      </c>
      <c r="Z76" s="82">
        <f t="shared" si="143"/>
        <v>-72.03</v>
      </c>
      <c r="AA76" s="46">
        <v>0</v>
      </c>
      <c r="AB76" s="42">
        <f>SUMIF('Expense Detail Old'!$E$4:$E$5179,AA$1&amp;" "&amp;$A76,'Expense Detail Old'!$H$4:$H$5179)</f>
        <v>0</v>
      </c>
      <c r="AC76" s="82">
        <f t="shared" si="144"/>
        <v>0</v>
      </c>
      <c r="AD76" s="46">
        <v>0</v>
      </c>
      <c r="AE76" s="42">
        <f>SUMIF('Expense Detail Old'!$E$4:$E$5179,AD$1&amp;" "&amp;$A76,'Expense Detail Old'!$H$4:$H$5179)</f>
        <v>0</v>
      </c>
      <c r="AF76" s="82">
        <f t="shared" si="145"/>
        <v>0</v>
      </c>
      <c r="AG76" s="46">
        <v>0</v>
      </c>
      <c r="AH76" s="42">
        <f>SUMIF('Expense Detail Old'!$E$4:$E$5179,AG$1&amp;" "&amp;$A76,'Expense Detail Old'!$H$4:$H$5179)</f>
        <v>0</v>
      </c>
      <c r="AI76" s="82">
        <f t="shared" si="146"/>
        <v>0</v>
      </c>
      <c r="AJ76" s="46">
        <v>0</v>
      </c>
      <c r="AK76" s="42">
        <f>SUMIF('Expense Detail Old'!$E$4:$E$5179,AJ$1&amp;" "&amp;$A76,'Expense Detail Old'!$H$4:$H$5179)</f>
        <v>0</v>
      </c>
      <c r="AL76" s="82">
        <f t="shared" si="147"/>
        <v>0</v>
      </c>
      <c r="AM76" s="90">
        <f t="shared" si="148"/>
        <v>0</v>
      </c>
      <c r="AN76" s="93">
        <f t="shared" si="149"/>
        <v>-1560.62</v>
      </c>
      <c r="AO76" s="82">
        <f t="shared" si="150"/>
        <v>-1560.62</v>
      </c>
    </row>
    <row r="77" spans="1:50" ht="16.5" thickBot="1">
      <c r="A77" s="177" t="s">
        <v>944</v>
      </c>
      <c r="B77" s="18" t="s">
        <v>136</v>
      </c>
      <c r="C77" s="101">
        <v>0</v>
      </c>
      <c r="D77" s="102">
        <f>SUMIF('Expense Detail Old'!$E$4:$E$5179,C$1&amp;" "&amp;$A77,'Expense Detail Old'!$H$4:$H$5179)</f>
        <v>0</v>
      </c>
      <c r="E77" s="103">
        <f t="shared" si="136"/>
        <v>0</v>
      </c>
      <c r="F77" s="44">
        <v>0</v>
      </c>
      <c r="G77" s="102">
        <f>SUMIF('Expense Detail Old'!$E$4:$E$5179,F$1&amp;" "&amp;$A77,'Expense Detail Old'!$H$4:$H$5179)</f>
        <v>0</v>
      </c>
      <c r="H77" s="82">
        <f t="shared" si="137"/>
        <v>0</v>
      </c>
      <c r="I77" s="45">
        <v>0</v>
      </c>
      <c r="J77" s="102">
        <f>SUMIF('Expense Detail Old'!$E$4:$E$5179,I$1&amp;" "&amp;$A77,'Expense Detail Old'!$H$4:$H$5179)</f>
        <v>0</v>
      </c>
      <c r="K77" s="82">
        <f t="shared" si="138"/>
        <v>0</v>
      </c>
      <c r="L77" s="46">
        <v>0</v>
      </c>
      <c r="M77" s="102">
        <f>SUMIF('Expense Detail Old'!$E$4:$E$5179,L$1&amp;" "&amp;$A77,'Expense Detail Old'!$H$4:$H$5179)</f>
        <v>0</v>
      </c>
      <c r="N77" s="82">
        <f t="shared" si="139"/>
        <v>0</v>
      </c>
      <c r="O77" s="46">
        <v>0</v>
      </c>
      <c r="P77" s="102">
        <f>SUMIF('Expense Detail Old'!$E$4:$E$5179,O$1&amp;" "&amp;$A77,'Expense Detail Old'!$H$4:$H$5179)</f>
        <v>0</v>
      </c>
      <c r="Q77" s="82">
        <f t="shared" si="140"/>
        <v>0</v>
      </c>
      <c r="R77" s="46">
        <v>0</v>
      </c>
      <c r="S77" s="42">
        <f>SUMIF('Expense Detail Old'!$E$4:$E$5179,R$1&amp;" "&amp;$A77,'Expense Detail Old'!$H$4:$H$5179)</f>
        <v>-341.51</v>
      </c>
      <c r="T77" s="82">
        <f t="shared" si="141"/>
        <v>-341.51</v>
      </c>
      <c r="U77" s="46">
        <v>0</v>
      </c>
      <c r="V77" s="42">
        <f>SUMIF('Expense Detail Old'!$E$4:$E$5179,U$1&amp;" "&amp;$A77,'Expense Detail Old'!$H$4:$H$5179)</f>
        <v>-229</v>
      </c>
      <c r="W77" s="82">
        <f t="shared" si="142"/>
        <v>-229</v>
      </c>
      <c r="X77" s="46">
        <v>0</v>
      </c>
      <c r="Y77" s="42">
        <f>SUMIF('Expense Detail Old'!$E$4:$E$5179,X$1&amp;" "&amp;$A77,'Expense Detail Old'!$H$4:$H$5179)</f>
        <v>0</v>
      </c>
      <c r="Z77" s="82">
        <f t="shared" si="143"/>
        <v>0</v>
      </c>
      <c r="AA77" s="46">
        <v>0</v>
      </c>
      <c r="AB77" s="102">
        <f>SUMIF('Expense Detail Old'!$E$4:$E$5179,AA$1&amp;" "&amp;$A77,'Expense Detail Old'!$H$4:$H$5179)</f>
        <v>0</v>
      </c>
      <c r="AC77" s="82">
        <f t="shared" si="144"/>
        <v>0</v>
      </c>
      <c r="AD77" s="46">
        <v>0</v>
      </c>
      <c r="AE77" s="102">
        <f>SUMIF('Expense Detail Old'!$E$4:$E$5179,AD$1&amp;" "&amp;$A77,'Expense Detail Old'!$H$4:$H$5179)</f>
        <v>0</v>
      </c>
      <c r="AF77" s="82">
        <f t="shared" si="145"/>
        <v>0</v>
      </c>
      <c r="AG77" s="46">
        <v>0</v>
      </c>
      <c r="AH77" s="102">
        <f>SUMIF('Expense Detail Old'!$E$4:$E$5179,AG$1&amp;" "&amp;$A77,'Expense Detail Old'!$H$4:$H$5179)</f>
        <v>0</v>
      </c>
      <c r="AI77" s="82">
        <f t="shared" si="146"/>
        <v>0</v>
      </c>
      <c r="AJ77" s="46">
        <v>0</v>
      </c>
      <c r="AK77" s="102">
        <f>SUMIF('Expense Detail Old'!$E$4:$E$5179,AJ$1&amp;" "&amp;$A77,'Expense Detail Old'!$H$4:$H$5179)</f>
        <v>0</v>
      </c>
      <c r="AL77" s="82">
        <f t="shared" si="147"/>
        <v>0</v>
      </c>
      <c r="AM77" s="90">
        <f t="shared" si="148"/>
        <v>0</v>
      </c>
      <c r="AN77" s="93">
        <f t="shared" si="149"/>
        <v>-570.51</v>
      </c>
      <c r="AO77" s="82">
        <f t="shared" si="150"/>
        <v>-570.51</v>
      </c>
    </row>
    <row r="78" spans="1:50" ht="16.5" thickBot="1">
      <c r="A78" s="36"/>
      <c r="B78" s="36" t="s">
        <v>135</v>
      </c>
      <c r="C78" s="96">
        <f t="shared" ref="C78:AO78" si="151">SUM(C73:C77)</f>
        <v>-258.84900000000005</v>
      </c>
      <c r="D78" s="96">
        <f t="shared" si="151"/>
        <v>-425.36</v>
      </c>
      <c r="E78" s="96">
        <f t="shared" si="151"/>
        <v>-166.51099999999997</v>
      </c>
      <c r="F78" s="84">
        <f t="shared" si="151"/>
        <v>-261.774</v>
      </c>
      <c r="G78" s="96">
        <f t="shared" si="151"/>
        <v>-306.64</v>
      </c>
      <c r="H78" s="84">
        <f t="shared" si="151"/>
        <v>-44.866000000000007</v>
      </c>
      <c r="I78" s="84">
        <f t="shared" si="151"/>
        <v>-271.24200000000002</v>
      </c>
      <c r="J78" s="96">
        <f t="shared" si="151"/>
        <v>-80.34</v>
      </c>
      <c r="K78" s="84">
        <f t="shared" si="151"/>
        <v>190.90200000000002</v>
      </c>
      <c r="L78" s="84">
        <f t="shared" si="151"/>
        <v>-264.61699999999996</v>
      </c>
      <c r="M78" s="96">
        <f t="shared" si="151"/>
        <v>-526.14</v>
      </c>
      <c r="N78" s="84">
        <f t="shared" si="151"/>
        <v>-261.52300000000002</v>
      </c>
      <c r="O78" s="84">
        <f t="shared" si="151"/>
        <v>-199.79</v>
      </c>
      <c r="P78" s="96">
        <f t="shared" si="151"/>
        <v>179.24</v>
      </c>
      <c r="Q78" s="84">
        <f t="shared" si="151"/>
        <v>379.03</v>
      </c>
      <c r="R78" s="84">
        <f t="shared" si="151"/>
        <v>-177.36200000000002</v>
      </c>
      <c r="S78" s="84">
        <f t="shared" si="151"/>
        <v>-1181.1599999999999</v>
      </c>
      <c r="T78" s="84">
        <f t="shared" si="151"/>
        <v>-1003.798</v>
      </c>
      <c r="U78" s="84">
        <f t="shared" si="151"/>
        <v>-193.89500000000001</v>
      </c>
      <c r="V78" s="84">
        <f t="shared" si="151"/>
        <v>-349.13</v>
      </c>
      <c r="W78" s="84">
        <f t="shared" si="151"/>
        <v>-155.23499999999999</v>
      </c>
      <c r="X78" s="84">
        <f t="shared" si="151"/>
        <v>-35</v>
      </c>
      <c r="Y78" s="84">
        <f t="shared" si="151"/>
        <v>-72.03</v>
      </c>
      <c r="Z78" s="84">
        <f t="shared" si="151"/>
        <v>-37.03</v>
      </c>
      <c r="AA78" s="84">
        <f t="shared" si="151"/>
        <v>-135</v>
      </c>
      <c r="AB78" s="96">
        <f t="shared" si="151"/>
        <v>0</v>
      </c>
      <c r="AC78" s="84">
        <f t="shared" si="151"/>
        <v>135</v>
      </c>
      <c r="AD78" s="84">
        <f t="shared" si="151"/>
        <v>-307.637</v>
      </c>
      <c r="AE78" s="96">
        <f t="shared" si="151"/>
        <v>0</v>
      </c>
      <c r="AF78" s="84">
        <f t="shared" si="151"/>
        <v>307.637</v>
      </c>
      <c r="AG78" s="84">
        <f t="shared" si="151"/>
        <v>-313.11</v>
      </c>
      <c r="AH78" s="96">
        <f t="shared" si="151"/>
        <v>0</v>
      </c>
      <c r="AI78" s="84">
        <f t="shared" si="151"/>
        <v>313.11</v>
      </c>
      <c r="AJ78" s="84">
        <f t="shared" si="151"/>
        <v>-130.5</v>
      </c>
      <c r="AK78" s="96">
        <f t="shared" si="151"/>
        <v>0</v>
      </c>
      <c r="AL78" s="84">
        <f t="shared" si="151"/>
        <v>130.5</v>
      </c>
      <c r="AM78" s="84">
        <f t="shared" si="151"/>
        <v>-2548.7759999999998</v>
      </c>
      <c r="AN78" s="84">
        <f t="shared" si="151"/>
        <v>-2761.5600000000004</v>
      </c>
      <c r="AO78" s="84">
        <f t="shared" si="151"/>
        <v>-212.78400000000011</v>
      </c>
    </row>
    <row r="79" spans="1:50" ht="24.75" thickTop="1" thickBot="1">
      <c r="A79" s="275" t="s">
        <v>137</v>
      </c>
      <c r="B79" s="276"/>
      <c r="C79" s="38"/>
      <c r="D79" s="47"/>
      <c r="E79" s="49"/>
      <c r="F79" s="48"/>
      <c r="G79" s="47"/>
      <c r="H79" s="49"/>
      <c r="I79" s="48"/>
      <c r="J79" s="47"/>
      <c r="K79" s="49"/>
      <c r="L79" s="48"/>
      <c r="M79" s="47"/>
      <c r="N79" s="49"/>
      <c r="O79" s="48"/>
      <c r="P79" s="47"/>
      <c r="Q79" s="49"/>
      <c r="R79" s="48"/>
      <c r="S79" s="47"/>
      <c r="T79" s="49"/>
      <c r="U79" s="48"/>
      <c r="V79" s="47"/>
      <c r="W79" s="49"/>
      <c r="X79" s="48"/>
      <c r="Y79" s="47"/>
      <c r="Z79" s="49"/>
      <c r="AA79" s="48"/>
      <c r="AB79" s="47"/>
      <c r="AC79" s="49"/>
      <c r="AD79" s="48"/>
      <c r="AE79" s="47"/>
      <c r="AF79" s="49"/>
      <c r="AG79" s="48"/>
      <c r="AH79" s="47"/>
      <c r="AI79" s="49"/>
      <c r="AJ79" s="48"/>
      <c r="AK79" s="47"/>
      <c r="AL79" s="49"/>
      <c r="AM79" s="48"/>
      <c r="AN79" s="47"/>
      <c r="AO79" s="49"/>
    </row>
    <row r="80" spans="1:50">
      <c r="A80" s="18" t="s">
        <v>557</v>
      </c>
      <c r="B80" s="18" t="s">
        <v>138</v>
      </c>
      <c r="C80" s="98">
        <v>-12</v>
      </c>
      <c r="D80" s="99">
        <f>SUMIF('Expense Detail Old'!$E$4:$E$5179,C$1&amp;" "&amp;$A80,'Expense Detail Old'!$H$4:$H$5179)</f>
        <v>-360.19</v>
      </c>
      <c r="E80" s="100">
        <f t="shared" ref="E80" si="152">D80-C80</f>
        <v>-348.19</v>
      </c>
      <c r="F80" s="44">
        <v>-12</v>
      </c>
      <c r="G80" s="99">
        <f>SUMIF('Expense Detail Old'!$E$4:$E$5179,F$1&amp;" "&amp;$A80,'Expense Detail Old'!$H$4:$H$5179)</f>
        <v>0</v>
      </c>
      <c r="H80" s="100">
        <f t="shared" ref="H80:H85" si="153">G80-F80</f>
        <v>12</v>
      </c>
      <c r="I80" s="45">
        <v>-12</v>
      </c>
      <c r="J80" s="99">
        <f>SUMIF('Expense Detail Old'!$E$4:$E$5179,I$1&amp;" "&amp;$A80,'Expense Detail Old'!$H$4:$H$5179)</f>
        <v>0</v>
      </c>
      <c r="K80" s="100">
        <f t="shared" ref="K80:K85" si="154">J80-I80</f>
        <v>12</v>
      </c>
      <c r="L80" s="46">
        <v>-42</v>
      </c>
      <c r="M80" s="99">
        <f>SUMIF('Expense Detail Old'!$E$4:$E$5179,L$1&amp;" "&amp;$A80,'Expense Detail Old'!$H$4:$H$5179)</f>
        <v>0</v>
      </c>
      <c r="N80" s="100">
        <f t="shared" ref="N80:N85" si="155">M80-L80</f>
        <v>42</v>
      </c>
      <c r="O80" s="46">
        <v>-12</v>
      </c>
      <c r="P80" s="99">
        <f>SUMIF('Expense Detail Old'!$E$4:$E$5179,O$1&amp;" "&amp;$A80,'Expense Detail Old'!$H$4:$H$5179)</f>
        <v>-94</v>
      </c>
      <c r="Q80" s="100">
        <f t="shared" ref="Q80:Q85" si="156">P80-O80</f>
        <v>-82</v>
      </c>
      <c r="R80" s="46">
        <v>-12</v>
      </c>
      <c r="S80" s="99">
        <f>SUMIF('Expense Detail Old'!$E$4:$E$5179,R$1&amp;" "&amp;$A80,'Expense Detail Old'!$H$4:$H$5179)</f>
        <v>-34.730000000000004</v>
      </c>
      <c r="T80" s="100">
        <f t="shared" ref="T80:T85" si="157">S80-R80</f>
        <v>-22.730000000000004</v>
      </c>
      <c r="U80" s="46">
        <v>-12</v>
      </c>
      <c r="V80" s="99">
        <f>SUMIF('Expense Detail Old'!$E$4:$E$5179,U$1&amp;" "&amp;$A80,'Expense Detail Old'!$H$4:$H$5179)</f>
        <v>0</v>
      </c>
      <c r="W80" s="100">
        <f t="shared" ref="W80:W85" si="158">V80-U80</f>
        <v>12</v>
      </c>
      <c r="X80" s="46">
        <v>-12</v>
      </c>
      <c r="Y80" s="99">
        <f>SUMIF('Expense Detail Old'!$E$4:$E$5179,X$1&amp;" "&amp;$A80,'Expense Detail Old'!$H$4:$H$5179)</f>
        <v>0</v>
      </c>
      <c r="Z80" s="100">
        <f t="shared" ref="Z80:Z85" si="159">Y80-X80</f>
        <v>12</v>
      </c>
      <c r="AA80" s="46">
        <v>-12</v>
      </c>
      <c r="AB80" s="99">
        <f>SUMIF('Expense Detail Old'!$E$4:$E$5179,AA$1&amp;" "&amp;$A80,'Expense Detail Old'!$H$4:$H$5179)</f>
        <v>0</v>
      </c>
      <c r="AC80" s="100">
        <f t="shared" ref="AC80:AC85" si="160">AB80-AA80</f>
        <v>12</v>
      </c>
      <c r="AD80" s="46">
        <v>-42</v>
      </c>
      <c r="AE80" s="99">
        <f>SUMIF('Expense Detail Old'!$E$4:$E$5179,AD$1&amp;" "&amp;$A80,'Expense Detail Old'!$H$4:$H$5179)</f>
        <v>0</v>
      </c>
      <c r="AF80" s="100">
        <f t="shared" ref="AF80:AF85" si="161">AE80-AD80</f>
        <v>42</v>
      </c>
      <c r="AG80" s="46">
        <v>-12</v>
      </c>
      <c r="AH80" s="99">
        <f>SUMIF('Expense Detail Old'!$E$4:$E$5179,AG$1&amp;" "&amp;$A80,'Expense Detail Old'!$H$4:$H$5179)</f>
        <v>0</v>
      </c>
      <c r="AI80" s="100">
        <f t="shared" ref="AI80:AI85" si="162">AH80-AG80</f>
        <v>12</v>
      </c>
      <c r="AJ80" s="46">
        <v>-12</v>
      </c>
      <c r="AK80" s="99">
        <f>SUMIF('Expense Detail Old'!$E$4:$E$5179,AJ$1&amp;" "&amp;$A80,'Expense Detail Old'!$H$4:$H$5179)</f>
        <v>0</v>
      </c>
      <c r="AL80" s="100">
        <f t="shared" ref="AL80:AL85" si="163">AK80-AJ80</f>
        <v>12</v>
      </c>
      <c r="AM80" s="90">
        <f t="shared" ref="AM80:AM85" si="164">SUM(C80,F80,I80,L80,O80,R80,U80,X80,AA80,AD80,AG80,AJ80)</f>
        <v>-204</v>
      </c>
      <c r="AN80" s="93">
        <f t="shared" ref="AN80:AN85" si="165">SUM(D80,G80,J80,M80,P80,S80,V80,Y80,AB80,AE80,AH80,AK80)</f>
        <v>-488.92</v>
      </c>
      <c r="AO80" s="100">
        <f t="shared" ref="AO80:AO85" si="166">AN80-AM80</f>
        <v>-284.92</v>
      </c>
    </row>
    <row r="81" spans="1:50">
      <c r="A81" s="18" t="s">
        <v>558</v>
      </c>
      <c r="B81" s="18" t="s">
        <v>138</v>
      </c>
      <c r="C81" s="41">
        <v>-80</v>
      </c>
      <c r="D81" s="42">
        <f>SUMIF('Expense Detail Old'!$E$4:$E$5179,C$1&amp;" "&amp;$A81,'Expense Detail Old'!$H$4:$H$5179)</f>
        <v>-50.1</v>
      </c>
      <c r="E81" s="82">
        <f t="shared" ref="E81:E85" si="167">D81-C81</f>
        <v>29.9</v>
      </c>
      <c r="F81" s="44">
        <v>-120</v>
      </c>
      <c r="G81" s="42">
        <f>SUMIF('Expense Detail Old'!$E$4:$E$5179,F$1&amp;" "&amp;$A81,'Expense Detail Old'!$H$4:$H$5179)</f>
        <v>-83.76</v>
      </c>
      <c r="H81" s="82">
        <f t="shared" si="153"/>
        <v>36.239999999999995</v>
      </c>
      <c r="I81" s="45">
        <v>-120</v>
      </c>
      <c r="J81" s="42">
        <f>SUMIF('Expense Detail Old'!$E$4:$E$5179,I$1&amp;" "&amp;$A81,'Expense Detail Old'!$H$4:$H$5179)</f>
        <v>0</v>
      </c>
      <c r="K81" s="82">
        <f t="shared" si="154"/>
        <v>120</v>
      </c>
      <c r="L81" s="46">
        <v>-120</v>
      </c>
      <c r="M81" s="42">
        <f>SUMIF('Expense Detail Old'!$E$4:$E$5179,L$1&amp;" "&amp;$A81,'Expense Detail Old'!$H$4:$H$5179)</f>
        <v>-11.6</v>
      </c>
      <c r="N81" s="82">
        <f t="shared" si="155"/>
        <v>108.4</v>
      </c>
      <c r="O81" s="46">
        <v>-120</v>
      </c>
      <c r="P81" s="42">
        <f>SUMIF('Expense Detail Old'!$E$4:$E$5179,O$1&amp;" "&amp;$A81,'Expense Detail Old'!$H$4:$H$5179)</f>
        <v>0</v>
      </c>
      <c r="Q81" s="82">
        <f t="shared" si="156"/>
        <v>120</v>
      </c>
      <c r="R81" s="46">
        <v>-120</v>
      </c>
      <c r="S81" s="42">
        <f>SUMIF('Expense Detail Old'!$E$4:$E$5179,R$1&amp;" "&amp;$A81,'Expense Detail Old'!$H$4:$H$5179)</f>
        <v>-66.44</v>
      </c>
      <c r="T81" s="82">
        <f t="shared" si="157"/>
        <v>53.56</v>
      </c>
      <c r="U81" s="46">
        <v>-120</v>
      </c>
      <c r="V81" s="42">
        <f>SUMIF('Expense Detail Old'!$E$4:$E$5179,U$1&amp;" "&amp;$A81,'Expense Detail Old'!$H$4:$H$5179)</f>
        <v>-73.650000000000006</v>
      </c>
      <c r="W81" s="82">
        <f t="shared" si="158"/>
        <v>46.349999999999994</v>
      </c>
      <c r="X81" s="46">
        <v>-120</v>
      </c>
      <c r="Y81" s="42">
        <f>SUMIF('Expense Detail Old'!$E$4:$E$5179,X$1&amp;" "&amp;$A81,'Expense Detail Old'!$H$4:$H$5179)</f>
        <v>0</v>
      </c>
      <c r="Z81" s="82">
        <f t="shared" si="159"/>
        <v>120</v>
      </c>
      <c r="AA81" s="46">
        <v>-120</v>
      </c>
      <c r="AB81" s="42">
        <f>SUMIF('Expense Detail Old'!$E$4:$E$5179,AA$1&amp;" "&amp;$A81,'Expense Detail Old'!$H$4:$H$5179)</f>
        <v>0</v>
      </c>
      <c r="AC81" s="82">
        <f t="shared" si="160"/>
        <v>120</v>
      </c>
      <c r="AD81" s="46">
        <v>-120</v>
      </c>
      <c r="AE81" s="42">
        <f>SUMIF('Expense Detail Old'!$E$4:$E$5179,AD$1&amp;" "&amp;$A81,'Expense Detail Old'!$H$4:$H$5179)</f>
        <v>0</v>
      </c>
      <c r="AF81" s="82">
        <f t="shared" si="161"/>
        <v>120</v>
      </c>
      <c r="AG81" s="46">
        <v>-120</v>
      </c>
      <c r="AH81" s="42">
        <f>SUMIF('Expense Detail Old'!$E$4:$E$5179,AG$1&amp;" "&amp;$A81,'Expense Detail Old'!$H$4:$H$5179)</f>
        <v>0</v>
      </c>
      <c r="AI81" s="82">
        <f t="shared" si="162"/>
        <v>120</v>
      </c>
      <c r="AJ81" s="46">
        <v>-120</v>
      </c>
      <c r="AK81" s="42">
        <f>SUMIF('Expense Detail Old'!$E$4:$E$5179,AJ$1&amp;" "&amp;$A81,'Expense Detail Old'!$H$4:$H$5179)</f>
        <v>0</v>
      </c>
      <c r="AL81" s="82">
        <f t="shared" si="163"/>
        <v>120</v>
      </c>
      <c r="AM81" s="90">
        <f t="shared" si="164"/>
        <v>-1400</v>
      </c>
      <c r="AN81" s="93">
        <f t="shared" si="165"/>
        <v>-285.55</v>
      </c>
      <c r="AO81" s="82">
        <f t="shared" si="166"/>
        <v>1114.45</v>
      </c>
    </row>
    <row r="82" spans="1:50">
      <c r="A82" s="18" t="s">
        <v>559</v>
      </c>
      <c r="B82" s="18" t="s">
        <v>138</v>
      </c>
      <c r="C82" s="41">
        <v>0</v>
      </c>
      <c r="D82" s="42">
        <f>SUMIF('Expense Detail Old'!$E$4:$E$5179,C$1&amp;" "&amp;$A82,'Expense Detail Old'!$H$4:$H$5179)</f>
        <v>0</v>
      </c>
      <c r="E82" s="82">
        <f t="shared" si="167"/>
        <v>0</v>
      </c>
      <c r="F82" s="44">
        <v>0</v>
      </c>
      <c r="G82" s="42">
        <f>SUMIF('Expense Detail Old'!$E$4:$E$5179,F$1&amp;" "&amp;$A82,'Expense Detail Old'!$H$4:$H$5179)</f>
        <v>0</v>
      </c>
      <c r="H82" s="82">
        <f t="shared" si="153"/>
        <v>0</v>
      </c>
      <c r="I82" s="45">
        <v>0</v>
      </c>
      <c r="J82" s="42">
        <f>SUMIF('Expense Detail Old'!$E$4:$E$5179,I$1&amp;" "&amp;$A82,'Expense Detail Old'!$H$4:$H$5179)</f>
        <v>0</v>
      </c>
      <c r="K82" s="82">
        <f t="shared" si="154"/>
        <v>0</v>
      </c>
      <c r="L82" s="46">
        <v>0</v>
      </c>
      <c r="M82" s="42">
        <f>SUMIF('Expense Detail Old'!$E$4:$E$5179,L$1&amp;" "&amp;$A82,'Expense Detail Old'!$H$4:$H$5179)</f>
        <v>-124.78</v>
      </c>
      <c r="N82" s="82">
        <f t="shared" si="155"/>
        <v>-124.78</v>
      </c>
      <c r="O82" s="46">
        <v>-122</v>
      </c>
      <c r="P82" s="42">
        <f>SUMIF('Expense Detail Old'!$E$4:$E$5179,O$1&amp;" "&amp;$A82,'Expense Detail Old'!$H$4:$H$5179)</f>
        <v>0</v>
      </c>
      <c r="Q82" s="82">
        <f t="shared" si="156"/>
        <v>122</v>
      </c>
      <c r="R82" s="46">
        <v>0</v>
      </c>
      <c r="S82" s="42">
        <f>SUMIF('Expense Detail Old'!$E$4:$E$5179,R$1&amp;" "&amp;$A82,'Expense Detail Old'!$H$4:$H$5179)</f>
        <v>0</v>
      </c>
      <c r="T82" s="82">
        <f t="shared" si="157"/>
        <v>0</v>
      </c>
      <c r="U82" s="46">
        <v>0</v>
      </c>
      <c r="V82" s="42">
        <f>SUMIF('Expense Detail Old'!$E$4:$E$5179,U$1&amp;" "&amp;$A82,'Expense Detail Old'!$H$4:$H$5179)</f>
        <v>0</v>
      </c>
      <c r="W82" s="82">
        <f t="shared" si="158"/>
        <v>0</v>
      </c>
      <c r="X82" s="46">
        <v>0</v>
      </c>
      <c r="Y82" s="42">
        <f>SUMIF('Expense Detail Old'!$E$4:$E$5179,X$1&amp;" "&amp;$A82,'Expense Detail Old'!$H$4:$H$5179)</f>
        <v>0</v>
      </c>
      <c r="Z82" s="82">
        <f t="shared" si="159"/>
        <v>0</v>
      </c>
      <c r="AA82" s="46">
        <v>0</v>
      </c>
      <c r="AB82" s="42">
        <f>SUMIF('Expense Detail Old'!$E$4:$E$5179,AA$1&amp;" "&amp;$A82,'Expense Detail Old'!$H$4:$H$5179)</f>
        <v>0</v>
      </c>
      <c r="AC82" s="82">
        <f t="shared" si="160"/>
        <v>0</v>
      </c>
      <c r="AD82" s="46">
        <v>0</v>
      </c>
      <c r="AE82" s="42">
        <f>SUMIF('Expense Detail Old'!$E$4:$E$5179,AD$1&amp;" "&amp;$A82,'Expense Detail Old'!$H$4:$H$5179)</f>
        <v>0</v>
      </c>
      <c r="AF82" s="82">
        <f t="shared" si="161"/>
        <v>0</v>
      </c>
      <c r="AG82" s="46">
        <v>0</v>
      </c>
      <c r="AH82" s="42">
        <f>SUMIF('Expense Detail Old'!$E$4:$E$5179,AG$1&amp;" "&amp;$A82,'Expense Detail Old'!$H$4:$H$5179)</f>
        <v>0</v>
      </c>
      <c r="AI82" s="82">
        <f t="shared" si="162"/>
        <v>0</v>
      </c>
      <c r="AJ82" s="46">
        <v>0</v>
      </c>
      <c r="AK82" s="42">
        <f>SUMIF('Expense Detail Old'!$E$4:$E$5179,AJ$1&amp;" "&amp;$A82,'Expense Detail Old'!$H$4:$H$5179)</f>
        <v>0</v>
      </c>
      <c r="AL82" s="82">
        <f t="shared" si="163"/>
        <v>0</v>
      </c>
      <c r="AM82" s="90">
        <f t="shared" si="164"/>
        <v>-122</v>
      </c>
      <c r="AN82" s="93">
        <f t="shared" si="165"/>
        <v>-124.78</v>
      </c>
      <c r="AO82" s="82">
        <f t="shared" si="166"/>
        <v>-2.7800000000000011</v>
      </c>
    </row>
    <row r="83" spans="1:50" ht="16.5" thickBot="1">
      <c r="A83" s="18" t="s">
        <v>25</v>
      </c>
      <c r="B83" s="18" t="s">
        <v>138</v>
      </c>
      <c r="C83" s="41">
        <v>0</v>
      </c>
      <c r="D83" s="42">
        <f>SUMIF('Expense Detail Old'!$E$4:$E$5179,C$1&amp;" "&amp;$A83,'Expense Detail Old'!$H$4:$H$5179)</f>
        <v>0</v>
      </c>
      <c r="E83" s="82">
        <f t="shared" si="167"/>
        <v>0</v>
      </c>
      <c r="F83" s="44">
        <v>0</v>
      </c>
      <c r="G83" s="42">
        <f>SUMIF('Expense Detail Old'!$E$4:$E$5179,F$1&amp;" "&amp;$A83,'Expense Detail Old'!$H$4:$H$5179)</f>
        <v>0</v>
      </c>
      <c r="H83" s="82">
        <f t="shared" si="153"/>
        <v>0</v>
      </c>
      <c r="I83" s="45">
        <v>0</v>
      </c>
      <c r="J83" s="42">
        <f>SUMIF('Expense Detail Old'!$E$4:$E$5179,I$1&amp;" "&amp;$A83,'Expense Detail Old'!$H$4:$H$5179)</f>
        <v>0</v>
      </c>
      <c r="K83" s="82">
        <f t="shared" si="154"/>
        <v>0</v>
      </c>
      <c r="L83" s="46">
        <v>0</v>
      </c>
      <c r="M83" s="42">
        <f>SUMIF('Expense Detail Old'!$E$4:$E$5179,L$1&amp;" "&amp;$A83,'Expense Detail Old'!$H$4:$H$5179)</f>
        <v>0</v>
      </c>
      <c r="N83" s="82">
        <f t="shared" si="155"/>
        <v>0</v>
      </c>
      <c r="O83" s="46">
        <v>0</v>
      </c>
      <c r="P83" s="42">
        <f>SUMIF('Expense Detail Old'!$E$4:$E$5179,O$1&amp;" "&amp;$A83,'Expense Detail Old'!$H$4:$H$5179)</f>
        <v>0</v>
      </c>
      <c r="Q83" s="82">
        <f t="shared" si="156"/>
        <v>0</v>
      </c>
      <c r="R83" s="46">
        <v>0</v>
      </c>
      <c r="S83" s="42">
        <f>SUMIF('Expense Detail Old'!$E$4:$E$5179,R$1&amp;" "&amp;$A83,'Expense Detail Old'!$H$4:$H$5179)</f>
        <v>0</v>
      </c>
      <c r="T83" s="82">
        <f t="shared" si="157"/>
        <v>0</v>
      </c>
      <c r="U83" s="46">
        <v>0</v>
      </c>
      <c r="V83" s="42">
        <f>SUMIF('Expense Detail Old'!$E$4:$E$5179,U$1&amp;" "&amp;$A83,'Expense Detail Old'!$H$4:$H$5179)</f>
        <v>0</v>
      </c>
      <c r="W83" s="82">
        <f t="shared" si="158"/>
        <v>0</v>
      </c>
      <c r="X83" s="46">
        <v>0</v>
      </c>
      <c r="Y83" s="42">
        <f>SUMIF('Expense Detail Old'!$E$4:$E$5179,X$1&amp;" "&amp;$A83,'Expense Detail Old'!$H$4:$H$5179)</f>
        <v>0</v>
      </c>
      <c r="Z83" s="82">
        <f t="shared" si="159"/>
        <v>0</v>
      </c>
      <c r="AA83" s="46">
        <v>0</v>
      </c>
      <c r="AB83" s="42">
        <f>SUMIF('Expense Detail Old'!$E$4:$E$5179,AA$1&amp;" "&amp;$A83,'Expense Detail Old'!$H$4:$H$5179)</f>
        <v>0</v>
      </c>
      <c r="AC83" s="82">
        <f t="shared" si="160"/>
        <v>0</v>
      </c>
      <c r="AD83" s="46">
        <v>0</v>
      </c>
      <c r="AE83" s="42">
        <f>SUMIF('Expense Detail Old'!$E$4:$E$5179,AD$1&amp;" "&amp;$A83,'Expense Detail Old'!$H$4:$H$5179)</f>
        <v>0</v>
      </c>
      <c r="AF83" s="82">
        <f t="shared" si="161"/>
        <v>0</v>
      </c>
      <c r="AG83" s="46">
        <v>0</v>
      </c>
      <c r="AH83" s="42">
        <f>SUMIF('Expense Detail Old'!$E$4:$E$5179,AG$1&amp;" "&amp;$A83,'Expense Detail Old'!$H$4:$H$5179)</f>
        <v>0</v>
      </c>
      <c r="AI83" s="82">
        <f t="shared" si="162"/>
        <v>0</v>
      </c>
      <c r="AJ83" s="46">
        <v>0</v>
      </c>
      <c r="AK83" s="42">
        <f>SUMIF('Expense Detail Old'!$E$4:$E$5179,AJ$1&amp;" "&amp;$A83,'Expense Detail Old'!$H$4:$H$5179)</f>
        <v>0</v>
      </c>
      <c r="AL83" s="82">
        <f t="shared" si="163"/>
        <v>0</v>
      </c>
      <c r="AM83" s="90">
        <f t="shared" si="164"/>
        <v>0</v>
      </c>
      <c r="AN83" s="93">
        <f t="shared" si="165"/>
        <v>0</v>
      </c>
      <c r="AO83" s="82">
        <f t="shared" si="166"/>
        <v>0</v>
      </c>
    </row>
    <row r="84" spans="1:50">
      <c r="A84" s="18" t="s">
        <v>316</v>
      </c>
      <c r="B84" s="18" t="s">
        <v>138</v>
      </c>
      <c r="C84" s="98">
        <v>-506</v>
      </c>
      <c r="D84" s="99">
        <f>SUMIF('Expense Detail Old'!$E$4:$E$5179,C$1&amp;" "&amp;$A84,'Expense Detail Old'!$H$4:$H$5179)</f>
        <v>-506.5</v>
      </c>
      <c r="E84" s="100">
        <f>D84-C84</f>
        <v>-0.5</v>
      </c>
      <c r="F84" s="44">
        <v>-236.28</v>
      </c>
      <c r="G84" s="99">
        <f>SUMIF('Expense Detail Old'!$E$4:$E$5179,F$1&amp;" "&amp;$A84,'Expense Detail Old'!$H$4:$H$5179)</f>
        <v>0</v>
      </c>
      <c r="H84" s="100">
        <f>G84-F84</f>
        <v>236.28</v>
      </c>
      <c r="I84" s="45">
        <v>-236.28</v>
      </c>
      <c r="J84" s="99">
        <f>SUMIF('Expense Detail Old'!$E$4:$E$5179,I$1&amp;" "&amp;$A84,'Expense Detail Old'!$H$4:$H$5179)</f>
        <v>-332.36</v>
      </c>
      <c r="K84" s="100">
        <f>J84-I84</f>
        <v>-96.080000000000013</v>
      </c>
      <c r="L84" s="46">
        <v>-236.28</v>
      </c>
      <c r="M84" s="99">
        <f>SUMIF('Expense Detail Old'!$E$4:$E$5179,L$1&amp;" "&amp;$A84,'Expense Detail Old'!$H$4:$H$5179)</f>
        <v>-296.47000000000003</v>
      </c>
      <c r="N84" s="100">
        <f>M84-L84</f>
        <v>-60.190000000000026</v>
      </c>
      <c r="O84" s="46">
        <v>-236.28</v>
      </c>
      <c r="P84" s="99">
        <f>SUMIF('Expense Detail Old'!$E$4:$E$5179,O$1&amp;" "&amp;$A84,'Expense Detail Old'!$H$4:$H$5179)</f>
        <v>-294.35000000000002</v>
      </c>
      <c r="Q84" s="100">
        <f>P84-O84</f>
        <v>-58.070000000000022</v>
      </c>
      <c r="R84" s="46">
        <v>-236.28</v>
      </c>
      <c r="S84" s="99">
        <f>SUMIF('Expense Detail Old'!$E$4:$E$5179,R$1&amp;" "&amp;$A84,'Expense Detail Old'!$H$4:$H$5179)</f>
        <v>-340.75</v>
      </c>
      <c r="T84" s="100">
        <f>S84-R84</f>
        <v>-104.47</v>
      </c>
      <c r="U84" s="46">
        <v>-236.28</v>
      </c>
      <c r="V84" s="99">
        <f>SUMIF('Expense Detail Old'!$E$4:$E$5179,U$1&amp;" "&amp;$A84,'Expense Detail Old'!$H$4:$H$5179)</f>
        <v>-294.35000000000002</v>
      </c>
      <c r="W84" s="100">
        <f>V84-U84</f>
        <v>-58.070000000000022</v>
      </c>
      <c r="X84" s="46">
        <v>-236.28</v>
      </c>
      <c r="Y84" s="99">
        <f>SUMIF('Expense Detail Old'!$E$4:$E$5179,X$1&amp;" "&amp;$A84,'Expense Detail Old'!$H$4:$H$5179)</f>
        <v>0</v>
      </c>
      <c r="Z84" s="100">
        <f>Y84-X84</f>
        <v>236.28</v>
      </c>
      <c r="AA84" s="46">
        <v>-236.28</v>
      </c>
      <c r="AB84" s="99">
        <f>SUMIF('Expense Detail Old'!$E$4:$E$5179,AA$1&amp;" "&amp;$A84,'Expense Detail Old'!$H$4:$H$5179)</f>
        <v>0</v>
      </c>
      <c r="AC84" s="100">
        <f>AB84-AA84</f>
        <v>236.28</v>
      </c>
      <c r="AD84" s="46">
        <v>-236.28</v>
      </c>
      <c r="AE84" s="99">
        <f>SUMIF('Expense Detail Old'!$E$4:$E$5179,AD$1&amp;" "&amp;$A84,'Expense Detail Old'!$H$4:$H$5179)</f>
        <v>0</v>
      </c>
      <c r="AF84" s="100">
        <f>AE84-AD84</f>
        <v>236.28</v>
      </c>
      <c r="AG84" s="46">
        <v>-236.28</v>
      </c>
      <c r="AH84" s="99">
        <f>SUMIF('Expense Detail Old'!$E$4:$E$5179,AG$1&amp;" "&amp;$A84,'Expense Detail Old'!$H$4:$H$5179)</f>
        <v>0</v>
      </c>
      <c r="AI84" s="100">
        <f>AH84-AG84</f>
        <v>236.28</v>
      </c>
      <c r="AJ84" s="46">
        <v>-236.28</v>
      </c>
      <c r="AK84" s="99">
        <f>SUMIF('Expense Detail Old'!$E$4:$E$5179,AJ$1&amp;" "&amp;$A84,'Expense Detail Old'!$H$4:$H$5179)</f>
        <v>0</v>
      </c>
      <c r="AL84" s="100">
        <f>AK84-AJ84</f>
        <v>236.28</v>
      </c>
      <c r="AM84" s="90">
        <f>SUM(C84,F84,I84,L84,O84,R84,U84,X84,AA84,AD84,AG84,AJ84)</f>
        <v>-3105.0800000000008</v>
      </c>
      <c r="AN84" s="93">
        <f>SUM(D84,G84,J84,M84,P84,S84,V84,Y84,AB84,AE84,AH84,AK84)</f>
        <v>-2064.7799999999997</v>
      </c>
      <c r="AO84" s="100">
        <f>AN84-AM84</f>
        <v>1040.3000000000011</v>
      </c>
    </row>
    <row r="85" spans="1:50" ht="16.5" thickBot="1">
      <c r="A85" s="18" t="s">
        <v>560</v>
      </c>
      <c r="B85" s="18" t="s">
        <v>138</v>
      </c>
      <c r="C85" s="101">
        <v>0</v>
      </c>
      <c r="D85" s="102">
        <f>SUMIF('Expense Detail Old'!$E$4:$E$5179,C$1&amp;" "&amp;$A85,'Expense Detail Old'!$H$4:$H$5179)</f>
        <v>0</v>
      </c>
      <c r="E85" s="103">
        <f t="shared" si="167"/>
        <v>0</v>
      </c>
      <c r="F85" s="42">
        <v>0</v>
      </c>
      <c r="G85" s="102">
        <f>SUMIF('Expense Detail Old'!$E$4:$E$5179,F$1&amp;" "&amp;$A85,'Expense Detail Old'!$H$4:$H$5179)</f>
        <v>0</v>
      </c>
      <c r="H85" s="82">
        <f t="shared" si="153"/>
        <v>0</v>
      </c>
      <c r="I85" s="42">
        <v>0</v>
      </c>
      <c r="J85" s="102">
        <f>SUMIF('Expense Detail Old'!$E$4:$E$5179,I$1&amp;" "&amp;$A85,'Expense Detail Old'!$H$4:$H$5179)</f>
        <v>0</v>
      </c>
      <c r="K85" s="82">
        <f t="shared" si="154"/>
        <v>0</v>
      </c>
      <c r="L85" s="42">
        <v>0</v>
      </c>
      <c r="M85" s="102">
        <f>SUMIF('Expense Detail Old'!$E$4:$E$5179,L$1&amp;" "&amp;$A85,'Expense Detail Old'!$H$4:$H$5179)</f>
        <v>0</v>
      </c>
      <c r="N85" s="82">
        <f t="shared" si="155"/>
        <v>0</v>
      </c>
      <c r="O85" s="42">
        <v>0</v>
      </c>
      <c r="P85" s="102">
        <f>SUMIF('Expense Detail Old'!$E$4:$E$5179,O$1&amp;" "&amp;$A85,'Expense Detail Old'!$H$4:$H$5179)</f>
        <v>-2861.9300000000003</v>
      </c>
      <c r="Q85" s="82">
        <f t="shared" si="156"/>
        <v>-2861.9300000000003</v>
      </c>
      <c r="R85" s="42">
        <v>0</v>
      </c>
      <c r="S85" s="42">
        <f>SUMIF('Expense Detail Old'!$E$4:$E$5179,R$1&amp;" "&amp;$A85,'Expense Detail Old'!$H$4:$H$5179)</f>
        <v>0</v>
      </c>
      <c r="T85" s="82">
        <f t="shared" si="157"/>
        <v>0</v>
      </c>
      <c r="U85" s="42">
        <v>0</v>
      </c>
      <c r="V85" s="42">
        <f>SUMIF('Expense Detail Old'!$E$4:$E$5179,U$1&amp;" "&amp;$A85,'Expense Detail Old'!$H$4:$H$5179)</f>
        <v>0</v>
      </c>
      <c r="W85" s="82">
        <f t="shared" si="158"/>
        <v>0</v>
      </c>
      <c r="X85" s="42">
        <v>0</v>
      </c>
      <c r="Y85" s="42">
        <f>SUMIF('Expense Detail Old'!$E$4:$E$5179,X$1&amp;" "&amp;$A85,'Expense Detail Old'!$H$4:$H$5179)</f>
        <v>0</v>
      </c>
      <c r="Z85" s="82">
        <f t="shared" si="159"/>
        <v>0</v>
      </c>
      <c r="AA85" s="42">
        <v>0</v>
      </c>
      <c r="AB85" s="102">
        <f>SUMIF('Expense Detail Old'!$E$4:$E$5179,AA$1&amp;" "&amp;$A85,'Expense Detail Old'!$H$4:$H$5179)</f>
        <v>0</v>
      </c>
      <c r="AC85" s="82">
        <f t="shared" si="160"/>
        <v>0</v>
      </c>
      <c r="AD85" s="42">
        <v>0</v>
      </c>
      <c r="AE85" s="102">
        <f>SUMIF('Expense Detail Old'!$E$4:$E$5179,AD$1&amp;" "&amp;$A85,'Expense Detail Old'!$H$4:$H$5179)</f>
        <v>0</v>
      </c>
      <c r="AF85" s="82">
        <f t="shared" si="161"/>
        <v>0</v>
      </c>
      <c r="AG85" s="42">
        <v>0</v>
      </c>
      <c r="AH85" s="102">
        <f>SUMIF('Expense Detail Old'!$E$4:$E$5179,AG$1&amp;" "&amp;$A85,'Expense Detail Old'!$H$4:$H$5179)</f>
        <v>0</v>
      </c>
      <c r="AI85" s="82">
        <f t="shared" si="162"/>
        <v>0</v>
      </c>
      <c r="AJ85" s="42">
        <v>0</v>
      </c>
      <c r="AK85" s="102">
        <f>SUMIF('Expense Detail Old'!$E$4:$E$5179,AJ$1&amp;" "&amp;$A85,'Expense Detail Old'!$H$4:$H$5179)</f>
        <v>0</v>
      </c>
      <c r="AL85" s="82">
        <f t="shared" si="163"/>
        <v>0</v>
      </c>
      <c r="AM85" s="90">
        <f t="shared" si="164"/>
        <v>0</v>
      </c>
      <c r="AN85" s="93">
        <f t="shared" si="165"/>
        <v>-2861.9300000000003</v>
      </c>
      <c r="AO85" s="82">
        <f t="shared" si="166"/>
        <v>-2861.9300000000003</v>
      </c>
    </row>
    <row r="86" spans="1:50" ht="16.5" thickBot="1">
      <c r="A86" s="36"/>
      <c r="B86" s="36" t="s">
        <v>139</v>
      </c>
      <c r="C86" s="96">
        <f t="shared" ref="C86:AO86" si="168">SUM(C80:C85)</f>
        <v>-598</v>
      </c>
      <c r="D86" s="96">
        <f t="shared" si="168"/>
        <v>-916.79</v>
      </c>
      <c r="E86" s="96">
        <f t="shared" si="168"/>
        <v>-318.79000000000002</v>
      </c>
      <c r="F86" s="84">
        <f t="shared" si="168"/>
        <v>-368.28</v>
      </c>
      <c r="G86" s="96">
        <f t="shared" ref="G86" si="169">SUM(G80:G85)</f>
        <v>-83.76</v>
      </c>
      <c r="H86" s="84">
        <f t="shared" si="168"/>
        <v>284.52</v>
      </c>
      <c r="I86" s="84">
        <f t="shared" si="168"/>
        <v>-368.28</v>
      </c>
      <c r="J86" s="96">
        <f t="shared" ref="J86" si="170">SUM(J80:J85)</f>
        <v>-332.36</v>
      </c>
      <c r="K86" s="84">
        <f t="shared" si="168"/>
        <v>35.919999999999987</v>
      </c>
      <c r="L86" s="84">
        <f t="shared" si="168"/>
        <v>-398.28</v>
      </c>
      <c r="M86" s="96">
        <f t="shared" ref="M86" si="171">SUM(M80:M85)</f>
        <v>-432.85</v>
      </c>
      <c r="N86" s="84">
        <f t="shared" si="168"/>
        <v>-34.570000000000022</v>
      </c>
      <c r="O86" s="84">
        <f t="shared" si="168"/>
        <v>-490.28</v>
      </c>
      <c r="P86" s="96">
        <f t="shared" ref="P86" si="172">SUM(P80:P85)</f>
        <v>-3250.28</v>
      </c>
      <c r="Q86" s="84">
        <f t="shared" si="168"/>
        <v>-2760.0000000000005</v>
      </c>
      <c r="R86" s="84">
        <f t="shared" si="168"/>
        <v>-368.28</v>
      </c>
      <c r="S86" s="84">
        <f t="shared" si="168"/>
        <v>-441.92</v>
      </c>
      <c r="T86" s="84">
        <f t="shared" si="168"/>
        <v>-73.64</v>
      </c>
      <c r="U86" s="84">
        <f t="shared" si="168"/>
        <v>-368.28</v>
      </c>
      <c r="V86" s="84">
        <f t="shared" si="168"/>
        <v>-368</v>
      </c>
      <c r="W86" s="84">
        <f t="shared" si="168"/>
        <v>0.27999999999997272</v>
      </c>
      <c r="X86" s="84">
        <f t="shared" si="168"/>
        <v>-368.28</v>
      </c>
      <c r="Y86" s="84">
        <f t="shared" si="168"/>
        <v>0</v>
      </c>
      <c r="Z86" s="84">
        <f t="shared" si="168"/>
        <v>368.28</v>
      </c>
      <c r="AA86" s="84">
        <f t="shared" si="168"/>
        <v>-368.28</v>
      </c>
      <c r="AB86" s="96">
        <f t="shared" ref="AB86" si="173">SUM(AB80:AB85)</f>
        <v>0</v>
      </c>
      <c r="AC86" s="84">
        <f t="shared" si="168"/>
        <v>368.28</v>
      </c>
      <c r="AD86" s="84">
        <f t="shared" si="168"/>
        <v>-398.28</v>
      </c>
      <c r="AE86" s="96">
        <f t="shared" ref="AE86" si="174">SUM(AE80:AE85)</f>
        <v>0</v>
      </c>
      <c r="AF86" s="84">
        <f t="shared" si="168"/>
        <v>398.28</v>
      </c>
      <c r="AG86" s="84">
        <f t="shared" si="168"/>
        <v>-368.28</v>
      </c>
      <c r="AH86" s="96">
        <f t="shared" ref="AH86" si="175">SUM(AH80:AH85)</f>
        <v>0</v>
      </c>
      <c r="AI86" s="84">
        <f t="shared" si="168"/>
        <v>368.28</v>
      </c>
      <c r="AJ86" s="84">
        <f t="shared" si="168"/>
        <v>-368.28</v>
      </c>
      <c r="AK86" s="96">
        <f t="shared" ref="AK86" si="176">SUM(AK80:AK85)</f>
        <v>0</v>
      </c>
      <c r="AL86" s="84">
        <f t="shared" si="168"/>
        <v>368.28</v>
      </c>
      <c r="AM86" s="84">
        <f t="shared" si="168"/>
        <v>-4831.0800000000008</v>
      </c>
      <c r="AN86" s="84">
        <f t="shared" si="168"/>
        <v>-5825.96</v>
      </c>
      <c r="AO86" s="84">
        <f t="shared" si="168"/>
        <v>-994.8799999999992</v>
      </c>
    </row>
    <row r="87" spans="1:50" ht="24.75" thickTop="1" thickBot="1">
      <c r="A87" s="275" t="s">
        <v>142</v>
      </c>
      <c r="B87" s="276"/>
      <c r="C87" s="38"/>
      <c r="D87" s="47"/>
      <c r="E87" s="49"/>
      <c r="F87" s="48"/>
      <c r="G87" s="47"/>
      <c r="H87" s="49"/>
      <c r="I87" s="48"/>
      <c r="J87" s="47"/>
      <c r="K87" s="49"/>
      <c r="L87" s="48"/>
      <c r="M87" s="47"/>
      <c r="N87" s="49"/>
      <c r="O87" s="48"/>
      <c r="P87" s="47"/>
      <c r="Q87" s="49"/>
      <c r="R87" s="48"/>
      <c r="S87" s="47"/>
      <c r="T87" s="49"/>
      <c r="U87" s="48"/>
      <c r="V87" s="47"/>
      <c r="W87" s="49"/>
      <c r="X87" s="48"/>
      <c r="Y87" s="47"/>
      <c r="Z87" s="49"/>
      <c r="AA87" s="48"/>
      <c r="AB87" s="47"/>
      <c r="AC87" s="49"/>
      <c r="AD87" s="48"/>
      <c r="AE87" s="47"/>
      <c r="AF87" s="49"/>
      <c r="AG87" s="48"/>
      <c r="AH87" s="47"/>
      <c r="AI87" s="49"/>
      <c r="AJ87" s="48"/>
      <c r="AK87" s="47"/>
      <c r="AL87" s="49"/>
      <c r="AM87" s="48"/>
      <c r="AN87" s="47"/>
      <c r="AO87" s="49"/>
    </row>
    <row r="88" spans="1:50">
      <c r="A88" s="18" t="s">
        <v>130</v>
      </c>
      <c r="B88" s="18" t="s">
        <v>254</v>
      </c>
      <c r="C88" s="104">
        <v>-40</v>
      </c>
      <c r="D88" s="99">
        <f>SUMIF('Expense Detail Old'!$E$4:$E$5179,C$1&amp;" "&amp;$A88,'Expense Detail Old'!$H$4:$H$5179)</f>
        <v>-58.800000000000018</v>
      </c>
      <c r="E88" s="100">
        <f t="shared" ref="E88:E91" si="177">D88-C88</f>
        <v>-18.800000000000018</v>
      </c>
      <c r="F88" s="44">
        <v>-20</v>
      </c>
      <c r="G88" s="99">
        <f>SUMIF('Expense Detail Old'!$E$4:$E$5179,F$1&amp;" "&amp;$A88,'Expense Detail Old'!$H$4:$H$5179)</f>
        <v>-38.24</v>
      </c>
      <c r="H88" s="100">
        <f t="shared" ref="H88:H91" si="178">G88-F88</f>
        <v>-18.240000000000002</v>
      </c>
      <c r="I88" s="45">
        <v>-40</v>
      </c>
      <c r="J88" s="99">
        <f>SUMIF('Expense Detail Old'!$E$4:$E$5179,I$1&amp;" "&amp;$A88,'Expense Detail Old'!$H$4:$H$5179)</f>
        <v>0</v>
      </c>
      <c r="K88" s="100">
        <f t="shared" ref="K88:K91" si="179">J88-I88</f>
        <v>40</v>
      </c>
      <c r="L88" s="46">
        <v>-20</v>
      </c>
      <c r="M88" s="99">
        <f>SUMIF('Expense Detail Old'!$E$4:$E$5179,L$1&amp;" "&amp;$A88,'Expense Detail Old'!$H$4:$H$5179)</f>
        <v>-22.606666666666673</v>
      </c>
      <c r="N88" s="100">
        <f t="shared" ref="N88:N91" si="180">M88-L88</f>
        <v>-2.6066666666666727</v>
      </c>
      <c r="O88" s="46">
        <v>-40</v>
      </c>
      <c r="P88" s="99">
        <f>SUMIF('Expense Detail Old'!$E$4:$E$5179,O$1&amp;" "&amp;$A88,'Expense Detail Old'!$H$4:$H$5179)</f>
        <v>-42.713333333333352</v>
      </c>
      <c r="Q88" s="100">
        <f t="shared" ref="Q88:Q91" si="181">P88-O88</f>
        <v>-2.7133333333333525</v>
      </c>
      <c r="R88" s="46">
        <v>-20</v>
      </c>
      <c r="S88" s="99">
        <f>SUMIF('Expense Detail Old'!$E$4:$E$5179,R$1&amp;" "&amp;$A88,'Expense Detail Old'!$H$4:$H$5179)</f>
        <v>-42.480000000000018</v>
      </c>
      <c r="T88" s="100">
        <f t="shared" ref="T88:T91" si="182">S88-R88</f>
        <v>-22.480000000000018</v>
      </c>
      <c r="U88" s="46">
        <v>-40</v>
      </c>
      <c r="V88" s="99">
        <f>SUMIF('Expense Detail Old'!$E$4:$E$5179,U$1&amp;" "&amp;$A88,'Expense Detail Old'!$H$4:$H$5179)</f>
        <v>0</v>
      </c>
      <c r="W88" s="100">
        <f t="shared" ref="W88:W91" si="183">V88-U88</f>
        <v>40</v>
      </c>
      <c r="X88" s="46">
        <v>-20</v>
      </c>
      <c r="Y88" s="99">
        <f>SUMIF('Expense Detail Old'!$E$4:$E$5179,X$1&amp;" "&amp;$A88,'Expense Detail Old'!$H$4:$H$5179)</f>
        <v>0</v>
      </c>
      <c r="Z88" s="100">
        <f t="shared" ref="Z88:Z91" si="184">Y88-X88</f>
        <v>20</v>
      </c>
      <c r="AA88" s="46">
        <v>-40</v>
      </c>
      <c r="AB88" s="99">
        <f>SUMIF('Expense Detail Old'!$E$4:$E$5179,AA$1&amp;" "&amp;$A88,'Expense Detail Old'!$H$4:$H$5179)</f>
        <v>0</v>
      </c>
      <c r="AC88" s="100">
        <f t="shared" ref="AC88:AC91" si="185">AB88-AA88</f>
        <v>40</v>
      </c>
      <c r="AD88" s="46">
        <v>-20</v>
      </c>
      <c r="AE88" s="99">
        <f>SUMIF('Expense Detail Old'!$E$4:$E$5179,AD$1&amp;" "&amp;$A88,'Expense Detail Old'!$H$4:$H$5179)</f>
        <v>0</v>
      </c>
      <c r="AF88" s="100">
        <f t="shared" ref="AF88:AF91" si="186">AE88-AD88</f>
        <v>20</v>
      </c>
      <c r="AG88" s="46">
        <v>-40</v>
      </c>
      <c r="AH88" s="99">
        <f>SUMIF('Expense Detail Old'!$E$4:$E$5179,AG$1&amp;" "&amp;$A88,'Expense Detail Old'!$H$4:$H$5179)</f>
        <v>0</v>
      </c>
      <c r="AI88" s="100">
        <f t="shared" ref="AI88:AI91" si="187">AH88-AG88</f>
        <v>40</v>
      </c>
      <c r="AJ88" s="46">
        <v>-20</v>
      </c>
      <c r="AK88" s="99">
        <f>SUMIF('Expense Detail Old'!$E$4:$E$5179,AJ$1&amp;" "&amp;$A88,'Expense Detail Old'!$H$4:$H$5179)</f>
        <v>0</v>
      </c>
      <c r="AL88" s="100">
        <f t="shared" ref="AL88:AL91" si="188">AK88-AJ88</f>
        <v>20</v>
      </c>
      <c r="AM88" s="90">
        <f t="shared" ref="AM88:AM91" si="189">SUM(C88,F88,I88,L88,O88,R88,U88,X88,AA88,AD88,AG88,AJ88)</f>
        <v>-360</v>
      </c>
      <c r="AN88" s="93">
        <f t="shared" ref="AN88:AN91" si="190">SUM(D88,G88,J88,M88,P88,S88,V88,Y88,AB88,AE88,AH88,AK88)</f>
        <v>-204.84000000000006</v>
      </c>
      <c r="AO88" s="100">
        <f t="shared" ref="AO88:AO91" si="191">AN88-AM88</f>
        <v>155.15999999999994</v>
      </c>
    </row>
    <row r="89" spans="1:50">
      <c r="A89" s="18" t="s">
        <v>134</v>
      </c>
      <c r="B89" s="18" t="s">
        <v>254</v>
      </c>
      <c r="C89" s="77">
        <v>-50</v>
      </c>
      <c r="D89" s="42">
        <f>SUMIF('Expense Detail Old'!$E$4:$E$5179,C$1&amp;" "&amp;$A89,'Expense Detail Old'!$H$4:$H$5179)</f>
        <v>0</v>
      </c>
      <c r="E89" s="82">
        <f t="shared" si="177"/>
        <v>50</v>
      </c>
      <c r="F89" s="44">
        <v>0</v>
      </c>
      <c r="G89" s="42">
        <f>SUMIF('Expense Detail Old'!$E$4:$E$5179,F$1&amp;" "&amp;$A89,'Expense Detail Old'!$H$4:$H$5179)</f>
        <v>-73.489999999999995</v>
      </c>
      <c r="H89" s="82">
        <f t="shared" si="178"/>
        <v>-73.489999999999995</v>
      </c>
      <c r="I89" s="45">
        <v>0</v>
      </c>
      <c r="J89" s="42">
        <f>SUMIF('Expense Detail Old'!$E$4:$E$5179,I$1&amp;" "&amp;$A89,'Expense Detail Old'!$H$4:$H$5179)</f>
        <v>0</v>
      </c>
      <c r="K89" s="82">
        <f t="shared" si="179"/>
        <v>0</v>
      </c>
      <c r="L89" s="52">
        <v>-50</v>
      </c>
      <c r="M89" s="42">
        <f>SUMIF('Expense Detail Old'!$E$4:$E$5179,L$1&amp;" "&amp;$A89,'Expense Detail Old'!$H$4:$H$5179)</f>
        <v>0</v>
      </c>
      <c r="N89" s="82">
        <f t="shared" si="180"/>
        <v>50</v>
      </c>
      <c r="O89" s="46">
        <v>0</v>
      </c>
      <c r="P89" s="42">
        <f>SUMIF('Expense Detail Old'!$E$4:$E$5179,O$1&amp;" "&amp;$A89,'Expense Detail Old'!$H$4:$H$5179)</f>
        <v>0</v>
      </c>
      <c r="Q89" s="82">
        <f t="shared" si="181"/>
        <v>0</v>
      </c>
      <c r="R89" s="46">
        <v>0</v>
      </c>
      <c r="S89" s="42">
        <f>SUMIF('Expense Detail Old'!$E$4:$E$5179,R$1&amp;" "&amp;$A89,'Expense Detail Old'!$H$4:$H$5179)</f>
        <v>0</v>
      </c>
      <c r="T89" s="82">
        <f t="shared" si="182"/>
        <v>0</v>
      </c>
      <c r="U89" s="52">
        <v>-50</v>
      </c>
      <c r="V89" s="42">
        <f>SUMIF('Expense Detail Old'!$E$4:$E$5179,U$1&amp;" "&amp;$A89,'Expense Detail Old'!$H$4:$H$5179)</f>
        <v>0</v>
      </c>
      <c r="W89" s="82">
        <f t="shared" si="183"/>
        <v>50</v>
      </c>
      <c r="X89" s="46">
        <v>0</v>
      </c>
      <c r="Y89" s="42">
        <f>SUMIF('Expense Detail Old'!$E$4:$E$5179,X$1&amp;" "&amp;$A89,'Expense Detail Old'!$H$4:$H$5179)</f>
        <v>0</v>
      </c>
      <c r="Z89" s="82">
        <f t="shared" si="184"/>
        <v>0</v>
      </c>
      <c r="AA89" s="46">
        <v>0</v>
      </c>
      <c r="AB89" s="42">
        <f>SUMIF('Expense Detail Old'!$E$4:$E$5179,AA$1&amp;" "&amp;$A89,'Expense Detail Old'!$H$4:$H$5179)</f>
        <v>0</v>
      </c>
      <c r="AC89" s="82">
        <f t="shared" si="185"/>
        <v>0</v>
      </c>
      <c r="AD89" s="52">
        <v>-50</v>
      </c>
      <c r="AE89" s="42">
        <f>SUMIF('Expense Detail Old'!$E$4:$E$5179,AD$1&amp;" "&amp;$A89,'Expense Detail Old'!$H$4:$H$5179)</f>
        <v>0</v>
      </c>
      <c r="AF89" s="82">
        <f t="shared" si="186"/>
        <v>50</v>
      </c>
      <c r="AG89" s="46">
        <v>0</v>
      </c>
      <c r="AH89" s="42">
        <f>SUMIF('Expense Detail Old'!$E$4:$E$5179,AG$1&amp;" "&amp;$A89,'Expense Detail Old'!$H$4:$H$5179)</f>
        <v>0</v>
      </c>
      <c r="AI89" s="82">
        <f t="shared" si="187"/>
        <v>0</v>
      </c>
      <c r="AJ89" s="46">
        <v>0</v>
      </c>
      <c r="AK89" s="42">
        <f>SUMIF('Expense Detail Old'!$E$4:$E$5179,AJ$1&amp;" "&amp;$A89,'Expense Detail Old'!$H$4:$H$5179)</f>
        <v>0</v>
      </c>
      <c r="AL89" s="82">
        <f t="shared" si="188"/>
        <v>0</v>
      </c>
      <c r="AM89" s="90">
        <f t="shared" si="189"/>
        <v>-200</v>
      </c>
      <c r="AN89" s="93">
        <f t="shared" si="190"/>
        <v>-73.489999999999995</v>
      </c>
      <c r="AO89" s="82">
        <f t="shared" si="191"/>
        <v>126.51</v>
      </c>
      <c r="AP89" s="18"/>
      <c r="AR89" s="18"/>
      <c r="AS89" s="18"/>
      <c r="AT89" s="18"/>
      <c r="AU89" s="18"/>
      <c r="AV89" s="18"/>
      <c r="AW89" s="18"/>
      <c r="AX89" s="18"/>
    </row>
    <row r="90" spans="1:50">
      <c r="A90" s="18" t="s">
        <v>125</v>
      </c>
      <c r="B90" s="18" t="s">
        <v>254</v>
      </c>
      <c r="C90" s="77">
        <v>-80</v>
      </c>
      <c r="D90" s="42">
        <f>SUMIF('Expense Detail Old'!$E$4:$E$5179,C$1&amp;" "&amp;$A90,'Expense Detail Old'!$H$4:$H$5179)</f>
        <v>0</v>
      </c>
      <c r="E90" s="82">
        <f t="shared" si="177"/>
        <v>80</v>
      </c>
      <c r="F90" s="44">
        <v>0</v>
      </c>
      <c r="G90" s="42">
        <f>SUMIF('Expense Detail Old'!$E$4:$E$5179,F$1&amp;" "&amp;$A90,'Expense Detail Old'!$H$4:$H$5179)</f>
        <v>0</v>
      </c>
      <c r="H90" s="82">
        <f t="shared" si="178"/>
        <v>0</v>
      </c>
      <c r="I90" s="45">
        <v>0</v>
      </c>
      <c r="J90" s="42">
        <f>SUMIF('Expense Detail Old'!$E$4:$E$5179,I$1&amp;" "&amp;$A90,'Expense Detail Old'!$H$4:$H$5179)</f>
        <v>0</v>
      </c>
      <c r="K90" s="82">
        <f t="shared" si="179"/>
        <v>0</v>
      </c>
      <c r="L90" s="46">
        <v>0</v>
      </c>
      <c r="M90" s="42">
        <f>SUMIF('Expense Detail Old'!$E$4:$E$5179,L$1&amp;" "&amp;$A90,'Expense Detail Old'!$H$4:$H$5179)</f>
        <v>0</v>
      </c>
      <c r="N90" s="82">
        <f t="shared" si="180"/>
        <v>0</v>
      </c>
      <c r="O90" s="46">
        <v>-80</v>
      </c>
      <c r="P90" s="42">
        <f>SUMIF('Expense Detail Old'!$E$4:$E$5179,O$1&amp;" "&amp;$A90,'Expense Detail Old'!$H$4:$H$5179)</f>
        <v>0</v>
      </c>
      <c r="Q90" s="82">
        <f t="shared" si="181"/>
        <v>80</v>
      </c>
      <c r="R90" s="46">
        <v>0</v>
      </c>
      <c r="S90" s="42">
        <f>SUMIF('Expense Detail Old'!$E$4:$E$5179,R$1&amp;" "&amp;$A90,'Expense Detail Old'!$H$4:$H$5179)</f>
        <v>0</v>
      </c>
      <c r="T90" s="82">
        <f t="shared" si="182"/>
        <v>0</v>
      </c>
      <c r="U90" s="46">
        <v>0</v>
      </c>
      <c r="V90" s="42">
        <f>SUMIF('Expense Detail Old'!$E$4:$E$5179,U$1&amp;" "&amp;$A90,'Expense Detail Old'!$H$4:$H$5179)</f>
        <v>-114.12</v>
      </c>
      <c r="W90" s="82">
        <f t="shared" si="183"/>
        <v>-114.12</v>
      </c>
      <c r="X90" s="46">
        <v>0</v>
      </c>
      <c r="Y90" s="42">
        <f>SUMIF('Expense Detail Old'!$E$4:$E$5179,X$1&amp;" "&amp;$A90,'Expense Detail Old'!$H$4:$H$5179)</f>
        <v>0</v>
      </c>
      <c r="Z90" s="82">
        <f t="shared" si="184"/>
        <v>0</v>
      </c>
      <c r="AA90" s="46">
        <v>-80</v>
      </c>
      <c r="AB90" s="42">
        <f>SUMIF('Expense Detail Old'!$E$4:$E$5179,AA$1&amp;" "&amp;$A90,'Expense Detail Old'!$H$4:$H$5179)</f>
        <v>0</v>
      </c>
      <c r="AC90" s="82">
        <f t="shared" si="185"/>
        <v>80</v>
      </c>
      <c r="AD90" s="46">
        <v>0</v>
      </c>
      <c r="AE90" s="42">
        <f>SUMIF('Expense Detail Old'!$E$4:$E$5179,AD$1&amp;" "&amp;$A90,'Expense Detail Old'!$H$4:$H$5179)</f>
        <v>0</v>
      </c>
      <c r="AF90" s="82">
        <f t="shared" si="186"/>
        <v>0</v>
      </c>
      <c r="AG90" s="46">
        <v>0</v>
      </c>
      <c r="AH90" s="42">
        <f>SUMIF('Expense Detail Old'!$E$4:$E$5179,AG$1&amp;" "&amp;$A90,'Expense Detail Old'!$H$4:$H$5179)</f>
        <v>0</v>
      </c>
      <c r="AI90" s="82">
        <f t="shared" si="187"/>
        <v>0</v>
      </c>
      <c r="AJ90" s="46">
        <v>0</v>
      </c>
      <c r="AK90" s="42">
        <f>SUMIF('Expense Detail Old'!$E$4:$E$5179,AJ$1&amp;" "&amp;$A90,'Expense Detail Old'!$H$4:$H$5179)</f>
        <v>0</v>
      </c>
      <c r="AL90" s="82">
        <f t="shared" si="188"/>
        <v>0</v>
      </c>
      <c r="AM90" s="90">
        <f t="shared" si="189"/>
        <v>-240</v>
      </c>
      <c r="AN90" s="93">
        <f t="shared" si="190"/>
        <v>-114.12</v>
      </c>
      <c r="AO90" s="82">
        <f t="shared" si="191"/>
        <v>125.88</v>
      </c>
    </row>
    <row r="91" spans="1:50" ht="16.5" thickBot="1">
      <c r="A91" s="18" t="s">
        <v>257</v>
      </c>
      <c r="B91" s="18" t="s">
        <v>254</v>
      </c>
      <c r="C91" s="137">
        <v>0</v>
      </c>
      <c r="D91" s="102">
        <f>SUMIF('Expense Detail Old'!$E$4:$E$5179,C$1&amp;" "&amp;$A91,'Expense Detail Old'!$H$4:$H$5179)</f>
        <v>0</v>
      </c>
      <c r="E91" s="103">
        <f t="shared" si="177"/>
        <v>0</v>
      </c>
      <c r="F91" s="44">
        <v>0</v>
      </c>
      <c r="G91" s="102">
        <f>SUMIF('Expense Detail Old'!$E$4:$E$5179,F$1&amp;" "&amp;$A91,'Expense Detail Old'!$H$4:$H$5179)</f>
        <v>0</v>
      </c>
      <c r="H91" s="82">
        <f t="shared" si="178"/>
        <v>0</v>
      </c>
      <c r="I91" s="45">
        <v>0</v>
      </c>
      <c r="J91" s="102">
        <f>SUMIF('Expense Detail Old'!$E$4:$E$5179,I$1&amp;" "&amp;$A91,'Expense Detail Old'!$H$4:$H$5179)</f>
        <v>0</v>
      </c>
      <c r="K91" s="82">
        <f t="shared" si="179"/>
        <v>0</v>
      </c>
      <c r="L91" s="46">
        <v>0</v>
      </c>
      <c r="M91" s="102">
        <f>SUMIF('Expense Detail Old'!$E$4:$E$5179,L$1&amp;" "&amp;$A91,'Expense Detail Old'!$H$4:$H$5179)</f>
        <v>0</v>
      </c>
      <c r="N91" s="82">
        <f t="shared" si="180"/>
        <v>0</v>
      </c>
      <c r="O91" s="46">
        <v>0</v>
      </c>
      <c r="P91" s="102">
        <f>SUMIF('Expense Detail Old'!$E$4:$E$5179,O$1&amp;" "&amp;$A91,'Expense Detail Old'!$H$4:$H$5179)</f>
        <v>0</v>
      </c>
      <c r="Q91" s="82">
        <f t="shared" si="181"/>
        <v>0</v>
      </c>
      <c r="R91" s="46">
        <v>0</v>
      </c>
      <c r="S91" s="42">
        <f>SUMIF('Expense Detail Old'!$E$4:$E$5179,R$1&amp;" "&amp;$A91,'Expense Detail Old'!$H$4:$H$5179)</f>
        <v>0</v>
      </c>
      <c r="T91" s="82">
        <f t="shared" si="182"/>
        <v>0</v>
      </c>
      <c r="U91" s="46">
        <v>0</v>
      </c>
      <c r="V91" s="42">
        <f>SUMIF('Expense Detail Old'!$E$4:$E$5179,U$1&amp;" "&amp;$A91,'Expense Detail Old'!$H$4:$H$5179)</f>
        <v>0</v>
      </c>
      <c r="W91" s="82">
        <f t="shared" si="183"/>
        <v>0</v>
      </c>
      <c r="X91" s="46">
        <v>0</v>
      </c>
      <c r="Y91" s="42">
        <f>SUMIF('Expense Detail Old'!$E$4:$E$5179,X$1&amp;" "&amp;$A91,'Expense Detail Old'!$H$4:$H$5179)</f>
        <v>0</v>
      </c>
      <c r="Z91" s="82">
        <f t="shared" si="184"/>
        <v>0</v>
      </c>
      <c r="AA91" s="46">
        <v>0</v>
      </c>
      <c r="AB91" s="102">
        <f>SUMIF('Expense Detail Old'!$E$4:$E$5179,AA$1&amp;" "&amp;$A91,'Expense Detail Old'!$H$4:$H$5179)</f>
        <v>0</v>
      </c>
      <c r="AC91" s="82">
        <f t="shared" si="185"/>
        <v>0</v>
      </c>
      <c r="AD91" s="46">
        <v>0</v>
      </c>
      <c r="AE91" s="102">
        <f>SUMIF('Expense Detail Old'!$E$4:$E$5179,AD$1&amp;" "&amp;$A91,'Expense Detail Old'!$H$4:$H$5179)</f>
        <v>0</v>
      </c>
      <c r="AF91" s="82">
        <f t="shared" si="186"/>
        <v>0</v>
      </c>
      <c r="AG91" s="46">
        <v>0</v>
      </c>
      <c r="AH91" s="102">
        <f>SUMIF('Expense Detail Old'!$E$4:$E$5179,AG$1&amp;" "&amp;$A91,'Expense Detail Old'!$H$4:$H$5179)</f>
        <v>0</v>
      </c>
      <c r="AI91" s="82">
        <f t="shared" si="187"/>
        <v>0</v>
      </c>
      <c r="AJ91" s="46">
        <v>0</v>
      </c>
      <c r="AK91" s="102">
        <f>SUMIF('Expense Detail Old'!$E$4:$E$5179,AJ$1&amp;" "&amp;$A91,'Expense Detail Old'!$H$4:$H$5179)</f>
        <v>0</v>
      </c>
      <c r="AL91" s="82">
        <f t="shared" si="188"/>
        <v>0</v>
      </c>
      <c r="AM91" s="90">
        <f t="shared" si="189"/>
        <v>0</v>
      </c>
      <c r="AN91" s="93">
        <f t="shared" si="190"/>
        <v>0</v>
      </c>
      <c r="AO91" s="82">
        <f t="shared" si="191"/>
        <v>0</v>
      </c>
    </row>
    <row r="92" spans="1:50" ht="16.5" thickBot="1">
      <c r="A92" s="36"/>
      <c r="B92" s="36" t="s">
        <v>143</v>
      </c>
      <c r="C92" s="136">
        <f t="shared" ref="C92:AM92" si="192">SUM(C88:C91)</f>
        <v>-170</v>
      </c>
      <c r="D92" s="96">
        <f t="shared" si="192"/>
        <v>-58.800000000000018</v>
      </c>
      <c r="E92" s="96">
        <f>SUM(E88:E91)</f>
        <v>111.19999999999999</v>
      </c>
      <c r="F92" s="114">
        <f t="shared" si="192"/>
        <v>-20</v>
      </c>
      <c r="G92" s="96">
        <f t="shared" ref="G92" si="193">SUM(G88:G91)</f>
        <v>-111.72999999999999</v>
      </c>
      <c r="H92" s="84">
        <f>SUM(H88:H91)</f>
        <v>-91.72999999999999</v>
      </c>
      <c r="I92" s="114">
        <f t="shared" si="192"/>
        <v>-40</v>
      </c>
      <c r="J92" s="96">
        <f t="shared" ref="J92" si="194">SUM(J88:J91)</f>
        <v>0</v>
      </c>
      <c r="K92" s="84">
        <f>SUM(K88:K91)</f>
        <v>40</v>
      </c>
      <c r="L92" s="114">
        <f t="shared" si="192"/>
        <v>-70</v>
      </c>
      <c r="M92" s="96">
        <f t="shared" ref="M92" si="195">SUM(M88:M91)</f>
        <v>-22.606666666666673</v>
      </c>
      <c r="N92" s="84">
        <f>SUM(N88:N91)</f>
        <v>47.393333333333331</v>
      </c>
      <c r="O92" s="114">
        <f t="shared" si="192"/>
        <v>-120</v>
      </c>
      <c r="P92" s="96">
        <f t="shared" ref="P92" si="196">SUM(P88:P91)</f>
        <v>-42.713333333333352</v>
      </c>
      <c r="Q92" s="84">
        <f>SUM(Q88:Q91)</f>
        <v>77.286666666666648</v>
      </c>
      <c r="R92" s="114">
        <f t="shared" si="192"/>
        <v>-20</v>
      </c>
      <c r="S92" s="84">
        <f t="shared" ref="S92" si="197">SUM(S88:S91)</f>
        <v>-42.480000000000018</v>
      </c>
      <c r="T92" s="84">
        <f>SUM(T88:T91)</f>
        <v>-22.480000000000018</v>
      </c>
      <c r="U92" s="114">
        <f t="shared" si="192"/>
        <v>-90</v>
      </c>
      <c r="V92" s="84">
        <f t="shared" ref="V92" si="198">SUM(V88:V91)</f>
        <v>-114.12</v>
      </c>
      <c r="W92" s="84">
        <f>SUM(W88:W91)</f>
        <v>-24.120000000000005</v>
      </c>
      <c r="X92" s="114">
        <f t="shared" si="192"/>
        <v>-20</v>
      </c>
      <c r="Y92" s="84">
        <f t="shared" ref="Y92" si="199">SUM(Y88:Y91)</f>
        <v>0</v>
      </c>
      <c r="Z92" s="84">
        <f>SUM(Z88:Z91)</f>
        <v>20</v>
      </c>
      <c r="AA92" s="114">
        <f t="shared" si="192"/>
        <v>-120</v>
      </c>
      <c r="AB92" s="96">
        <f t="shared" ref="AB92" si="200">SUM(AB88:AB91)</f>
        <v>0</v>
      </c>
      <c r="AC92" s="84">
        <f>SUM(AC88:AC91)</f>
        <v>120</v>
      </c>
      <c r="AD92" s="114">
        <f t="shared" si="192"/>
        <v>-70</v>
      </c>
      <c r="AE92" s="96">
        <f t="shared" ref="AE92" si="201">SUM(AE88:AE91)</f>
        <v>0</v>
      </c>
      <c r="AF92" s="84">
        <f>SUM(AF88:AF91)</f>
        <v>70</v>
      </c>
      <c r="AG92" s="114">
        <f t="shared" si="192"/>
        <v>-40</v>
      </c>
      <c r="AH92" s="96">
        <f t="shared" ref="AH92" si="202">SUM(AH88:AH91)</f>
        <v>0</v>
      </c>
      <c r="AI92" s="84">
        <f>SUM(AI88:AI91)</f>
        <v>40</v>
      </c>
      <c r="AJ92" s="114">
        <f t="shared" si="192"/>
        <v>-20</v>
      </c>
      <c r="AK92" s="96">
        <f t="shared" ref="AK92" si="203">SUM(AK88:AK91)</f>
        <v>0</v>
      </c>
      <c r="AL92" s="84">
        <f>SUM(AL88:AL91)</f>
        <v>20</v>
      </c>
      <c r="AM92" s="114">
        <f t="shared" si="192"/>
        <v>-800</v>
      </c>
      <c r="AN92" s="84">
        <f t="shared" ref="AN92" si="204">SUM(AN88:AN91)</f>
        <v>-392.45000000000005</v>
      </c>
      <c r="AO92" s="84">
        <f>SUM(AO88:AO91)</f>
        <v>407.54999999999995</v>
      </c>
    </row>
    <row r="93" spans="1:50" ht="24.75" thickTop="1" thickBot="1">
      <c r="A93" s="277" t="s">
        <v>343</v>
      </c>
      <c r="B93" s="278"/>
      <c r="C93" s="38"/>
      <c r="D93" s="47"/>
      <c r="E93" s="49"/>
      <c r="F93" s="48"/>
      <c r="G93" s="47"/>
      <c r="H93" s="49"/>
      <c r="I93" s="48"/>
      <c r="J93" s="47"/>
      <c r="K93" s="49"/>
      <c r="L93" s="48"/>
      <c r="M93" s="47"/>
      <c r="N93" s="49"/>
      <c r="O93" s="48"/>
      <c r="P93" s="47"/>
      <c r="Q93" s="49"/>
      <c r="R93" s="48"/>
      <c r="S93" s="47"/>
      <c r="T93" s="49"/>
      <c r="U93" s="48"/>
      <c r="V93" s="47"/>
      <c r="W93" s="49"/>
      <c r="X93" s="48"/>
      <c r="Y93" s="47"/>
      <c r="Z93" s="49"/>
      <c r="AA93" s="48"/>
      <c r="AB93" s="47"/>
      <c r="AC93" s="49"/>
      <c r="AD93" s="48"/>
      <c r="AE93" s="47"/>
      <c r="AF93" s="49"/>
      <c r="AG93" s="48"/>
      <c r="AH93" s="47"/>
      <c r="AI93" s="49"/>
      <c r="AJ93" s="48"/>
      <c r="AK93" s="47"/>
      <c r="AL93" s="49"/>
      <c r="AM93" s="48"/>
      <c r="AN93" s="47"/>
      <c r="AO93" s="49"/>
    </row>
    <row r="94" spans="1:50">
      <c r="A94" s="18" t="s">
        <v>21</v>
      </c>
      <c r="B94" s="18" t="s">
        <v>344</v>
      </c>
      <c r="C94" s="98">
        <v>-150</v>
      </c>
      <c r="D94" s="99">
        <f>SUMIF('Expense Detail Old'!$E$4:$E$5179,C$1&amp;" "&amp;$A94,'Expense Detail Old'!$H$4:$H$5179)</f>
        <v>-207.97</v>
      </c>
      <c r="E94" s="100">
        <f t="shared" ref="E94:E97" si="205">D94-C94</f>
        <v>-57.97</v>
      </c>
      <c r="F94" s="44">
        <v>-200</v>
      </c>
      <c r="G94" s="99">
        <f>SUMIF('Expense Detail Old'!$E$4:$E$5179,F$1&amp;" "&amp;$A94,'Expense Detail Old'!$H$4:$H$5179)</f>
        <v>-207.73</v>
      </c>
      <c r="H94" s="100">
        <f t="shared" ref="H94:H101" si="206">G94-F94</f>
        <v>-7.7299999999999898</v>
      </c>
      <c r="I94" s="45">
        <v>-200</v>
      </c>
      <c r="J94" s="99">
        <f>SUMIF('Expense Detail Old'!$E$4:$E$5179,I$1&amp;" "&amp;$A94,'Expense Detail Old'!$H$4:$H$5179)</f>
        <v>0</v>
      </c>
      <c r="K94" s="100">
        <f t="shared" ref="K94:K101" si="207">J94-I94</f>
        <v>200</v>
      </c>
      <c r="L94" s="46">
        <v>-200</v>
      </c>
      <c r="M94" s="99">
        <f>SUMIF('Expense Detail Old'!$E$4:$E$5179,L$1&amp;" "&amp;$A94,'Expense Detail Old'!$H$4:$H$5179)</f>
        <v>-469.43</v>
      </c>
      <c r="N94" s="100">
        <f t="shared" ref="N94:N101" si="208">M94-L94</f>
        <v>-269.43</v>
      </c>
      <c r="O94" s="46">
        <v>-200</v>
      </c>
      <c r="P94" s="99">
        <f>SUMIF('Expense Detail Old'!$E$4:$E$5179,O$1&amp;" "&amp;$A94,'Expense Detail Old'!$H$4:$H$5179)</f>
        <v>-190.98</v>
      </c>
      <c r="Q94" s="100">
        <f t="shared" ref="Q94:Q101" si="209">P94-O94</f>
        <v>9.0200000000000102</v>
      </c>
      <c r="R94" s="46">
        <v>-200</v>
      </c>
      <c r="S94" s="99">
        <f>SUMIF('Expense Detail Old'!$E$4:$E$5179,R$1&amp;" "&amp;$A94,'Expense Detail Old'!$H$4:$H$5179)</f>
        <v>-193.73250000000002</v>
      </c>
      <c r="T94" s="100">
        <f t="shared" ref="T94:T101" si="210">S94-R94</f>
        <v>6.2674999999999841</v>
      </c>
      <c r="U94" s="46">
        <v>-200</v>
      </c>
      <c r="V94" s="99">
        <f>SUMIF('Expense Detail Old'!$E$4:$E$5179,U$1&amp;" "&amp;$A94,'Expense Detail Old'!$H$4:$H$5179)</f>
        <v>-258.31</v>
      </c>
      <c r="W94" s="100">
        <f t="shared" ref="W94:W101" si="211">V94-U94</f>
        <v>-58.31</v>
      </c>
      <c r="X94" s="46">
        <v>-200</v>
      </c>
      <c r="Y94" s="99">
        <f>SUMIF('Expense Detail Old'!$E$4:$E$5179,X$1&amp;" "&amp;$A94,'Expense Detail Old'!$H$4:$H$5179)</f>
        <v>0</v>
      </c>
      <c r="Z94" s="100">
        <f t="shared" ref="Z94:Z101" si="212">Y94-X94</f>
        <v>200</v>
      </c>
      <c r="AA94" s="46">
        <v>-200</v>
      </c>
      <c r="AB94" s="99">
        <f>SUMIF('Expense Detail Old'!$E$4:$E$5179,AA$1&amp;" "&amp;$A94,'Expense Detail Old'!$H$4:$H$5179)</f>
        <v>0</v>
      </c>
      <c r="AC94" s="100">
        <f t="shared" ref="AC94:AC101" si="213">AB94-AA94</f>
        <v>200</v>
      </c>
      <c r="AD94" s="46">
        <v>-150</v>
      </c>
      <c r="AE94" s="99">
        <f>SUMIF('Expense Detail Old'!$E$4:$E$5179,AD$1&amp;" "&amp;$A94,'Expense Detail Old'!$H$4:$H$5179)</f>
        <v>0</v>
      </c>
      <c r="AF94" s="100">
        <f t="shared" ref="AF94:AF101" si="214">AE94-AD94</f>
        <v>150</v>
      </c>
      <c r="AG94" s="46">
        <v>-150</v>
      </c>
      <c r="AH94" s="99">
        <f>SUMIF('Expense Detail Old'!$E$4:$E$5179,AG$1&amp;" "&amp;$A94,'Expense Detail Old'!$H$4:$H$5179)</f>
        <v>0</v>
      </c>
      <c r="AI94" s="100">
        <f t="shared" ref="AI94:AI101" si="215">AH94-AG94</f>
        <v>150</v>
      </c>
      <c r="AJ94" s="46">
        <v>-150</v>
      </c>
      <c r="AK94" s="99">
        <f>SUMIF('Expense Detail Old'!$E$4:$E$5179,AJ$1&amp;" "&amp;$A94,'Expense Detail Old'!$H$4:$H$5179)</f>
        <v>0</v>
      </c>
      <c r="AL94" s="100">
        <f t="shared" ref="AL94:AL101" si="216">AK94-AJ94</f>
        <v>150</v>
      </c>
      <c r="AM94" s="90">
        <f t="shared" ref="AM94:AM101" si="217">SUM(C94,F94,I94,L94,O94,R94,U94,X94,AA94,AD94,AG94,AJ94)</f>
        <v>-2200</v>
      </c>
      <c r="AN94" s="93">
        <f t="shared" ref="AN94:AN101" si="218">SUM(D94,G94,J94,M94,P94,S94,V94,Y94,AB94,AE94,AH94,AK94)</f>
        <v>-1528.1524999999999</v>
      </c>
      <c r="AO94" s="100">
        <f t="shared" ref="AO94:AO101" si="219">AN94-AM94</f>
        <v>671.84750000000008</v>
      </c>
    </row>
    <row r="95" spans="1:50">
      <c r="A95" s="18" t="s">
        <v>35</v>
      </c>
      <c r="B95" s="18" t="s">
        <v>344</v>
      </c>
      <c r="C95" s="41">
        <v>-70</v>
      </c>
      <c r="D95" s="42">
        <f>SUMIF('Expense Detail Old'!$E$4:$E$5179,C$1&amp;" "&amp;$A95,'Expense Detail Old'!$H$4:$H$5179)</f>
        <v>-245.92</v>
      </c>
      <c r="E95" s="82">
        <f t="shared" si="205"/>
        <v>-175.92</v>
      </c>
      <c r="F95" s="44">
        <v>-77</v>
      </c>
      <c r="G95" s="42">
        <f>SUMIF('Expense Detail Old'!$E$4:$E$5179,F$1&amp;" "&amp;$A95,'Expense Detail Old'!$H$4:$H$5179)</f>
        <v>-96.07</v>
      </c>
      <c r="H95" s="82">
        <f t="shared" si="206"/>
        <v>-19.069999999999993</v>
      </c>
      <c r="I95" s="45">
        <v>-77</v>
      </c>
      <c r="J95" s="42">
        <f>SUMIF('Expense Detail Old'!$E$4:$E$5179,I$1&amp;" "&amp;$A95,'Expense Detail Old'!$H$4:$H$5179)</f>
        <v>-147</v>
      </c>
      <c r="K95" s="82">
        <f t="shared" si="207"/>
        <v>-70</v>
      </c>
      <c r="L95" s="46">
        <v>-77</v>
      </c>
      <c r="M95" s="42">
        <f>SUMIF('Expense Detail Old'!$E$4:$E$5179,L$1&amp;" "&amp;$A95,'Expense Detail Old'!$H$4:$H$5179)</f>
        <v>-105.95</v>
      </c>
      <c r="N95" s="82">
        <f t="shared" si="208"/>
        <v>-28.950000000000003</v>
      </c>
      <c r="O95" s="46">
        <v>-77</v>
      </c>
      <c r="P95" s="42">
        <f>SUMIF('Expense Detail Old'!$E$4:$E$5179,O$1&amp;" "&amp;$A95,'Expense Detail Old'!$H$4:$H$5179)</f>
        <v>-62.53</v>
      </c>
      <c r="Q95" s="82">
        <f t="shared" si="209"/>
        <v>14.469999999999999</v>
      </c>
      <c r="R95" s="46">
        <v>-77</v>
      </c>
      <c r="S95" s="42">
        <f>SUMIF('Expense Detail Old'!$E$4:$E$5179,R$1&amp;" "&amp;$A95,'Expense Detail Old'!$H$4:$H$5179)</f>
        <v>-291.35000000000002</v>
      </c>
      <c r="T95" s="82">
        <f t="shared" si="210"/>
        <v>-214.35000000000002</v>
      </c>
      <c r="U95" s="46">
        <v>-77</v>
      </c>
      <c r="V95" s="42">
        <f>SUMIF('Expense Detail Old'!$E$4:$E$5179,U$1&amp;" "&amp;$A95,'Expense Detail Old'!$H$4:$H$5179)</f>
        <v>-103.83</v>
      </c>
      <c r="W95" s="82">
        <f t="shared" si="211"/>
        <v>-26.83</v>
      </c>
      <c r="X95" s="46">
        <v>-77</v>
      </c>
      <c r="Y95" s="42">
        <f>SUMIF('Expense Detail Old'!$E$4:$E$5179,X$1&amp;" "&amp;$A95,'Expense Detail Old'!$H$4:$H$5179)</f>
        <v>0</v>
      </c>
      <c r="Z95" s="82">
        <f t="shared" si="212"/>
        <v>77</v>
      </c>
      <c r="AA95" s="46">
        <v>-77</v>
      </c>
      <c r="AB95" s="42">
        <f>SUMIF('Expense Detail Old'!$E$4:$E$5179,AA$1&amp;" "&amp;$A95,'Expense Detail Old'!$H$4:$H$5179)</f>
        <v>0</v>
      </c>
      <c r="AC95" s="82">
        <f t="shared" si="213"/>
        <v>77</v>
      </c>
      <c r="AD95" s="46">
        <v>-77</v>
      </c>
      <c r="AE95" s="42">
        <f>SUMIF('Expense Detail Old'!$E$4:$E$5179,AD$1&amp;" "&amp;$A95,'Expense Detail Old'!$H$4:$H$5179)</f>
        <v>0</v>
      </c>
      <c r="AF95" s="82">
        <f t="shared" si="214"/>
        <v>77</v>
      </c>
      <c r="AG95" s="46">
        <v>-77</v>
      </c>
      <c r="AH95" s="42">
        <f>SUMIF('Expense Detail Old'!$E$4:$E$5179,AG$1&amp;" "&amp;$A95,'Expense Detail Old'!$H$4:$H$5179)</f>
        <v>0</v>
      </c>
      <c r="AI95" s="82">
        <f t="shared" si="215"/>
        <v>77</v>
      </c>
      <c r="AJ95" s="46">
        <v>-77</v>
      </c>
      <c r="AK95" s="42">
        <f>SUMIF('Expense Detail Old'!$E$4:$E$5179,AJ$1&amp;" "&amp;$A95,'Expense Detail Old'!$H$4:$H$5179)</f>
        <v>0</v>
      </c>
      <c r="AL95" s="82">
        <f t="shared" si="216"/>
        <v>77</v>
      </c>
      <c r="AM95" s="90">
        <f t="shared" si="217"/>
        <v>-917</v>
      </c>
      <c r="AN95" s="93">
        <f t="shared" si="218"/>
        <v>-1052.6500000000001</v>
      </c>
      <c r="AO95" s="82">
        <f t="shared" si="219"/>
        <v>-135.65000000000009</v>
      </c>
    </row>
    <row r="96" spans="1:50">
      <c r="A96" s="18" t="s">
        <v>88</v>
      </c>
      <c r="B96" s="18" t="s">
        <v>344</v>
      </c>
      <c r="C96" s="41">
        <v>0</v>
      </c>
      <c r="D96" s="42">
        <f>SUMIF('Expense Detail Old'!$E$4:$E$5179,C$1&amp;" "&amp;$A96,'Expense Detail Old'!$H$4:$H$5179)</f>
        <v>-3.96</v>
      </c>
      <c r="E96" s="82">
        <f t="shared" si="205"/>
        <v>-3.96</v>
      </c>
      <c r="F96" s="44">
        <v>0</v>
      </c>
      <c r="G96" s="42">
        <f>SUMIF('Expense Detail Old'!$E$4:$E$5179,F$1&amp;" "&amp;$A96,'Expense Detail Old'!$H$4:$H$5179)</f>
        <v>-2.9699999999999998</v>
      </c>
      <c r="H96" s="82">
        <f t="shared" si="206"/>
        <v>-2.9699999999999998</v>
      </c>
      <c r="I96" s="45">
        <v>0</v>
      </c>
      <c r="J96" s="42">
        <f>SUMIF('Expense Detail Old'!$E$4:$E$5179,I$1&amp;" "&amp;$A96,'Expense Detail Old'!$H$4:$H$5179)</f>
        <v>-139.31</v>
      </c>
      <c r="K96" s="82">
        <f t="shared" si="207"/>
        <v>-139.31</v>
      </c>
      <c r="L96" s="46">
        <v>0</v>
      </c>
      <c r="M96" s="42">
        <f>SUMIF('Expense Detail Old'!$E$4:$E$5179,L$1&amp;" "&amp;$A96,'Expense Detail Old'!$H$4:$H$5179)</f>
        <v>-6.9600000000000009</v>
      </c>
      <c r="N96" s="82">
        <f t="shared" si="208"/>
        <v>-6.9600000000000009</v>
      </c>
      <c r="O96" s="46">
        <v>0</v>
      </c>
      <c r="P96" s="42">
        <f>SUMIF('Expense Detail Old'!$E$4:$E$5179,O$1&amp;" "&amp;$A96,'Expense Detail Old'!$H$4:$H$5179)</f>
        <v>-1.98</v>
      </c>
      <c r="Q96" s="82">
        <f t="shared" si="209"/>
        <v>-1.98</v>
      </c>
      <c r="R96" s="46">
        <v>0</v>
      </c>
      <c r="S96" s="42">
        <f>SUMIF('Expense Detail Old'!$E$4:$E$5179,R$1&amp;" "&amp;$A96,'Expense Detail Old'!$H$4:$H$5179)</f>
        <v>-56.95000000000001</v>
      </c>
      <c r="T96" s="82">
        <f t="shared" si="210"/>
        <v>-56.95000000000001</v>
      </c>
      <c r="U96" s="46">
        <v>0</v>
      </c>
      <c r="V96" s="42">
        <f>SUMIF('Expense Detail Old'!$E$4:$E$5179,U$1&amp;" "&amp;$A96,'Expense Detail Old'!$H$4:$H$5179)</f>
        <v>-4.0299999999999994</v>
      </c>
      <c r="W96" s="82">
        <f t="shared" si="211"/>
        <v>-4.0299999999999994</v>
      </c>
      <c r="X96" s="46">
        <v>0</v>
      </c>
      <c r="Y96" s="42">
        <f>SUMIF('Expense Detail Old'!$E$4:$E$5179,X$1&amp;" "&amp;$A96,'Expense Detail Old'!$H$4:$H$5179)</f>
        <v>0</v>
      </c>
      <c r="Z96" s="82">
        <f t="shared" si="212"/>
        <v>0</v>
      </c>
      <c r="AA96" s="46">
        <v>0</v>
      </c>
      <c r="AB96" s="42">
        <f>SUMIF('Expense Detail Old'!$E$4:$E$5179,AA$1&amp;" "&amp;$A96,'Expense Detail Old'!$H$4:$H$5179)</f>
        <v>0</v>
      </c>
      <c r="AC96" s="82">
        <f t="shared" si="213"/>
        <v>0</v>
      </c>
      <c r="AD96" s="46">
        <v>0</v>
      </c>
      <c r="AE96" s="42">
        <f>SUMIF('Expense Detail Old'!$E$4:$E$5179,AD$1&amp;" "&amp;$A96,'Expense Detail Old'!$H$4:$H$5179)</f>
        <v>0</v>
      </c>
      <c r="AF96" s="82">
        <f t="shared" si="214"/>
        <v>0</v>
      </c>
      <c r="AG96" s="46">
        <v>0</v>
      </c>
      <c r="AH96" s="42">
        <f>SUMIF('Expense Detail Old'!$E$4:$E$5179,AG$1&amp;" "&amp;$A96,'Expense Detail Old'!$H$4:$H$5179)</f>
        <v>0</v>
      </c>
      <c r="AI96" s="82">
        <f t="shared" si="215"/>
        <v>0</v>
      </c>
      <c r="AJ96" s="46">
        <v>0</v>
      </c>
      <c r="AK96" s="42">
        <f>SUMIF('Expense Detail Old'!$E$4:$E$5179,AJ$1&amp;" "&amp;$A96,'Expense Detail Old'!$H$4:$H$5179)</f>
        <v>0</v>
      </c>
      <c r="AL96" s="82">
        <f t="shared" si="216"/>
        <v>0</v>
      </c>
      <c r="AM96" s="90">
        <f t="shared" si="217"/>
        <v>0</v>
      </c>
      <c r="AN96" s="93">
        <f t="shared" si="218"/>
        <v>-216.16000000000003</v>
      </c>
      <c r="AO96" s="82">
        <f t="shared" si="219"/>
        <v>-216.16000000000003</v>
      </c>
    </row>
    <row r="97" spans="1:41">
      <c r="A97" s="18" t="s">
        <v>14</v>
      </c>
      <c r="B97" s="18" t="s">
        <v>344</v>
      </c>
      <c r="C97" s="41">
        <v>-12.99</v>
      </c>
      <c r="D97" s="42">
        <f>SUMIF('Expense Detail Old'!$E$4:$E$5179,C$1&amp;" "&amp;$A97,'Expense Detail Old'!$H$4:$H$5179)</f>
        <v>0</v>
      </c>
      <c r="E97" s="82">
        <f t="shared" si="205"/>
        <v>12.99</v>
      </c>
      <c r="F97" s="44">
        <v>-12.99</v>
      </c>
      <c r="G97" s="42">
        <f>SUMIF('Expense Detail Old'!$E$4:$E$5179,F$1&amp;" "&amp;$A97,'Expense Detail Old'!$H$4:$H$5179)</f>
        <v>0</v>
      </c>
      <c r="H97" s="82">
        <f t="shared" si="206"/>
        <v>12.99</v>
      </c>
      <c r="I97" s="45">
        <v>-12.99</v>
      </c>
      <c r="J97" s="42">
        <f>SUMIF('Expense Detail Old'!$E$4:$E$5179,I$1&amp;" "&amp;$A97,'Expense Detail Old'!$H$4:$H$5179)</f>
        <v>0</v>
      </c>
      <c r="K97" s="82">
        <f t="shared" si="207"/>
        <v>12.99</v>
      </c>
      <c r="L97" s="46">
        <v>-12.99</v>
      </c>
      <c r="M97" s="42">
        <f>SUMIF('Expense Detail Old'!$E$4:$E$5179,L$1&amp;" "&amp;$A97,'Expense Detail Old'!$H$4:$H$5179)</f>
        <v>0</v>
      </c>
      <c r="N97" s="82">
        <f t="shared" si="208"/>
        <v>12.99</v>
      </c>
      <c r="O97" s="46">
        <v>-12.99</v>
      </c>
      <c r="P97" s="42">
        <f>SUMIF('Expense Detail Old'!$E$4:$E$5179,O$1&amp;" "&amp;$A97,'Expense Detail Old'!$H$4:$H$5179)</f>
        <v>0</v>
      </c>
      <c r="Q97" s="82">
        <f t="shared" si="209"/>
        <v>12.99</v>
      </c>
      <c r="R97" s="46">
        <v>-12.99</v>
      </c>
      <c r="S97" s="42">
        <f>SUMIF('Expense Detail Old'!$E$4:$E$5179,R$1&amp;" "&amp;$A97,'Expense Detail Old'!$H$4:$H$5179)</f>
        <v>0</v>
      </c>
      <c r="T97" s="82">
        <f t="shared" si="210"/>
        <v>12.99</v>
      </c>
      <c r="U97" s="46">
        <v>-12.99</v>
      </c>
      <c r="V97" s="42">
        <f>SUMIF('Expense Detail Old'!$E$4:$E$5179,U$1&amp;" "&amp;$A97,'Expense Detail Old'!$H$4:$H$5179)</f>
        <v>0</v>
      </c>
      <c r="W97" s="82">
        <f t="shared" si="211"/>
        <v>12.99</v>
      </c>
      <c r="X97" s="46">
        <v>-12.99</v>
      </c>
      <c r="Y97" s="42">
        <f>SUMIF('Expense Detail Old'!$E$4:$E$5179,X$1&amp;" "&amp;$A97,'Expense Detail Old'!$H$4:$H$5179)</f>
        <v>0</v>
      </c>
      <c r="Z97" s="82">
        <f t="shared" si="212"/>
        <v>12.99</v>
      </c>
      <c r="AA97" s="46">
        <v>-12.99</v>
      </c>
      <c r="AB97" s="42">
        <f>SUMIF('Expense Detail Old'!$E$4:$E$5179,AA$1&amp;" "&amp;$A97,'Expense Detail Old'!$H$4:$H$5179)</f>
        <v>0</v>
      </c>
      <c r="AC97" s="82">
        <f t="shared" si="213"/>
        <v>12.99</v>
      </c>
      <c r="AD97" s="46">
        <v>-12.99</v>
      </c>
      <c r="AE97" s="42">
        <f>SUMIF('Expense Detail Old'!$E$4:$E$5179,AD$1&amp;" "&amp;$A97,'Expense Detail Old'!$H$4:$H$5179)</f>
        <v>0</v>
      </c>
      <c r="AF97" s="82">
        <f t="shared" si="214"/>
        <v>12.99</v>
      </c>
      <c r="AG97" s="46">
        <v>-12.99</v>
      </c>
      <c r="AH97" s="42">
        <f>SUMIF('Expense Detail Old'!$E$4:$E$5179,AG$1&amp;" "&amp;$A97,'Expense Detail Old'!$H$4:$H$5179)</f>
        <v>0</v>
      </c>
      <c r="AI97" s="82">
        <f t="shared" si="215"/>
        <v>12.99</v>
      </c>
      <c r="AJ97" s="46">
        <v>-12.99</v>
      </c>
      <c r="AK97" s="42">
        <f>SUMIF('Expense Detail Old'!$E$4:$E$5179,AJ$1&amp;" "&amp;$A97,'Expense Detail Old'!$H$4:$H$5179)</f>
        <v>0</v>
      </c>
      <c r="AL97" s="82">
        <f t="shared" si="216"/>
        <v>12.99</v>
      </c>
      <c r="AM97" s="90">
        <f t="shared" si="217"/>
        <v>-155.88</v>
      </c>
      <c r="AN97" s="93">
        <f t="shared" si="218"/>
        <v>0</v>
      </c>
      <c r="AO97" s="82">
        <f t="shared" si="219"/>
        <v>155.88</v>
      </c>
    </row>
    <row r="98" spans="1:41">
      <c r="A98" s="37" t="s">
        <v>131</v>
      </c>
      <c r="B98" s="18" t="s">
        <v>344</v>
      </c>
      <c r="C98" s="41">
        <v>-58</v>
      </c>
      <c r="D98" s="42">
        <f>SUMIF('Expense Detail Old'!$E$4:$E$5179,C$1&amp;" "&amp;$A98,'Expense Detail Old'!$H$4:$H$5179)</f>
        <v>0</v>
      </c>
      <c r="E98" s="82">
        <f t="shared" ref="E98:E101" si="220">D98-C98</f>
        <v>58</v>
      </c>
      <c r="F98" s="44">
        <v>0</v>
      </c>
      <c r="G98" s="42">
        <f>SUMIF('Expense Detail Old'!$E$4:$E$5179,F$1&amp;" "&amp;$A98,'Expense Detail Old'!$H$4:$H$5179)</f>
        <v>0</v>
      </c>
      <c r="H98" s="82">
        <f t="shared" si="206"/>
        <v>0</v>
      </c>
      <c r="I98" s="45">
        <v>0</v>
      </c>
      <c r="J98" s="42">
        <f>SUMIF('Expense Detail Old'!$E$4:$E$5179,I$1&amp;" "&amp;$A98,'Expense Detail Old'!$H$4:$H$5179)</f>
        <v>0</v>
      </c>
      <c r="K98" s="82">
        <f t="shared" si="207"/>
        <v>0</v>
      </c>
      <c r="L98" s="45">
        <v>0</v>
      </c>
      <c r="M98" s="42">
        <f>SUMIF('Expense Detail Old'!$E$4:$E$5179,L$1&amp;" "&amp;$A98,'Expense Detail Old'!$H$4:$H$5179)</f>
        <v>0</v>
      </c>
      <c r="N98" s="82">
        <f t="shared" si="208"/>
        <v>0</v>
      </c>
      <c r="O98" s="45">
        <v>0</v>
      </c>
      <c r="P98" s="42">
        <f>SUMIF('Expense Detail Old'!$E$4:$E$5179,O$1&amp;" "&amp;$A98,'Expense Detail Old'!$H$4:$H$5179)</f>
        <v>0</v>
      </c>
      <c r="Q98" s="82">
        <f t="shared" si="209"/>
        <v>0</v>
      </c>
      <c r="R98" s="45">
        <v>0</v>
      </c>
      <c r="S98" s="42">
        <f>SUMIF('Expense Detail Old'!$E$4:$E$5179,R$1&amp;" "&amp;$A98,'Expense Detail Old'!$H$4:$H$5179)</f>
        <v>0</v>
      </c>
      <c r="T98" s="82">
        <f t="shared" si="210"/>
        <v>0</v>
      </c>
      <c r="U98" s="45">
        <v>0</v>
      </c>
      <c r="V98" s="42">
        <f>SUMIF('Expense Detail Old'!$E$4:$E$5179,U$1&amp;" "&amp;$A98,'Expense Detail Old'!$H$4:$H$5179)</f>
        <v>0</v>
      </c>
      <c r="W98" s="82">
        <f t="shared" si="211"/>
        <v>0</v>
      </c>
      <c r="X98" s="45">
        <v>0</v>
      </c>
      <c r="Y98" s="42">
        <f>SUMIF('Expense Detail Old'!$E$4:$E$5179,X$1&amp;" "&amp;$A98,'Expense Detail Old'!$H$4:$H$5179)</f>
        <v>0</v>
      </c>
      <c r="Z98" s="82">
        <f t="shared" si="212"/>
        <v>0</v>
      </c>
      <c r="AA98" s="45">
        <v>0</v>
      </c>
      <c r="AB98" s="42">
        <f>SUMIF('Expense Detail Old'!$E$4:$E$5179,AA$1&amp;" "&amp;$A98,'Expense Detail Old'!$H$4:$H$5179)</f>
        <v>0</v>
      </c>
      <c r="AC98" s="82">
        <f t="shared" si="213"/>
        <v>0</v>
      </c>
      <c r="AD98" s="45">
        <v>0</v>
      </c>
      <c r="AE98" s="42">
        <f>SUMIF('Expense Detail Old'!$E$4:$E$5179,AD$1&amp;" "&amp;$A98,'Expense Detail Old'!$H$4:$H$5179)</f>
        <v>0</v>
      </c>
      <c r="AF98" s="82">
        <f t="shared" si="214"/>
        <v>0</v>
      </c>
      <c r="AG98" s="45">
        <v>0</v>
      </c>
      <c r="AH98" s="42">
        <f>SUMIF('Expense Detail Old'!$E$4:$E$5179,AG$1&amp;" "&amp;$A98,'Expense Detail Old'!$H$4:$H$5179)</f>
        <v>0</v>
      </c>
      <c r="AI98" s="82">
        <f t="shared" si="215"/>
        <v>0</v>
      </c>
      <c r="AJ98" s="45">
        <v>0</v>
      </c>
      <c r="AK98" s="42">
        <f>SUMIF('Expense Detail Old'!$E$4:$E$5179,AJ$1&amp;" "&amp;$A98,'Expense Detail Old'!$H$4:$H$5179)</f>
        <v>0</v>
      </c>
      <c r="AL98" s="82">
        <f t="shared" si="216"/>
        <v>0</v>
      </c>
      <c r="AM98" s="90">
        <f t="shared" si="217"/>
        <v>-58</v>
      </c>
      <c r="AN98" s="93">
        <f t="shared" si="218"/>
        <v>0</v>
      </c>
      <c r="AO98" s="82">
        <f t="shared" si="219"/>
        <v>58</v>
      </c>
    </row>
    <row r="99" spans="1:41">
      <c r="A99" s="18" t="s">
        <v>132</v>
      </c>
      <c r="B99" s="18" t="s">
        <v>344</v>
      </c>
      <c r="C99" s="41">
        <v>-144</v>
      </c>
      <c r="D99" s="42">
        <f>SUMIF('Expense Detail Old'!$E$4:$E$5179,C$1&amp;" "&amp;$A99,'Expense Detail Old'!$H$4:$H$5179)</f>
        <v>0</v>
      </c>
      <c r="E99" s="82">
        <f t="shared" si="220"/>
        <v>144</v>
      </c>
      <c r="F99" s="44">
        <v>0</v>
      </c>
      <c r="G99" s="42">
        <f>SUMIF('Expense Detail Old'!$E$4:$E$5179,F$1&amp;" "&amp;$A99,'Expense Detail Old'!$H$4:$H$5179)</f>
        <v>0</v>
      </c>
      <c r="H99" s="82">
        <f t="shared" si="206"/>
        <v>0</v>
      </c>
      <c r="I99" s="45">
        <v>0</v>
      </c>
      <c r="J99" s="42">
        <f>SUMIF('Expense Detail Old'!$E$4:$E$5179,I$1&amp;" "&amp;$A99,'Expense Detail Old'!$H$4:$H$5179)</f>
        <v>0</v>
      </c>
      <c r="K99" s="82">
        <f t="shared" si="207"/>
        <v>0</v>
      </c>
      <c r="L99" s="45">
        <v>0</v>
      </c>
      <c r="M99" s="42">
        <f>SUMIF('Expense Detail Old'!$E$4:$E$5179,L$1&amp;" "&amp;$A99,'Expense Detail Old'!$H$4:$H$5179)</f>
        <v>0</v>
      </c>
      <c r="N99" s="82">
        <f t="shared" si="208"/>
        <v>0</v>
      </c>
      <c r="O99" s="45">
        <v>0</v>
      </c>
      <c r="P99" s="42">
        <f>SUMIF('Expense Detail Old'!$E$4:$E$5179,O$1&amp;" "&amp;$A99,'Expense Detail Old'!$H$4:$H$5179)</f>
        <v>0</v>
      </c>
      <c r="Q99" s="82">
        <f t="shared" si="209"/>
        <v>0</v>
      </c>
      <c r="R99" s="45">
        <v>0</v>
      </c>
      <c r="S99" s="42">
        <f>SUMIF('Expense Detail Old'!$E$4:$E$5179,R$1&amp;" "&amp;$A99,'Expense Detail Old'!$H$4:$H$5179)</f>
        <v>0</v>
      </c>
      <c r="T99" s="82">
        <f t="shared" si="210"/>
        <v>0</v>
      </c>
      <c r="U99" s="45">
        <v>0</v>
      </c>
      <c r="V99" s="42">
        <f>SUMIF('Expense Detail Old'!$E$4:$E$5179,U$1&amp;" "&amp;$A99,'Expense Detail Old'!$H$4:$H$5179)</f>
        <v>0</v>
      </c>
      <c r="W99" s="82">
        <f t="shared" si="211"/>
        <v>0</v>
      </c>
      <c r="X99" s="45">
        <v>0</v>
      </c>
      <c r="Y99" s="42">
        <f>SUMIF('Expense Detail Old'!$E$4:$E$5179,X$1&amp;" "&amp;$A99,'Expense Detail Old'!$H$4:$H$5179)</f>
        <v>0</v>
      </c>
      <c r="Z99" s="82">
        <f t="shared" si="212"/>
        <v>0</v>
      </c>
      <c r="AA99" s="45">
        <v>0</v>
      </c>
      <c r="AB99" s="42">
        <f>SUMIF('Expense Detail Old'!$E$4:$E$5179,AA$1&amp;" "&amp;$A99,'Expense Detail Old'!$H$4:$H$5179)</f>
        <v>0</v>
      </c>
      <c r="AC99" s="82">
        <f t="shared" si="213"/>
        <v>0</v>
      </c>
      <c r="AD99" s="45">
        <v>0</v>
      </c>
      <c r="AE99" s="42">
        <f>SUMIF('Expense Detail Old'!$E$4:$E$5179,AD$1&amp;" "&amp;$A99,'Expense Detail Old'!$H$4:$H$5179)</f>
        <v>0</v>
      </c>
      <c r="AF99" s="82">
        <f t="shared" si="214"/>
        <v>0</v>
      </c>
      <c r="AG99" s="45">
        <v>0</v>
      </c>
      <c r="AH99" s="42">
        <f>SUMIF('Expense Detail Old'!$E$4:$E$5179,AG$1&amp;" "&amp;$A99,'Expense Detail Old'!$H$4:$H$5179)</f>
        <v>0</v>
      </c>
      <c r="AI99" s="82">
        <f t="shared" si="215"/>
        <v>0</v>
      </c>
      <c r="AJ99" s="45">
        <v>0</v>
      </c>
      <c r="AK99" s="42">
        <f>SUMIF('Expense Detail Old'!$E$4:$E$5179,AJ$1&amp;" "&amp;$A99,'Expense Detail Old'!$H$4:$H$5179)</f>
        <v>0</v>
      </c>
      <c r="AL99" s="82">
        <f t="shared" si="216"/>
        <v>0</v>
      </c>
      <c r="AM99" s="90">
        <f t="shared" si="217"/>
        <v>-144</v>
      </c>
      <c r="AN99" s="93">
        <f t="shared" si="218"/>
        <v>0</v>
      </c>
      <c r="AO99" s="82">
        <f t="shared" si="219"/>
        <v>144</v>
      </c>
    </row>
    <row r="100" spans="1:41">
      <c r="A100" s="18" t="s">
        <v>15</v>
      </c>
      <c r="B100" s="18" t="s">
        <v>344</v>
      </c>
      <c r="C100" s="41">
        <v>-87</v>
      </c>
      <c r="D100" s="42">
        <f>SUMIF('Expense Detail Old'!$E$4:$E$5179,C$1&amp;" "&amp;$A100,'Expense Detail Old'!$H$4:$H$5179)</f>
        <v>-100.91</v>
      </c>
      <c r="E100" s="82">
        <f t="shared" si="220"/>
        <v>-13.909999999999997</v>
      </c>
      <c r="F100" s="44">
        <v>-53</v>
      </c>
      <c r="G100" s="42">
        <f>SUMIF('Expense Detail Old'!$E$4:$E$5179,F$1&amp;" "&amp;$A100,'Expense Detail Old'!$H$4:$H$5179)</f>
        <v>-81.069999999999993</v>
      </c>
      <c r="H100" s="82">
        <f t="shared" si="206"/>
        <v>-28.069999999999993</v>
      </c>
      <c r="I100" s="45">
        <v>-53</v>
      </c>
      <c r="J100" s="42">
        <f>SUMIF('Expense Detail Old'!$E$4:$E$5179,I$1&amp;" "&amp;$A100,'Expense Detail Old'!$H$4:$H$5179)</f>
        <v>-94.71</v>
      </c>
      <c r="K100" s="82">
        <f t="shared" si="207"/>
        <v>-41.709999999999994</v>
      </c>
      <c r="L100" s="46">
        <v>-53</v>
      </c>
      <c r="M100" s="42">
        <f>SUMIF('Expense Detail Old'!$E$4:$E$5179,L$1&amp;" "&amp;$A100,'Expense Detail Old'!$H$4:$H$5179)</f>
        <v>-94.71</v>
      </c>
      <c r="N100" s="82">
        <f t="shared" si="208"/>
        <v>-41.709999999999994</v>
      </c>
      <c r="O100" s="46">
        <v>-53</v>
      </c>
      <c r="P100" s="42">
        <f>SUMIF('Expense Detail Old'!$E$4:$E$5179,O$1&amp;" "&amp;$A100,'Expense Detail Old'!$H$4:$H$5179)</f>
        <v>-94.32</v>
      </c>
      <c r="Q100" s="82">
        <f t="shared" si="209"/>
        <v>-41.319999999999993</v>
      </c>
      <c r="R100" s="46">
        <v>-53</v>
      </c>
      <c r="S100" s="42">
        <f>SUMIF('Expense Detail Old'!$E$4:$E$5179,R$1&amp;" "&amp;$A100,'Expense Detail Old'!$H$4:$H$5179)</f>
        <v>-79.849999999999994</v>
      </c>
      <c r="T100" s="82">
        <f t="shared" si="210"/>
        <v>-26.849999999999994</v>
      </c>
      <c r="U100" s="46">
        <v>-53</v>
      </c>
      <c r="V100" s="42">
        <f>SUMIF('Expense Detail Old'!$E$4:$E$5179,U$1&amp;" "&amp;$A100,'Expense Detail Old'!$H$4:$H$5179)</f>
        <v>-85.84</v>
      </c>
      <c r="W100" s="82">
        <f t="shared" si="211"/>
        <v>-32.840000000000003</v>
      </c>
      <c r="X100" s="46">
        <v>-53</v>
      </c>
      <c r="Y100" s="42">
        <f>SUMIF('Expense Detail Old'!$E$4:$E$5179,X$1&amp;" "&amp;$A100,'Expense Detail Old'!$H$4:$H$5179)</f>
        <v>0</v>
      </c>
      <c r="Z100" s="82">
        <f t="shared" si="212"/>
        <v>53</v>
      </c>
      <c r="AA100" s="46">
        <v>-53</v>
      </c>
      <c r="AB100" s="42">
        <f>SUMIF('Expense Detail Old'!$E$4:$E$5179,AA$1&amp;" "&amp;$A100,'Expense Detail Old'!$H$4:$H$5179)</f>
        <v>0</v>
      </c>
      <c r="AC100" s="82">
        <f t="shared" si="213"/>
        <v>53</v>
      </c>
      <c r="AD100" s="46">
        <v>-53</v>
      </c>
      <c r="AE100" s="42">
        <f>SUMIF('Expense Detail Old'!$E$4:$E$5179,AD$1&amp;" "&amp;$A100,'Expense Detail Old'!$H$4:$H$5179)</f>
        <v>0</v>
      </c>
      <c r="AF100" s="82">
        <f t="shared" si="214"/>
        <v>53</v>
      </c>
      <c r="AG100" s="46">
        <v>-53</v>
      </c>
      <c r="AH100" s="42">
        <f>SUMIF('Expense Detail Old'!$E$4:$E$5179,AG$1&amp;" "&amp;$A100,'Expense Detail Old'!$H$4:$H$5179)</f>
        <v>0</v>
      </c>
      <c r="AI100" s="82">
        <f t="shared" si="215"/>
        <v>53</v>
      </c>
      <c r="AJ100" s="46">
        <v>-53</v>
      </c>
      <c r="AK100" s="42">
        <f>SUMIF('Expense Detail Old'!$E$4:$E$5179,AJ$1&amp;" "&amp;$A100,'Expense Detail Old'!$H$4:$H$5179)</f>
        <v>0</v>
      </c>
      <c r="AL100" s="82">
        <f t="shared" si="216"/>
        <v>53</v>
      </c>
      <c r="AM100" s="90">
        <f t="shared" si="217"/>
        <v>-670</v>
      </c>
      <c r="AN100" s="93">
        <f t="shared" si="218"/>
        <v>-631.41</v>
      </c>
      <c r="AO100" s="82">
        <f t="shared" si="219"/>
        <v>38.590000000000032</v>
      </c>
    </row>
    <row r="101" spans="1:41" ht="16.5" thickBot="1">
      <c r="A101" s="18" t="s">
        <v>148</v>
      </c>
      <c r="B101" s="18" t="s">
        <v>344</v>
      </c>
      <c r="C101" s="101">
        <v>0</v>
      </c>
      <c r="D101" s="102">
        <f>SUMIF('Expense Detail Old'!$E$4:$E$5179,C$1&amp;" "&amp;$A101,'Expense Detail Old'!$H$4:$H$5179)</f>
        <v>0</v>
      </c>
      <c r="E101" s="103">
        <f t="shared" si="220"/>
        <v>0</v>
      </c>
      <c r="F101" s="44">
        <v>0</v>
      </c>
      <c r="G101" s="102">
        <f>SUMIF('Expense Detail Old'!$E$4:$E$5179,F$1&amp;" "&amp;$A101,'Expense Detail Old'!$H$4:$H$5179)</f>
        <v>0</v>
      </c>
      <c r="H101" s="82">
        <f t="shared" si="206"/>
        <v>0</v>
      </c>
      <c r="I101" s="45">
        <v>0</v>
      </c>
      <c r="J101" s="102">
        <f>SUMIF('Expense Detail Old'!$E$4:$E$5179,I$1&amp;" "&amp;$A101,'Expense Detail Old'!$H$4:$H$5179)</f>
        <v>0</v>
      </c>
      <c r="K101" s="82">
        <f t="shared" si="207"/>
        <v>0</v>
      </c>
      <c r="L101" s="46">
        <v>0</v>
      </c>
      <c r="M101" s="102">
        <f>SUMIF('Expense Detail Old'!$E$4:$E$5179,L$1&amp;" "&amp;$A101,'Expense Detail Old'!$H$4:$H$5179)</f>
        <v>0</v>
      </c>
      <c r="N101" s="82">
        <f t="shared" si="208"/>
        <v>0</v>
      </c>
      <c r="O101" s="46">
        <v>0</v>
      </c>
      <c r="P101" s="102">
        <f>SUMIF('Expense Detail Old'!$E$4:$E$5179,O$1&amp;" "&amp;$A101,'Expense Detail Old'!$H$4:$H$5179)</f>
        <v>0</v>
      </c>
      <c r="Q101" s="82">
        <f t="shared" si="209"/>
        <v>0</v>
      </c>
      <c r="R101" s="46">
        <v>0</v>
      </c>
      <c r="S101" s="42">
        <f>SUMIF('Expense Detail Old'!$E$4:$E$5179,R$1&amp;" "&amp;$A101,'Expense Detail Old'!$H$4:$H$5179)</f>
        <v>0</v>
      </c>
      <c r="T101" s="82">
        <f t="shared" si="210"/>
        <v>0</v>
      </c>
      <c r="U101" s="46">
        <v>0</v>
      </c>
      <c r="V101" s="42">
        <f>SUMIF('Expense Detail Old'!$E$4:$E$5179,U$1&amp;" "&amp;$A101,'Expense Detail Old'!$H$4:$H$5179)</f>
        <v>0</v>
      </c>
      <c r="W101" s="82">
        <f t="shared" si="211"/>
        <v>0</v>
      </c>
      <c r="X101" s="46">
        <v>0</v>
      </c>
      <c r="Y101" s="42">
        <f>SUMIF('Expense Detail Old'!$E$4:$E$5179,X$1&amp;" "&amp;$A101,'Expense Detail Old'!$H$4:$H$5179)</f>
        <v>0</v>
      </c>
      <c r="Z101" s="82">
        <f t="shared" si="212"/>
        <v>0</v>
      </c>
      <c r="AA101" s="46">
        <v>0</v>
      </c>
      <c r="AB101" s="102">
        <f>SUMIF('Expense Detail Old'!$E$4:$E$5179,AA$1&amp;" "&amp;$A101,'Expense Detail Old'!$H$4:$H$5179)</f>
        <v>0</v>
      </c>
      <c r="AC101" s="82">
        <f t="shared" si="213"/>
        <v>0</v>
      </c>
      <c r="AD101" s="46">
        <v>0</v>
      </c>
      <c r="AE101" s="102">
        <f>SUMIF('Expense Detail Old'!$E$4:$E$5179,AD$1&amp;" "&amp;$A101,'Expense Detail Old'!$H$4:$H$5179)</f>
        <v>0</v>
      </c>
      <c r="AF101" s="82">
        <f t="shared" si="214"/>
        <v>0</v>
      </c>
      <c r="AG101" s="46">
        <v>0</v>
      </c>
      <c r="AH101" s="102">
        <f>SUMIF('Expense Detail Old'!$E$4:$E$5179,AG$1&amp;" "&amp;$A101,'Expense Detail Old'!$H$4:$H$5179)</f>
        <v>0</v>
      </c>
      <c r="AI101" s="82">
        <f t="shared" si="215"/>
        <v>0</v>
      </c>
      <c r="AJ101" s="46">
        <v>0</v>
      </c>
      <c r="AK101" s="102">
        <f>SUMIF('Expense Detail Old'!$E$4:$E$5179,AJ$1&amp;" "&amp;$A101,'Expense Detail Old'!$H$4:$H$5179)</f>
        <v>0</v>
      </c>
      <c r="AL101" s="82">
        <f t="shared" si="216"/>
        <v>0</v>
      </c>
      <c r="AM101" s="90">
        <f t="shared" si="217"/>
        <v>0</v>
      </c>
      <c r="AN101" s="93">
        <f t="shared" si="218"/>
        <v>0</v>
      </c>
      <c r="AO101" s="82">
        <f t="shared" si="219"/>
        <v>0</v>
      </c>
    </row>
    <row r="102" spans="1:41" ht="16.5" thickBot="1">
      <c r="A102" s="36"/>
      <c r="B102" s="36" t="s">
        <v>345</v>
      </c>
      <c r="C102" s="136">
        <f>SUM(C97:C101)</f>
        <v>-301.99</v>
      </c>
      <c r="D102" s="96">
        <f>SUM(D97:D101)</f>
        <v>-100.91</v>
      </c>
      <c r="E102" s="96">
        <f>SUM(E94:E101)</f>
        <v>-36.769999999999982</v>
      </c>
      <c r="F102" s="114">
        <f>SUM(F97:F101)</f>
        <v>-65.989999999999995</v>
      </c>
      <c r="G102" s="96">
        <f>SUM(G97:G101)</f>
        <v>-81.069999999999993</v>
      </c>
      <c r="H102" s="84">
        <f>SUM(H94:H101)</f>
        <v>-44.849999999999973</v>
      </c>
      <c r="I102" s="114">
        <f>SUM(I97:I101)</f>
        <v>-65.989999999999995</v>
      </c>
      <c r="J102" s="96">
        <f>SUM(J97:J101)</f>
        <v>-94.71</v>
      </c>
      <c r="K102" s="84">
        <f>SUM(K94:K101)</f>
        <v>-38.029999999999994</v>
      </c>
      <c r="L102" s="114">
        <f>SUM(L97:L101)</f>
        <v>-65.989999999999995</v>
      </c>
      <c r="M102" s="96">
        <f>SUM(M97:M101)</f>
        <v>-94.71</v>
      </c>
      <c r="N102" s="84">
        <f>SUM(N94:N101)</f>
        <v>-334.05999999999995</v>
      </c>
      <c r="O102" s="114">
        <f>SUM(O97:O101)</f>
        <v>-65.989999999999995</v>
      </c>
      <c r="P102" s="96">
        <f>SUM(P97:P101)</f>
        <v>-94.32</v>
      </c>
      <c r="Q102" s="84">
        <f>SUM(Q94:Q101)</f>
        <v>-6.8199999999999861</v>
      </c>
      <c r="R102" s="114">
        <f>SUM(R97:R101)</f>
        <v>-65.989999999999995</v>
      </c>
      <c r="S102" s="84">
        <f>SUM(S97:S101)</f>
        <v>-79.849999999999994</v>
      </c>
      <c r="T102" s="84">
        <f>SUM(T94:T101)</f>
        <v>-278.89250000000004</v>
      </c>
      <c r="U102" s="114">
        <f>SUM(U97:U101)</f>
        <v>-65.989999999999995</v>
      </c>
      <c r="V102" s="84">
        <f>SUM(V97:V101)</f>
        <v>-85.84</v>
      </c>
      <c r="W102" s="84">
        <f>SUM(W94:W101)</f>
        <v>-109.02000000000001</v>
      </c>
      <c r="X102" s="114">
        <f>SUM(X97:X101)</f>
        <v>-65.989999999999995</v>
      </c>
      <c r="Y102" s="84">
        <f>SUM(Y97:Y101)</f>
        <v>0</v>
      </c>
      <c r="Z102" s="84">
        <f>SUM(Z94:Z101)</f>
        <v>342.99</v>
      </c>
      <c r="AA102" s="114">
        <f>SUM(AA97:AA101)</f>
        <v>-65.989999999999995</v>
      </c>
      <c r="AB102" s="96">
        <f>SUM(AB97:AB101)</f>
        <v>0</v>
      </c>
      <c r="AC102" s="84">
        <f>SUM(AC94:AC101)</f>
        <v>342.99</v>
      </c>
      <c r="AD102" s="114">
        <f>SUM(AD97:AD101)</f>
        <v>-65.989999999999995</v>
      </c>
      <c r="AE102" s="96">
        <f>SUM(AE97:AE101)</f>
        <v>0</v>
      </c>
      <c r="AF102" s="84">
        <f>SUM(AF94:AF101)</f>
        <v>292.99</v>
      </c>
      <c r="AG102" s="114">
        <f>SUM(AG97:AG101)</f>
        <v>-65.989999999999995</v>
      </c>
      <c r="AH102" s="96">
        <f>SUM(AH97:AH101)</f>
        <v>0</v>
      </c>
      <c r="AI102" s="84">
        <f>SUM(AI94:AI101)</f>
        <v>292.99</v>
      </c>
      <c r="AJ102" s="114">
        <f>SUM(AJ97:AJ101)</f>
        <v>-65.989999999999995</v>
      </c>
      <c r="AK102" s="96">
        <f>SUM(AK97:AK101)</f>
        <v>0</v>
      </c>
      <c r="AL102" s="84">
        <f>SUM(AL94:AL101)</f>
        <v>292.99</v>
      </c>
      <c r="AM102" s="114">
        <f>SUM(AM97:AM101)</f>
        <v>-1027.8800000000001</v>
      </c>
      <c r="AN102" s="84">
        <f>SUM(AN97:AN101)</f>
        <v>-631.41</v>
      </c>
      <c r="AO102" s="84">
        <f>SUM(AO94:AO101)</f>
        <v>716.50750000000005</v>
      </c>
    </row>
    <row r="103" spans="1:41" ht="24.75" thickTop="1" thickBot="1">
      <c r="A103" s="275" t="s">
        <v>144</v>
      </c>
      <c r="B103" s="276"/>
      <c r="C103" s="38"/>
      <c r="D103" s="47"/>
      <c r="E103" s="49"/>
      <c r="F103" s="48"/>
      <c r="G103" s="47"/>
      <c r="H103" s="49"/>
      <c r="I103" s="48"/>
      <c r="J103" s="47"/>
      <c r="K103" s="49"/>
      <c r="L103" s="48"/>
      <c r="M103" s="47"/>
      <c r="N103" s="49"/>
      <c r="O103" s="48"/>
      <c r="P103" s="47"/>
      <c r="Q103" s="49"/>
      <c r="R103" s="48"/>
      <c r="S103" s="47"/>
      <c r="T103" s="49"/>
      <c r="U103" s="48"/>
      <c r="V103" s="47"/>
      <c r="W103" s="49"/>
      <c r="X103" s="48"/>
      <c r="Y103" s="47"/>
      <c r="Z103" s="49"/>
      <c r="AA103" s="48"/>
      <c r="AB103" s="47"/>
      <c r="AC103" s="49"/>
      <c r="AD103" s="48"/>
      <c r="AE103" s="47"/>
      <c r="AF103" s="49"/>
      <c r="AG103" s="48"/>
      <c r="AH103" s="47"/>
      <c r="AI103" s="49"/>
      <c r="AJ103" s="48"/>
      <c r="AK103" s="47"/>
      <c r="AL103" s="49"/>
      <c r="AM103" s="48"/>
      <c r="AN103" s="47"/>
      <c r="AO103" s="49"/>
    </row>
    <row r="104" spans="1:41">
      <c r="A104" s="18" t="s">
        <v>93</v>
      </c>
      <c r="B104" s="18" t="s">
        <v>144</v>
      </c>
      <c r="C104" s="98">
        <v>-50</v>
      </c>
      <c r="D104" s="99">
        <f>SUMIF('Expense Detail Old'!$E$4:$E$5179,C$1&amp;" "&amp;$A104,'Expense Detail Old'!$H$4:$H$5179)</f>
        <v>0</v>
      </c>
      <c r="E104" s="100">
        <f t="shared" ref="E104:E107" si="221">D104-C104</f>
        <v>50</v>
      </c>
      <c r="F104" s="44">
        <v>-50</v>
      </c>
      <c r="G104" s="99">
        <f>SUMIF('Expense Detail Old'!$E$4:$E$5179,F$1&amp;" "&amp;$A104,'Expense Detail Old'!$H$4:$H$5179)</f>
        <v>0</v>
      </c>
      <c r="H104" s="82">
        <f t="shared" ref="H104:H107" si="222">G104-F104</f>
        <v>50</v>
      </c>
      <c r="I104" s="45">
        <v>-50</v>
      </c>
      <c r="J104" s="99">
        <f>SUMIF('Expense Detail Old'!$E$4:$E$5179,I$1&amp;" "&amp;$A104,'Expense Detail Old'!$H$4:$H$5179)</f>
        <v>0</v>
      </c>
      <c r="K104" s="82">
        <f t="shared" ref="K104:K107" si="223">J104-I104</f>
        <v>50</v>
      </c>
      <c r="L104" s="45">
        <v>-50</v>
      </c>
      <c r="M104" s="99">
        <f>SUMIF('Expense Detail Old'!$E$4:$E$5179,L$1&amp;" "&amp;$A104,'Expense Detail Old'!$H$4:$H$5179)</f>
        <v>0</v>
      </c>
      <c r="N104" s="82">
        <f t="shared" ref="N104:N107" si="224">M104-L104</f>
        <v>50</v>
      </c>
      <c r="O104" s="45">
        <v>-50</v>
      </c>
      <c r="P104" s="99">
        <f>SUMIF('Expense Detail Old'!$E$4:$E$5179,O$1&amp;" "&amp;$A104,'Expense Detail Old'!$H$4:$H$5179)</f>
        <v>-63.66</v>
      </c>
      <c r="Q104" s="82">
        <f t="shared" ref="Q104:Q107" si="225">P104-O104</f>
        <v>-13.659999999999997</v>
      </c>
      <c r="R104" s="45">
        <v>-50</v>
      </c>
      <c r="S104" s="41">
        <f>SUMIF('Expense Detail Old'!$E$4:$E$5179,R$1&amp;" "&amp;$A104,'Expense Detail Old'!$H$4:$H$5179)</f>
        <v>-64.577500000000001</v>
      </c>
      <c r="T104" s="82">
        <f t="shared" ref="T104:T107" si="226">S104-R104</f>
        <v>-14.577500000000001</v>
      </c>
      <c r="U104" s="45">
        <v>-50</v>
      </c>
      <c r="V104" s="41">
        <f>SUMIF('Expense Detail Old'!$E$4:$E$5179,U$1&amp;" "&amp;$A104,'Expense Detail Old'!$H$4:$H$5179)</f>
        <v>0</v>
      </c>
      <c r="W104" s="82">
        <f t="shared" ref="W104:W107" si="227">V104-U104</f>
        <v>50</v>
      </c>
      <c r="X104" s="45"/>
      <c r="Y104" s="41">
        <f>SUMIF('Expense Detail Old'!$E$4:$E$5179,X$1&amp;" "&amp;$A104,'Expense Detail Old'!$H$4:$H$5179)</f>
        <v>0</v>
      </c>
      <c r="Z104" s="82">
        <f t="shared" ref="Z104:Z107" si="228">Y104-X104</f>
        <v>0</v>
      </c>
      <c r="AA104" s="45"/>
      <c r="AB104" s="99">
        <f>SUMIF('Expense Detail Old'!$E$4:$E$5179,AA$1&amp;" "&amp;$A104,'Expense Detail Old'!$H$4:$H$5179)</f>
        <v>0</v>
      </c>
      <c r="AC104" s="82">
        <f t="shared" ref="AC104:AC107" si="229">AB104-AA104</f>
        <v>0</v>
      </c>
      <c r="AD104" s="45"/>
      <c r="AE104" s="99">
        <f>SUMIF('Expense Detail Old'!$E$4:$E$5179,AD$1&amp;" "&amp;$A104,'Expense Detail Old'!$H$4:$H$5179)</f>
        <v>0</v>
      </c>
      <c r="AF104" s="82">
        <f t="shared" ref="AF104:AF107" si="230">AE104-AD104</f>
        <v>0</v>
      </c>
      <c r="AG104" s="45"/>
      <c r="AH104" s="99">
        <f>SUMIF('Expense Detail Old'!$E$4:$E$5179,AG$1&amp;" "&amp;$A104,'Expense Detail Old'!$H$4:$H$5179)</f>
        <v>0</v>
      </c>
      <c r="AI104" s="82">
        <f t="shared" ref="AI104:AI107" si="231">AH104-AG104</f>
        <v>0</v>
      </c>
      <c r="AJ104" s="45"/>
      <c r="AK104" s="99">
        <f>SUMIF('Expense Detail Old'!$E$4:$E$5179,AJ$1&amp;" "&amp;$A104,'Expense Detail Old'!$H$4:$H$5179)</f>
        <v>0</v>
      </c>
      <c r="AL104" s="82">
        <f t="shared" ref="AL104:AL107" si="232">AK104-AJ104</f>
        <v>0</v>
      </c>
      <c r="AM104" s="90">
        <f t="shared" ref="AM104:AM107" si="233">SUM(C104,F104,I104,L104,O104,R104,U104,X104,AA104,AD104,AG104,AJ104)</f>
        <v>-350</v>
      </c>
      <c r="AN104" s="93">
        <f t="shared" ref="AN104:AN107" si="234">SUM(D104,G104,J104,M104,P104,S104,V104,Y104,AB104,AE104,AH104,AK104)</f>
        <v>-128.23750000000001</v>
      </c>
      <c r="AO104" s="82">
        <f t="shared" ref="AO104:AO107" si="235">AN104-AM104</f>
        <v>221.76249999999999</v>
      </c>
    </row>
    <row r="105" spans="1:41">
      <c r="A105" s="18" t="s">
        <v>129</v>
      </c>
      <c r="B105" s="18" t="s">
        <v>144</v>
      </c>
      <c r="C105" s="53">
        <v>-20</v>
      </c>
      <c r="D105" s="42">
        <f>SUMIF('Expense Detail Old'!$E$4:$E$5179,C$1&amp;" "&amp;$A105,'Expense Detail Old'!$H$4:$H$5179)</f>
        <v>-29.4</v>
      </c>
      <c r="E105" s="82">
        <f t="shared" si="221"/>
        <v>-9.3999999999999986</v>
      </c>
      <c r="F105" s="138">
        <v>-10</v>
      </c>
      <c r="G105" s="42">
        <f>SUMIF('Expense Detail Old'!$E$4:$E$5179,F$1&amp;" "&amp;$A105,'Expense Detail Old'!$H$4:$H$5179)</f>
        <v>-19.12</v>
      </c>
      <c r="H105" s="82">
        <f t="shared" si="222"/>
        <v>-9.120000000000001</v>
      </c>
      <c r="I105" s="53">
        <v>-20</v>
      </c>
      <c r="J105" s="42">
        <f>SUMIF('Expense Detail Old'!$E$4:$E$5179,I$1&amp;" "&amp;$A105,'Expense Detail Old'!$H$4:$H$5179)</f>
        <v>0</v>
      </c>
      <c r="K105" s="82">
        <f t="shared" si="223"/>
        <v>20</v>
      </c>
      <c r="L105" s="54">
        <v>-10</v>
      </c>
      <c r="M105" s="42">
        <f>SUMIF('Expense Detail Old'!$E$4:$E$5179,L$1&amp;" "&amp;$A105,'Expense Detail Old'!$H$4:$H$5179)</f>
        <v>-11.30333333333332</v>
      </c>
      <c r="N105" s="82">
        <f t="shared" si="224"/>
        <v>-1.3033333333333204</v>
      </c>
      <c r="O105" s="53">
        <v>-20</v>
      </c>
      <c r="P105" s="42">
        <f>SUMIF('Expense Detail Old'!$E$4:$E$5179,O$1&amp;" "&amp;$A105,'Expense Detail Old'!$H$4:$H$5179)</f>
        <v>-21.356666666666644</v>
      </c>
      <c r="Q105" s="82">
        <f t="shared" si="225"/>
        <v>-1.3566666666666443</v>
      </c>
      <c r="R105" s="54">
        <v>-10</v>
      </c>
      <c r="S105" s="41">
        <f>SUMIF('Expense Detail Old'!$E$4:$E$5179,R$1&amp;" "&amp;$A105,'Expense Detail Old'!$H$4:$H$5179)</f>
        <v>-21.239999999999977</v>
      </c>
      <c r="T105" s="82">
        <f t="shared" si="226"/>
        <v>-11.239999999999977</v>
      </c>
      <c r="U105" s="53">
        <v>-20</v>
      </c>
      <c r="V105" s="41">
        <f>SUMIF('Expense Detail Old'!$E$4:$E$5179,U$1&amp;" "&amp;$A105,'Expense Detail Old'!$H$4:$H$5179)</f>
        <v>0</v>
      </c>
      <c r="W105" s="82">
        <f t="shared" si="227"/>
        <v>20</v>
      </c>
      <c r="X105" s="54">
        <v>-10</v>
      </c>
      <c r="Y105" s="41">
        <f>SUMIF('Expense Detail Old'!$E$4:$E$5179,X$1&amp;" "&amp;$A105,'Expense Detail Old'!$H$4:$H$5179)</f>
        <v>0</v>
      </c>
      <c r="Z105" s="82">
        <f t="shared" si="228"/>
        <v>10</v>
      </c>
      <c r="AA105" s="53">
        <v>-20</v>
      </c>
      <c r="AB105" s="42">
        <f>SUMIF('Expense Detail Old'!$E$4:$E$5179,AA$1&amp;" "&amp;$A105,'Expense Detail Old'!$H$4:$H$5179)</f>
        <v>0</v>
      </c>
      <c r="AC105" s="82">
        <f t="shared" si="229"/>
        <v>20</v>
      </c>
      <c r="AD105" s="54">
        <v>-10</v>
      </c>
      <c r="AE105" s="42">
        <f>SUMIF('Expense Detail Old'!$E$4:$E$5179,AD$1&amp;" "&amp;$A105,'Expense Detail Old'!$H$4:$H$5179)</f>
        <v>0</v>
      </c>
      <c r="AF105" s="82">
        <f t="shared" si="230"/>
        <v>10</v>
      </c>
      <c r="AG105" s="53">
        <v>-20</v>
      </c>
      <c r="AH105" s="42">
        <f>SUMIF('Expense Detail Old'!$E$4:$E$5179,AG$1&amp;" "&amp;$A105,'Expense Detail Old'!$H$4:$H$5179)</f>
        <v>0</v>
      </c>
      <c r="AI105" s="82">
        <f t="shared" si="231"/>
        <v>20</v>
      </c>
      <c r="AJ105" s="54">
        <v>-10</v>
      </c>
      <c r="AK105" s="42">
        <f>SUMIF('Expense Detail Old'!$E$4:$E$5179,AJ$1&amp;" "&amp;$A105,'Expense Detail Old'!$H$4:$H$5179)</f>
        <v>0</v>
      </c>
      <c r="AL105" s="82">
        <f t="shared" si="232"/>
        <v>10</v>
      </c>
      <c r="AM105" s="90">
        <f t="shared" si="233"/>
        <v>-180</v>
      </c>
      <c r="AN105" s="93">
        <f t="shared" si="234"/>
        <v>-102.41999999999994</v>
      </c>
      <c r="AO105" s="82">
        <f t="shared" si="235"/>
        <v>77.580000000000055</v>
      </c>
    </row>
    <row r="106" spans="1:41">
      <c r="A106" s="18" t="s">
        <v>81</v>
      </c>
      <c r="B106" s="18" t="s">
        <v>144</v>
      </c>
      <c r="C106" s="41">
        <v>-25</v>
      </c>
      <c r="D106" s="42">
        <f>SUMIF('Expense Detail Old'!$E$4:$E$5179,C$1&amp;" "&amp;$A106,'Expense Detail Old'!$H$4:$H$5179)</f>
        <v>0</v>
      </c>
      <c r="E106" s="82">
        <f t="shared" si="221"/>
        <v>25</v>
      </c>
      <c r="F106" s="44">
        <v>0</v>
      </c>
      <c r="G106" s="42">
        <f>SUMIF('Expense Detail Old'!$E$4:$E$5179,F$1&amp;" "&amp;$A106,'Expense Detail Old'!$H$4:$H$5179)</f>
        <v>0</v>
      </c>
      <c r="H106" s="82">
        <f t="shared" si="222"/>
        <v>0</v>
      </c>
      <c r="I106" s="45">
        <v>0</v>
      </c>
      <c r="J106" s="42">
        <f>SUMIF('Expense Detail Old'!$E$4:$E$5179,I$1&amp;" "&amp;$A106,'Expense Detail Old'!$H$4:$H$5179)</f>
        <v>0</v>
      </c>
      <c r="K106" s="82">
        <f t="shared" si="223"/>
        <v>0</v>
      </c>
      <c r="L106" s="45">
        <v>0</v>
      </c>
      <c r="M106" s="42">
        <f>SUMIF('Expense Detail Old'!$E$4:$E$5179,L$1&amp;" "&amp;$A106,'Expense Detail Old'!$H$4:$H$5179)</f>
        <v>0</v>
      </c>
      <c r="N106" s="82">
        <f t="shared" si="224"/>
        <v>0</v>
      </c>
      <c r="O106" s="45">
        <v>-25</v>
      </c>
      <c r="P106" s="42">
        <f>SUMIF('Expense Detail Old'!$E$4:$E$5179,O$1&amp;" "&amp;$A106,'Expense Detail Old'!$H$4:$H$5179)</f>
        <v>0</v>
      </c>
      <c r="Q106" s="82">
        <f t="shared" si="225"/>
        <v>25</v>
      </c>
      <c r="R106" s="45">
        <v>0</v>
      </c>
      <c r="S106" s="41">
        <f>SUMIF('Expense Detail Old'!$E$4:$E$5179,R$1&amp;" "&amp;$A106,'Expense Detail Old'!$H$4:$H$5179)</f>
        <v>0</v>
      </c>
      <c r="T106" s="82">
        <f t="shared" si="226"/>
        <v>0</v>
      </c>
      <c r="U106" s="45">
        <v>0</v>
      </c>
      <c r="V106" s="41">
        <f>SUMIF('Expense Detail Old'!$E$4:$E$5179,U$1&amp;" "&amp;$A106,'Expense Detail Old'!$H$4:$H$5179)</f>
        <v>0</v>
      </c>
      <c r="W106" s="82">
        <f t="shared" si="227"/>
        <v>0</v>
      </c>
      <c r="X106" s="45">
        <v>0</v>
      </c>
      <c r="Y106" s="41">
        <f>SUMIF('Expense Detail Old'!$E$4:$E$5179,X$1&amp;" "&amp;$A106,'Expense Detail Old'!$H$4:$H$5179)</f>
        <v>0</v>
      </c>
      <c r="Z106" s="82">
        <f t="shared" si="228"/>
        <v>0</v>
      </c>
      <c r="AA106" s="45">
        <v>-25</v>
      </c>
      <c r="AB106" s="42">
        <f>SUMIF('Expense Detail Old'!$E$4:$E$5179,AA$1&amp;" "&amp;$A106,'Expense Detail Old'!$H$4:$H$5179)</f>
        <v>0</v>
      </c>
      <c r="AC106" s="82">
        <f t="shared" si="229"/>
        <v>25</v>
      </c>
      <c r="AD106" s="45">
        <v>0</v>
      </c>
      <c r="AE106" s="42">
        <f>SUMIF('Expense Detail Old'!$E$4:$E$5179,AD$1&amp;" "&amp;$A106,'Expense Detail Old'!$H$4:$H$5179)</f>
        <v>0</v>
      </c>
      <c r="AF106" s="82">
        <f t="shared" si="230"/>
        <v>0</v>
      </c>
      <c r="AG106" s="45">
        <v>0</v>
      </c>
      <c r="AH106" s="42">
        <f>SUMIF('Expense Detail Old'!$E$4:$E$5179,AG$1&amp;" "&amp;$A106,'Expense Detail Old'!$H$4:$H$5179)</f>
        <v>0</v>
      </c>
      <c r="AI106" s="82">
        <f t="shared" si="231"/>
        <v>0</v>
      </c>
      <c r="AJ106" s="45">
        <v>0</v>
      </c>
      <c r="AK106" s="42">
        <f>SUMIF('Expense Detail Old'!$E$4:$E$5179,AJ$1&amp;" "&amp;$A106,'Expense Detail Old'!$H$4:$H$5179)</f>
        <v>0</v>
      </c>
      <c r="AL106" s="82">
        <f t="shared" si="232"/>
        <v>0</v>
      </c>
      <c r="AM106" s="90">
        <f t="shared" si="233"/>
        <v>-75</v>
      </c>
      <c r="AN106" s="93">
        <f t="shared" si="234"/>
        <v>0</v>
      </c>
      <c r="AO106" s="82">
        <f t="shared" si="235"/>
        <v>75</v>
      </c>
    </row>
    <row r="107" spans="1:41">
      <c r="A107" s="18" t="s">
        <v>133</v>
      </c>
      <c r="B107" s="18" t="s">
        <v>144</v>
      </c>
      <c r="C107" s="41">
        <v>289</v>
      </c>
      <c r="D107" s="42">
        <f>SUMIF('Expense Detail Old'!$E$4:$E$5179,C$1&amp;" "&amp;$A107,'Expense Detail Old'!$H$4:$H$5179)</f>
        <v>602.66</v>
      </c>
      <c r="E107" s="82">
        <f t="shared" si="221"/>
        <v>313.65999999999997</v>
      </c>
      <c r="F107" s="42">
        <v>0</v>
      </c>
      <c r="G107" s="42">
        <f>SUMIF('Expense Detail Old'!$E$4:$E$5179,F$1&amp;" "&amp;$A107,'Expense Detail Old'!$H$4:$H$5179)</f>
        <v>0</v>
      </c>
      <c r="H107" s="82">
        <f t="shared" si="222"/>
        <v>0</v>
      </c>
      <c r="I107" s="41">
        <v>0</v>
      </c>
      <c r="J107" s="42">
        <f>SUMIF('Expense Detail Old'!$E$4:$E$5179,I$1&amp;" "&amp;$A107,'Expense Detail Old'!$H$4:$H$5179)</f>
        <v>0</v>
      </c>
      <c r="K107" s="82">
        <f t="shared" si="223"/>
        <v>0</v>
      </c>
      <c r="L107" s="41"/>
      <c r="M107" s="42">
        <f>SUMIF('Expense Detail Old'!$E$4:$E$5179,L$1&amp;" "&amp;$A107,'Expense Detail Old'!$H$4:$H$5179)</f>
        <v>0</v>
      </c>
      <c r="N107" s="82">
        <f t="shared" si="224"/>
        <v>0</v>
      </c>
      <c r="O107" s="41">
        <v>95</v>
      </c>
      <c r="P107" s="42">
        <v>95</v>
      </c>
      <c r="Q107" s="82">
        <f t="shared" si="225"/>
        <v>0</v>
      </c>
      <c r="R107" s="41">
        <v>60</v>
      </c>
      <c r="S107" s="42">
        <v>60</v>
      </c>
      <c r="T107" s="82">
        <f t="shared" si="226"/>
        <v>0</v>
      </c>
      <c r="U107" s="41">
        <v>70</v>
      </c>
      <c r="V107" s="42">
        <v>70</v>
      </c>
      <c r="W107" s="82">
        <f t="shared" si="227"/>
        <v>0</v>
      </c>
      <c r="X107" s="41">
        <v>60</v>
      </c>
      <c r="Y107" s="42">
        <v>60</v>
      </c>
      <c r="Z107" s="82">
        <f t="shared" si="228"/>
        <v>0</v>
      </c>
      <c r="AA107" s="45"/>
      <c r="AB107" s="42">
        <f>SUMIF('Expense Detail Old'!$E$4:$E$5179,AA$1&amp;" "&amp;$A107,'Expense Detail Old'!$H$4:$H$5179)</f>
        <v>0</v>
      </c>
      <c r="AC107" s="82">
        <f t="shared" si="229"/>
        <v>0</v>
      </c>
      <c r="AD107" s="45">
        <v>0</v>
      </c>
      <c r="AE107" s="42">
        <f>SUMIF('Expense Detail Old'!$E$4:$E$5179,AD$1&amp;" "&amp;$A107,'Expense Detail Old'!$H$4:$H$5179)</f>
        <v>0</v>
      </c>
      <c r="AF107" s="82">
        <f t="shared" si="230"/>
        <v>0</v>
      </c>
      <c r="AG107" s="45">
        <v>0</v>
      </c>
      <c r="AH107" s="42">
        <f>SUMIF('Expense Detail Old'!$E$4:$E$5179,AG$1&amp;" "&amp;$A107,'Expense Detail Old'!$H$4:$H$5179)</f>
        <v>0</v>
      </c>
      <c r="AI107" s="82">
        <f t="shared" si="231"/>
        <v>0</v>
      </c>
      <c r="AJ107" s="45">
        <v>0</v>
      </c>
      <c r="AK107" s="42">
        <f>SUMIF('Expense Detail Old'!$E$4:$E$5179,AJ$1&amp;" "&amp;$A107,'Expense Detail Old'!$H$4:$H$5179)</f>
        <v>0</v>
      </c>
      <c r="AL107" s="82">
        <f t="shared" si="232"/>
        <v>0</v>
      </c>
      <c r="AM107" s="90">
        <f t="shared" si="233"/>
        <v>574</v>
      </c>
      <c r="AN107" s="93">
        <f t="shared" si="234"/>
        <v>887.66</v>
      </c>
      <c r="AO107" s="82">
        <f t="shared" si="235"/>
        <v>313.65999999999997</v>
      </c>
    </row>
    <row r="108" spans="1:41">
      <c r="A108" s="18" t="s">
        <v>556</v>
      </c>
      <c r="B108" s="18" t="s">
        <v>144</v>
      </c>
      <c r="C108" s="41"/>
      <c r="D108" s="42">
        <f>SUMIF('Expense Detail Old'!$E$4:$E$5179,C$1&amp;" "&amp;$A108,'Expense Detail Old'!$H$4:$H$5179)</f>
        <v>0</v>
      </c>
      <c r="E108" s="82"/>
      <c r="F108" s="42"/>
      <c r="G108" s="42">
        <f>SUMIF('Expense Detail Old'!$E$4:$E$5179,F$1&amp;" "&amp;$A108,'Expense Detail Old'!$H$4:$H$5179)</f>
        <v>0</v>
      </c>
      <c r="H108" s="93"/>
      <c r="I108" s="42"/>
      <c r="J108" s="42">
        <f>SUMIF('Expense Detail Old'!$E$4:$E$5179,I$1&amp;" "&amp;$A108,'Expense Detail Old'!$H$4:$H$5179)</f>
        <v>0</v>
      </c>
      <c r="K108" s="93"/>
      <c r="L108" s="42"/>
      <c r="M108" s="42">
        <f>SUMIF('Expense Detail Old'!$E$4:$E$5179,L$1&amp;" "&amp;$A108,'Expense Detail Old'!$H$4:$H$5179)</f>
        <v>0</v>
      </c>
      <c r="N108" s="93"/>
      <c r="O108" s="42"/>
      <c r="P108" s="42">
        <f>SUMIF('Expense Detail Old'!$E$4:$E$5179,O$1&amp;" "&amp;$A108,'Expense Detail Old'!$H$4:$H$5179)</f>
        <v>0</v>
      </c>
      <c r="Q108" s="93"/>
      <c r="R108" s="42"/>
      <c r="S108" s="42"/>
      <c r="T108" s="93"/>
      <c r="U108" s="42"/>
      <c r="V108" s="42"/>
      <c r="W108" s="93"/>
      <c r="X108" s="42"/>
      <c r="Y108" s="42"/>
      <c r="Z108" s="93"/>
      <c r="AA108" s="46"/>
      <c r="AB108" s="42">
        <f>SUMIF('Expense Detail Old'!$E$4:$E$5179,AA$1&amp;" "&amp;$A108,'Expense Detail Old'!$H$4:$H$5179)</f>
        <v>0</v>
      </c>
      <c r="AC108" s="93"/>
      <c r="AD108" s="46"/>
      <c r="AE108" s="42">
        <f>SUMIF('Expense Detail Old'!$E$4:$E$5179,AD$1&amp;" "&amp;$A108,'Expense Detail Old'!$H$4:$H$5179)</f>
        <v>0</v>
      </c>
      <c r="AF108" s="93"/>
      <c r="AG108" s="46"/>
      <c r="AH108" s="42">
        <f>SUMIF('Expense Detail Old'!$E$4:$E$5179,AG$1&amp;" "&amp;$A108,'Expense Detail Old'!$H$4:$H$5179)</f>
        <v>0</v>
      </c>
      <c r="AI108" s="93"/>
      <c r="AJ108" s="46"/>
      <c r="AK108" s="42">
        <f>SUMIF('Expense Detail Old'!$E$4:$E$5179,AJ$1&amp;" "&amp;$A108,'Expense Detail Old'!$H$4:$H$5179)</f>
        <v>0</v>
      </c>
      <c r="AL108" s="93"/>
      <c r="AM108" s="90"/>
      <c r="AN108" s="93"/>
      <c r="AO108" s="93"/>
    </row>
    <row r="109" spans="1:41" ht="16.5" thickBot="1">
      <c r="A109" s="18" t="s">
        <v>995</v>
      </c>
      <c r="B109" s="18" t="s">
        <v>144</v>
      </c>
      <c r="C109" s="101"/>
      <c r="D109" s="102">
        <f>SUMIF('Expense Detail Old'!$E$4:$E$5179,C$1&amp;" "&amp;$A109,'Expense Detail Old'!$H$4:$H$5179)</f>
        <v>0</v>
      </c>
      <c r="E109" s="103"/>
      <c r="F109" s="42"/>
      <c r="G109" s="102">
        <f>SUMIF('Expense Detail Old'!$E$4:$E$5179,F$1&amp;" "&amp;$A109,'Expense Detail Old'!$H$4:$H$5179)</f>
        <v>0</v>
      </c>
      <c r="H109" s="93"/>
      <c r="I109" s="42"/>
      <c r="J109" s="102">
        <f>SUMIF('Expense Detail Old'!$E$4:$E$5179,I$1&amp;" "&amp;$A109,'Expense Detail Old'!$H$4:$H$5179)</f>
        <v>0</v>
      </c>
      <c r="K109" s="93"/>
      <c r="L109" s="42"/>
      <c r="M109" s="102">
        <f>SUMIF('Expense Detail Old'!$E$4:$E$5179,L$1&amp;" "&amp;$A109,'Expense Detail Old'!$H$4:$H$5179)</f>
        <v>0</v>
      </c>
      <c r="N109" s="93"/>
      <c r="O109" s="42"/>
      <c r="P109" s="102">
        <f>SUMIF('Expense Detail Old'!$E$4:$E$5179,O$1&amp;" "&amp;$A109,'Expense Detail Old'!$H$4:$H$5179)</f>
        <v>0</v>
      </c>
      <c r="Q109" s="93"/>
      <c r="R109" s="42"/>
      <c r="S109" s="42"/>
      <c r="T109" s="93"/>
      <c r="U109" s="42"/>
      <c r="V109" s="42"/>
      <c r="W109" s="93"/>
      <c r="X109" s="42"/>
      <c r="Y109" s="42"/>
      <c r="Z109" s="93"/>
      <c r="AA109" s="46"/>
      <c r="AB109" s="102">
        <f>SUMIF('Expense Detail Old'!$E$4:$E$5179,AA$1&amp;" "&amp;$A109,'Expense Detail Old'!$H$4:$H$5179)</f>
        <v>0</v>
      </c>
      <c r="AC109" s="93"/>
      <c r="AD109" s="46"/>
      <c r="AE109" s="102">
        <f>SUMIF('Expense Detail Old'!$E$4:$E$5179,AD$1&amp;" "&amp;$A109,'Expense Detail Old'!$H$4:$H$5179)</f>
        <v>0</v>
      </c>
      <c r="AF109" s="93"/>
      <c r="AG109" s="46"/>
      <c r="AH109" s="102">
        <f>SUMIF('Expense Detail Old'!$E$4:$E$5179,AG$1&amp;" "&amp;$A109,'Expense Detail Old'!$H$4:$H$5179)</f>
        <v>0</v>
      </c>
      <c r="AI109" s="93"/>
      <c r="AJ109" s="46"/>
      <c r="AK109" s="102">
        <f>SUMIF('Expense Detail Old'!$E$4:$E$5179,AJ$1&amp;" "&amp;$A109,'Expense Detail Old'!$H$4:$H$5179)</f>
        <v>0</v>
      </c>
      <c r="AL109" s="93"/>
      <c r="AM109" s="90"/>
      <c r="AN109" s="93"/>
      <c r="AO109" s="93"/>
    </row>
    <row r="110" spans="1:41" ht="16.5" thickBot="1">
      <c r="A110" s="36"/>
      <c r="B110" s="36" t="s">
        <v>147</v>
      </c>
      <c r="C110" s="139">
        <f>SUM(C104:C108)</f>
        <v>194</v>
      </c>
      <c r="D110" s="139">
        <f>SUM(D104:D108)</f>
        <v>573.26</v>
      </c>
      <c r="E110" s="96">
        <f t="shared" ref="E110:AO110" si="236">SUM(E104:E107)</f>
        <v>379.26</v>
      </c>
      <c r="F110" s="139">
        <f>SUM(F104:F108)</f>
        <v>-60</v>
      </c>
      <c r="G110" s="139">
        <f>SUM(G104:G108)</f>
        <v>-19.12</v>
      </c>
      <c r="H110" s="84">
        <f t="shared" si="236"/>
        <v>40.879999999999995</v>
      </c>
      <c r="I110" s="139">
        <f>SUM(I104:I108)</f>
        <v>-70</v>
      </c>
      <c r="J110" s="139">
        <f>SUM(J104:J108)</f>
        <v>0</v>
      </c>
      <c r="K110" s="84">
        <f t="shared" si="236"/>
        <v>70</v>
      </c>
      <c r="L110" s="139">
        <f>SUM(L104:L108)</f>
        <v>-60</v>
      </c>
      <c r="M110" s="139">
        <f>SUM(M104:M108)</f>
        <v>-11.30333333333332</v>
      </c>
      <c r="N110" s="84">
        <f t="shared" si="236"/>
        <v>48.69666666666668</v>
      </c>
      <c r="O110" s="139">
        <f t="shared" ref="O110:P110" si="237">SUM(O104:O108)</f>
        <v>0</v>
      </c>
      <c r="P110" s="139">
        <f t="shared" si="237"/>
        <v>9.9833333333333627</v>
      </c>
      <c r="Q110" s="84">
        <f t="shared" si="236"/>
        <v>9.9833333333333591</v>
      </c>
      <c r="R110" s="139">
        <f t="shared" ref="R110:S110" si="238">SUM(R104:R108)</f>
        <v>0</v>
      </c>
      <c r="S110" s="139">
        <f t="shared" si="238"/>
        <v>-25.817499999999981</v>
      </c>
      <c r="T110" s="84">
        <f t="shared" si="236"/>
        <v>-25.817499999999978</v>
      </c>
      <c r="U110" s="139">
        <f t="shared" ref="U110:V110" si="239">SUM(U104:U108)</f>
        <v>0</v>
      </c>
      <c r="V110" s="139">
        <f t="shared" si="239"/>
        <v>70</v>
      </c>
      <c r="W110" s="84">
        <f t="shared" si="236"/>
        <v>70</v>
      </c>
      <c r="X110" s="139">
        <f t="shared" ref="X110:Y110" si="240">SUM(X104:X108)</f>
        <v>50</v>
      </c>
      <c r="Y110" s="139">
        <f t="shared" si="240"/>
        <v>60</v>
      </c>
      <c r="Z110" s="84">
        <f t="shared" si="236"/>
        <v>10</v>
      </c>
      <c r="AA110" s="139">
        <f t="shared" ref="AA110:AB110" si="241">SUM(AA104:AA108)</f>
        <v>-45</v>
      </c>
      <c r="AB110" s="139">
        <f t="shared" si="241"/>
        <v>0</v>
      </c>
      <c r="AC110" s="84">
        <f t="shared" si="236"/>
        <v>45</v>
      </c>
      <c r="AD110" s="139">
        <f t="shared" ref="AD110:AE110" si="242">SUM(AD104:AD108)</f>
        <v>-10</v>
      </c>
      <c r="AE110" s="139">
        <f t="shared" si="242"/>
        <v>0</v>
      </c>
      <c r="AF110" s="84">
        <f t="shared" si="236"/>
        <v>10</v>
      </c>
      <c r="AG110" s="139">
        <f t="shared" ref="AG110:AH110" si="243">SUM(AG104:AG108)</f>
        <v>-20</v>
      </c>
      <c r="AH110" s="139">
        <f t="shared" si="243"/>
        <v>0</v>
      </c>
      <c r="AI110" s="84">
        <f t="shared" si="236"/>
        <v>20</v>
      </c>
      <c r="AJ110" s="139">
        <f t="shared" ref="AJ110:AK110" si="244">SUM(AJ104:AJ108)</f>
        <v>-10</v>
      </c>
      <c r="AK110" s="139">
        <f t="shared" si="244"/>
        <v>0</v>
      </c>
      <c r="AL110" s="84">
        <f t="shared" si="236"/>
        <v>10</v>
      </c>
      <c r="AM110" s="139">
        <f t="shared" ref="AM110:AN110" si="245">SUM(AM104:AM108)</f>
        <v>-31</v>
      </c>
      <c r="AN110" s="139">
        <f t="shared" si="245"/>
        <v>657.00250000000005</v>
      </c>
      <c r="AO110" s="84">
        <f t="shared" si="236"/>
        <v>688.00250000000005</v>
      </c>
    </row>
    <row r="111" spans="1:41" ht="24.75" thickTop="1" thickBot="1">
      <c r="A111" s="275" t="s">
        <v>328</v>
      </c>
      <c r="B111" s="276"/>
      <c r="C111" s="38"/>
      <c r="D111" s="47"/>
      <c r="E111" s="49"/>
      <c r="F111" s="48"/>
      <c r="G111" s="47"/>
      <c r="H111" s="49"/>
      <c r="I111" s="48"/>
      <c r="J111" s="47"/>
      <c r="K111" s="49"/>
      <c r="L111" s="48"/>
      <c r="M111" s="47"/>
      <c r="N111" s="49"/>
      <c r="O111" s="48"/>
      <c r="P111" s="47"/>
      <c r="Q111" s="49"/>
      <c r="R111" s="48"/>
      <c r="S111" s="47"/>
      <c r="T111" s="49"/>
      <c r="U111" s="48"/>
      <c r="V111" s="47"/>
      <c r="W111" s="49"/>
      <c r="X111" s="48"/>
      <c r="Y111" s="47"/>
      <c r="Z111" s="49"/>
      <c r="AA111" s="48"/>
      <c r="AB111" s="47"/>
      <c r="AC111" s="49"/>
      <c r="AD111" s="48"/>
      <c r="AE111" s="47"/>
      <c r="AF111" s="49"/>
      <c r="AG111" s="48"/>
      <c r="AH111" s="47"/>
      <c r="AI111" s="49"/>
      <c r="AJ111" s="48"/>
      <c r="AK111" s="47"/>
      <c r="AL111" s="49"/>
      <c r="AM111" s="48"/>
      <c r="AN111" s="47"/>
      <c r="AO111" s="49"/>
    </row>
    <row r="112" spans="1:41">
      <c r="A112" s="18" t="s">
        <v>317</v>
      </c>
      <c r="B112" s="18" t="s">
        <v>329</v>
      </c>
      <c r="C112" s="140"/>
      <c r="D112" s="99">
        <f>SUMIF('Expense Detail Old'!$E$4:$E$5179,C$1&amp;" "&amp;$A112,'Expense Detail Old'!$H$4:$H$5179)</f>
        <v>0</v>
      </c>
      <c r="E112" s="100">
        <f>D112-C112</f>
        <v>0</v>
      </c>
      <c r="F112" s="44">
        <v>0</v>
      </c>
      <c r="G112" s="99">
        <f>SUMIF('Expense Detail Old'!$E$4:$E$5179,F$1&amp;" "&amp;$A112,'Expense Detail Old'!$H$4:$H$5179)</f>
        <v>0</v>
      </c>
      <c r="H112" s="82">
        <f>G112-F112</f>
        <v>0</v>
      </c>
      <c r="I112" s="78">
        <v>0</v>
      </c>
      <c r="J112" s="99">
        <f>SUMIF('Expense Detail Old'!$E$4:$E$5179,I$1&amp;" "&amp;$A112,'Expense Detail Old'!$H$4:$H$5179)</f>
        <v>0</v>
      </c>
      <c r="K112" s="82">
        <f>J112-I112</f>
        <v>0</v>
      </c>
      <c r="L112" s="78">
        <v>0</v>
      </c>
      <c r="M112" s="99">
        <f>SUMIF('Expense Detail Old'!$E$4:$E$5179,L$1&amp;" "&amp;$A112,'Expense Detail Old'!$H$4:$H$5179)</f>
        <v>0</v>
      </c>
      <c r="N112" s="82">
        <f>M112-L112</f>
        <v>0</v>
      </c>
      <c r="O112" s="78">
        <v>0</v>
      </c>
      <c r="P112" s="99">
        <f>SUMIF('Expense Detail Old'!$E$4:$E$5179,O$1&amp;" "&amp;$A112,'Expense Detail Old'!$H$4:$H$5179)</f>
        <v>0</v>
      </c>
      <c r="Q112" s="82">
        <f>P112-O112</f>
        <v>0</v>
      </c>
      <c r="R112" s="78">
        <v>0</v>
      </c>
      <c r="S112" s="41">
        <f>SUMIF('Expense Detail Old'!$E$4:$E$5179,R$1&amp;" "&amp;$A112,'Expense Detail Old'!$H$4:$H$5179)</f>
        <v>0</v>
      </c>
      <c r="T112" s="82">
        <f>S112-R112</f>
        <v>0</v>
      </c>
      <c r="U112" s="78">
        <v>0</v>
      </c>
      <c r="V112" s="41">
        <f>SUMIF('Expense Detail Old'!$E$4:$E$5179,U$1&amp;" "&amp;$A112,'Expense Detail Old'!$H$4:$H$5179)</f>
        <v>0</v>
      </c>
      <c r="W112" s="82">
        <f>V112-U112</f>
        <v>0</v>
      </c>
      <c r="X112" s="78">
        <v>0</v>
      </c>
      <c r="Y112" s="41">
        <f>SUMIF('Expense Detail Old'!$E$4:$E$5179,X$1&amp;" "&amp;$A112,'Expense Detail Old'!$H$4:$H$5179)</f>
        <v>0</v>
      </c>
      <c r="Z112" s="82">
        <f>Y112-X112</f>
        <v>0</v>
      </c>
      <c r="AA112" s="78">
        <v>0</v>
      </c>
      <c r="AB112" s="99">
        <f>SUMIF('Expense Detail Old'!$E$4:$E$5179,AA$1&amp;" "&amp;$A112,'Expense Detail Old'!$H$4:$H$5179)</f>
        <v>0</v>
      </c>
      <c r="AC112" s="82">
        <f>AB112-AA112</f>
        <v>0</v>
      </c>
      <c r="AD112" s="78">
        <v>0</v>
      </c>
      <c r="AE112" s="99">
        <f>SUMIF('Expense Detail Old'!$E$4:$E$5179,AD$1&amp;" "&amp;$A112,'Expense Detail Old'!$H$4:$H$5179)</f>
        <v>0</v>
      </c>
      <c r="AF112" s="82">
        <f>AE112-AD112</f>
        <v>0</v>
      </c>
      <c r="AG112" s="78">
        <v>0</v>
      </c>
      <c r="AH112" s="99">
        <f>SUMIF('Expense Detail Old'!$E$4:$E$5179,AG$1&amp;" "&amp;$A112,'Expense Detail Old'!$H$4:$H$5179)</f>
        <v>0</v>
      </c>
      <c r="AI112" s="82">
        <f>AH112-AG112</f>
        <v>0</v>
      </c>
      <c r="AJ112" s="78">
        <v>0</v>
      </c>
      <c r="AK112" s="99">
        <f>SUMIF('Expense Detail Old'!$E$4:$E$5179,AJ$1&amp;" "&amp;$A112,'Expense Detail Old'!$H$4:$H$5179)</f>
        <v>0</v>
      </c>
      <c r="AL112" s="82">
        <f>AK112-AJ112</f>
        <v>0</v>
      </c>
      <c r="AM112" s="90">
        <f t="shared" ref="AM112:AM118" si="246">SUM(C112,F112,I112,L112,O112,R112,U112,X112,AA112,AD112,AG112,AJ112)</f>
        <v>0</v>
      </c>
      <c r="AN112" s="93">
        <f t="shared" ref="AN112:AN118" si="247">SUM(D112,G112,J112,M112,P112,S112,V112,Y112,AB112,AE112,AH112,AK112)</f>
        <v>0</v>
      </c>
      <c r="AO112" s="82">
        <f>AN112-AM112</f>
        <v>0</v>
      </c>
    </row>
    <row r="113" spans="1:41">
      <c r="A113" s="18" t="s">
        <v>318</v>
      </c>
      <c r="B113" s="18" t="s">
        <v>329</v>
      </c>
      <c r="C113" s="92"/>
      <c r="D113" s="42">
        <f>SUMIF('Expense Detail Old'!$E$4:$E$5179,C$1&amp;" "&amp;$A113,'Expense Detail Old'!$H$4:$H$5179)</f>
        <v>0</v>
      </c>
      <c r="E113" s="82">
        <f>D113-C113</f>
        <v>0</v>
      </c>
      <c r="F113" s="44">
        <v>0</v>
      </c>
      <c r="G113" s="42">
        <f>SUMIF('Expense Detail Old'!$E$4:$E$5179,F$1&amp;" "&amp;$A113,'Expense Detail Old'!$H$4:$H$5179)</f>
        <v>-39.96</v>
      </c>
      <c r="H113" s="82">
        <f>G113-F113</f>
        <v>-39.96</v>
      </c>
      <c r="I113" s="78">
        <v>0</v>
      </c>
      <c r="J113" s="42">
        <f>SUMIF('Expense Detail Old'!$E$4:$E$5179,I$1&amp;" "&amp;$A113,'Expense Detail Old'!$H$4:$H$5179)</f>
        <v>-31.479999999999997</v>
      </c>
      <c r="K113" s="82">
        <f>J113-I113</f>
        <v>-31.479999999999997</v>
      </c>
      <c r="L113" s="78">
        <v>0</v>
      </c>
      <c r="M113" s="42">
        <f>SUMIF('Expense Detail Old'!$E$4:$E$5179,L$1&amp;" "&amp;$A113,'Expense Detail Old'!$H$4:$H$5179)</f>
        <v>-26.49</v>
      </c>
      <c r="N113" s="82">
        <f>M113-L113</f>
        <v>-26.49</v>
      </c>
      <c r="O113" s="78">
        <v>0</v>
      </c>
      <c r="P113" s="42">
        <f>SUMIF('Expense Detail Old'!$E$4:$E$5179,O$1&amp;" "&amp;$A113,'Expense Detail Old'!$H$4:$H$5179)</f>
        <v>0</v>
      </c>
      <c r="Q113" s="82">
        <f>P113-O113</f>
        <v>0</v>
      </c>
      <c r="R113" s="78">
        <v>0</v>
      </c>
      <c r="S113" s="41">
        <v>-9.99</v>
      </c>
      <c r="T113" s="82">
        <f>S113-R113</f>
        <v>-9.99</v>
      </c>
      <c r="U113" s="78">
        <v>0</v>
      </c>
      <c r="V113" s="41">
        <v>-9.99</v>
      </c>
      <c r="W113" s="82">
        <f>V113-U113</f>
        <v>-9.99</v>
      </c>
      <c r="X113" s="78">
        <v>0</v>
      </c>
      <c r="Y113" s="41">
        <v>-9.99</v>
      </c>
      <c r="Z113" s="82">
        <f>Y113-X113</f>
        <v>-9.99</v>
      </c>
      <c r="AA113" s="78">
        <v>0</v>
      </c>
      <c r="AB113" s="42">
        <f>SUMIF('Expense Detail Old'!$E$4:$E$5179,AA$1&amp;" "&amp;$A113,'Expense Detail Old'!$H$4:$H$5179)</f>
        <v>0</v>
      </c>
      <c r="AC113" s="82">
        <f>AB113-AA113</f>
        <v>0</v>
      </c>
      <c r="AD113" s="78">
        <v>0</v>
      </c>
      <c r="AE113" s="42">
        <f>SUMIF('Expense Detail Old'!$E$4:$E$5179,AD$1&amp;" "&amp;$A113,'Expense Detail Old'!$H$4:$H$5179)</f>
        <v>0</v>
      </c>
      <c r="AF113" s="82">
        <f>AE113-AD113</f>
        <v>0</v>
      </c>
      <c r="AG113" s="78">
        <v>0</v>
      </c>
      <c r="AH113" s="42">
        <f>SUMIF('Expense Detail Old'!$E$4:$E$5179,AG$1&amp;" "&amp;$A113,'Expense Detail Old'!$H$4:$H$5179)</f>
        <v>0</v>
      </c>
      <c r="AI113" s="82">
        <f>AH113-AG113</f>
        <v>0</v>
      </c>
      <c r="AJ113" s="78">
        <v>0</v>
      </c>
      <c r="AK113" s="42">
        <f>SUMIF('Expense Detail Old'!$E$4:$E$5179,AJ$1&amp;" "&amp;$A113,'Expense Detail Old'!$H$4:$H$5179)</f>
        <v>0</v>
      </c>
      <c r="AL113" s="82">
        <f>AK113-AJ113</f>
        <v>0</v>
      </c>
      <c r="AM113" s="90">
        <f t="shared" si="246"/>
        <v>0</v>
      </c>
      <c r="AN113" s="93">
        <f t="shared" si="247"/>
        <v>-127.89999999999998</v>
      </c>
      <c r="AO113" s="82">
        <f>AN113-AM113</f>
        <v>-127.89999999999998</v>
      </c>
    </row>
    <row r="114" spans="1:41">
      <c r="A114" s="18" t="s">
        <v>319</v>
      </c>
      <c r="B114" s="18" t="s">
        <v>329</v>
      </c>
      <c r="C114" s="41"/>
      <c r="D114" s="42">
        <f>SUMIF('Expense Detail Old'!$E$4:$E$5179,C$1&amp;" "&amp;$A114,'Expense Detail Old'!$H$4:$H$5179)</f>
        <v>0</v>
      </c>
      <c r="E114" s="82">
        <f>D114-C114</f>
        <v>0</v>
      </c>
      <c r="F114" s="44">
        <v>0</v>
      </c>
      <c r="G114" s="42">
        <f>SUMIF('Expense Detail Old'!$E$4:$E$5179,F$1&amp;" "&amp;$A114,'Expense Detail Old'!$H$4:$H$5179)</f>
        <v>0</v>
      </c>
      <c r="H114" s="82">
        <f>G114-F114</f>
        <v>0</v>
      </c>
      <c r="I114" s="78">
        <v>0</v>
      </c>
      <c r="J114" s="42">
        <f>SUMIF('Expense Detail Old'!$E$4:$E$5179,I$1&amp;" "&amp;$A114,'Expense Detail Old'!$H$4:$H$5179)</f>
        <v>0</v>
      </c>
      <c r="K114" s="82">
        <f>J114-I114</f>
        <v>0</v>
      </c>
      <c r="L114" s="78">
        <v>0</v>
      </c>
      <c r="M114" s="42">
        <f>SUMIF('Expense Detail Old'!$E$4:$E$5179,L$1&amp;" "&amp;$A114,'Expense Detail Old'!$H$4:$H$5179)</f>
        <v>0</v>
      </c>
      <c r="N114" s="82">
        <f>M114-L114</f>
        <v>0</v>
      </c>
      <c r="O114" s="78">
        <v>0</v>
      </c>
      <c r="P114" s="42">
        <f>SUMIF('Expense Detail Old'!$E$4:$E$5179,O$1&amp;" "&amp;$A114,'Expense Detail Old'!$H$4:$H$5179)</f>
        <v>0</v>
      </c>
      <c r="Q114" s="82">
        <f>P114-O114</f>
        <v>0</v>
      </c>
      <c r="R114" s="78">
        <v>0</v>
      </c>
      <c r="S114" s="41">
        <f>SUMIF('Expense Detail Old'!$E$4:$E$5179,R$1&amp;" "&amp;$A114,'Expense Detail Old'!$H$4:$H$5179)</f>
        <v>0</v>
      </c>
      <c r="T114" s="82">
        <f>S114-R114</f>
        <v>0</v>
      </c>
      <c r="U114" s="78">
        <v>0</v>
      </c>
      <c r="V114" s="41">
        <f>SUMIF('Expense Detail Old'!$E$4:$E$5179,U$1&amp;" "&amp;$A114,'Expense Detail Old'!$H$4:$H$5179)</f>
        <v>0</v>
      </c>
      <c r="W114" s="82">
        <f>V114-U114</f>
        <v>0</v>
      </c>
      <c r="X114" s="78">
        <v>0</v>
      </c>
      <c r="Y114" s="41">
        <f>SUMIF('Expense Detail Old'!$E$4:$E$5179,X$1&amp;" "&amp;$A114,'Expense Detail Old'!$H$4:$H$5179)</f>
        <v>0</v>
      </c>
      <c r="Z114" s="82">
        <f>Y114-X114</f>
        <v>0</v>
      </c>
      <c r="AA114" s="78">
        <v>0</v>
      </c>
      <c r="AB114" s="42">
        <f>SUMIF('Expense Detail Old'!$E$4:$E$5179,AA$1&amp;" "&amp;$A114,'Expense Detail Old'!$H$4:$H$5179)</f>
        <v>0</v>
      </c>
      <c r="AC114" s="82">
        <f>AB114-AA114</f>
        <v>0</v>
      </c>
      <c r="AD114" s="78">
        <v>0</v>
      </c>
      <c r="AE114" s="42">
        <f>SUMIF('Expense Detail Old'!$E$4:$E$5179,AD$1&amp;" "&amp;$A114,'Expense Detail Old'!$H$4:$H$5179)</f>
        <v>0</v>
      </c>
      <c r="AF114" s="82">
        <f>AE114-AD114</f>
        <v>0</v>
      </c>
      <c r="AG114" s="78">
        <v>0</v>
      </c>
      <c r="AH114" s="42">
        <f>SUMIF('Expense Detail Old'!$E$4:$E$5179,AG$1&amp;" "&amp;$A114,'Expense Detail Old'!$H$4:$H$5179)</f>
        <v>0</v>
      </c>
      <c r="AI114" s="82">
        <f>AH114-AG114</f>
        <v>0</v>
      </c>
      <c r="AJ114" s="78">
        <v>0</v>
      </c>
      <c r="AK114" s="42">
        <f>SUMIF('Expense Detail Old'!$E$4:$E$5179,AJ$1&amp;" "&amp;$A114,'Expense Detail Old'!$H$4:$H$5179)</f>
        <v>0</v>
      </c>
      <c r="AL114" s="82">
        <f>AK114-AJ114</f>
        <v>0</v>
      </c>
      <c r="AM114" s="90">
        <f t="shared" si="246"/>
        <v>0</v>
      </c>
      <c r="AN114" s="93">
        <f t="shared" si="247"/>
        <v>0</v>
      </c>
      <c r="AO114" s="82">
        <f>AN114-AM114</f>
        <v>0</v>
      </c>
    </row>
    <row r="115" spans="1:41">
      <c r="A115" s="18" t="s">
        <v>320</v>
      </c>
      <c r="B115" s="18" t="s">
        <v>329</v>
      </c>
      <c r="C115" s="41"/>
      <c r="D115" s="42">
        <f>SUMIF('Expense Detail Old'!$E$4:$E$5179,C$1&amp;" "&amp;$A115,'Expense Detail Old'!$H$4:$H$5179)</f>
        <v>0</v>
      </c>
      <c r="E115" s="82">
        <f>D115-C115</f>
        <v>0</v>
      </c>
      <c r="F115" s="44">
        <v>0</v>
      </c>
      <c r="G115" s="42">
        <f>SUMIF('Expense Detail Old'!$E$4:$E$5179,F$1&amp;" "&amp;$A115,'Expense Detail Old'!$H$4:$H$5179)</f>
        <v>0</v>
      </c>
      <c r="H115" s="82">
        <f>G115-F115</f>
        <v>0</v>
      </c>
      <c r="I115" s="78">
        <v>0</v>
      </c>
      <c r="J115" s="42">
        <f>SUMIF('Expense Detail Old'!$E$4:$E$5179,I$1&amp;" "&amp;$A115,'Expense Detail Old'!$H$4:$H$5179)</f>
        <v>0</v>
      </c>
      <c r="K115" s="82">
        <f>J115-I115</f>
        <v>0</v>
      </c>
      <c r="L115" s="78">
        <v>0</v>
      </c>
      <c r="M115" s="42">
        <f>SUMIF('Expense Detail Old'!$E$4:$E$5179,L$1&amp;" "&amp;$A115,'Expense Detail Old'!$H$4:$H$5179)</f>
        <v>0</v>
      </c>
      <c r="N115" s="82">
        <f>M115-L115</f>
        <v>0</v>
      </c>
      <c r="O115" s="78">
        <v>0</v>
      </c>
      <c r="P115" s="42">
        <f>SUMIF('Expense Detail Old'!$E$4:$E$5179,O$1&amp;" "&amp;$A115,'Expense Detail Old'!$H$4:$H$5179)</f>
        <v>0</v>
      </c>
      <c r="Q115" s="82">
        <f>P115-O115</f>
        <v>0</v>
      </c>
      <c r="R115" s="78">
        <v>0</v>
      </c>
      <c r="S115" s="41">
        <f>SUMIF('Expense Detail Old'!$E$4:$E$5179,R$1&amp;" "&amp;$A115,'Expense Detail Old'!$H$4:$H$5179)</f>
        <v>0</v>
      </c>
      <c r="T115" s="82">
        <f>S115-R115</f>
        <v>0</v>
      </c>
      <c r="U115" s="78">
        <v>0</v>
      </c>
      <c r="V115" s="41">
        <f>SUMIF('Expense Detail Old'!$E$4:$E$5179,U$1&amp;" "&amp;$A115,'Expense Detail Old'!$H$4:$H$5179)</f>
        <v>0</v>
      </c>
      <c r="W115" s="82">
        <f>V115-U115</f>
        <v>0</v>
      </c>
      <c r="X115" s="78">
        <v>0</v>
      </c>
      <c r="Y115" s="41">
        <f>SUMIF('Expense Detail Old'!$E$4:$E$5179,X$1&amp;" "&amp;$A115,'Expense Detail Old'!$H$4:$H$5179)</f>
        <v>0</v>
      </c>
      <c r="Z115" s="82">
        <f>Y115-X115</f>
        <v>0</v>
      </c>
      <c r="AA115" s="78">
        <v>0</v>
      </c>
      <c r="AB115" s="42">
        <f>SUMIF('Expense Detail Old'!$E$4:$E$5179,AA$1&amp;" "&amp;$A115,'Expense Detail Old'!$H$4:$H$5179)</f>
        <v>0</v>
      </c>
      <c r="AC115" s="82">
        <f>AB115-AA115</f>
        <v>0</v>
      </c>
      <c r="AD115" s="78">
        <v>0</v>
      </c>
      <c r="AE115" s="42">
        <f>SUMIF('Expense Detail Old'!$E$4:$E$5179,AD$1&amp;" "&amp;$A115,'Expense Detail Old'!$H$4:$H$5179)</f>
        <v>0</v>
      </c>
      <c r="AF115" s="82">
        <f>AE115-AD115</f>
        <v>0</v>
      </c>
      <c r="AG115" s="78">
        <v>0</v>
      </c>
      <c r="AH115" s="42">
        <f>SUMIF('Expense Detail Old'!$E$4:$E$5179,AG$1&amp;" "&amp;$A115,'Expense Detail Old'!$H$4:$H$5179)</f>
        <v>0</v>
      </c>
      <c r="AI115" s="82">
        <f>AH115-AG115</f>
        <v>0</v>
      </c>
      <c r="AJ115" s="78">
        <v>0</v>
      </c>
      <c r="AK115" s="42">
        <f>SUMIF('Expense Detail Old'!$E$4:$E$5179,AJ$1&amp;" "&amp;$A115,'Expense Detail Old'!$H$4:$H$5179)</f>
        <v>0</v>
      </c>
      <c r="AL115" s="82">
        <f>AK115-AJ115</f>
        <v>0</v>
      </c>
      <c r="AM115" s="90">
        <f t="shared" si="246"/>
        <v>0</v>
      </c>
      <c r="AN115" s="93">
        <f t="shared" si="247"/>
        <v>0</v>
      </c>
      <c r="AO115" s="82">
        <f>AN115-AM115</f>
        <v>0</v>
      </c>
    </row>
    <row r="116" spans="1:41">
      <c r="A116" s="18" t="s">
        <v>322</v>
      </c>
      <c r="B116" s="18" t="s">
        <v>329</v>
      </c>
      <c r="C116" s="41"/>
      <c r="D116" s="42">
        <f>SUMIF('Expense Detail Old'!$E$4:$E$5179,C$1&amp;" "&amp;$A116,'Expense Detail Old'!$H$4:$H$5179)</f>
        <v>0</v>
      </c>
      <c r="E116" s="82"/>
      <c r="F116" s="44"/>
      <c r="G116" s="42">
        <f>SUMIF('Expense Detail Old'!$E$4:$E$5179,F$1&amp;" "&amp;$A116,'Expense Detail Old'!$H$4:$H$5179)</f>
        <v>0</v>
      </c>
      <c r="H116" s="82"/>
      <c r="I116" s="78"/>
      <c r="J116" s="42">
        <f>SUMIF('Expense Detail Old'!$E$4:$E$5179,I$1&amp;" "&amp;$A116,'Expense Detail Old'!$H$4:$H$5179)</f>
        <v>0</v>
      </c>
      <c r="K116" s="82"/>
      <c r="L116" s="78"/>
      <c r="M116" s="42">
        <f>SUMIF('Expense Detail Old'!$E$4:$E$5179,L$1&amp;" "&amp;$A116,'Expense Detail Old'!$H$4:$H$5179)</f>
        <v>0</v>
      </c>
      <c r="N116" s="82"/>
      <c r="O116" s="78"/>
      <c r="P116" s="42">
        <f>SUMIF('Expense Detail Old'!$E$4:$E$5179,O$1&amp;" "&amp;$A116,'Expense Detail Old'!$H$4:$H$5179)</f>
        <v>0</v>
      </c>
      <c r="Q116" s="82"/>
      <c r="R116" s="78"/>
      <c r="S116" s="41"/>
      <c r="T116" s="82"/>
      <c r="U116" s="78"/>
      <c r="V116" s="41"/>
      <c r="W116" s="82"/>
      <c r="X116" s="78"/>
      <c r="Y116" s="41"/>
      <c r="Z116" s="82"/>
      <c r="AA116" s="78"/>
      <c r="AB116" s="42">
        <f>SUMIF('Expense Detail Old'!$E$4:$E$5179,AA$1&amp;" "&amp;$A116,'Expense Detail Old'!$H$4:$H$5179)</f>
        <v>0</v>
      </c>
      <c r="AC116" s="82"/>
      <c r="AD116" s="78"/>
      <c r="AE116" s="42">
        <f>SUMIF('Expense Detail Old'!$E$4:$E$5179,AD$1&amp;" "&amp;$A116,'Expense Detail Old'!$H$4:$H$5179)</f>
        <v>0</v>
      </c>
      <c r="AF116" s="82"/>
      <c r="AG116" s="78"/>
      <c r="AH116" s="42">
        <f>SUMIF('Expense Detail Old'!$E$4:$E$5179,AG$1&amp;" "&amp;$A116,'Expense Detail Old'!$H$4:$H$5179)</f>
        <v>0</v>
      </c>
      <c r="AI116" s="82"/>
      <c r="AJ116" s="78"/>
      <c r="AK116" s="42">
        <f>SUMIF('Expense Detail Old'!$E$4:$E$5179,AJ$1&amp;" "&amp;$A116,'Expense Detail Old'!$H$4:$H$5179)</f>
        <v>0</v>
      </c>
      <c r="AL116" s="82"/>
      <c r="AM116" s="90">
        <f t="shared" si="246"/>
        <v>0</v>
      </c>
      <c r="AN116" s="93">
        <f t="shared" si="247"/>
        <v>0</v>
      </c>
      <c r="AO116" s="82"/>
    </row>
    <row r="117" spans="1:41">
      <c r="A117" s="18" t="s">
        <v>323</v>
      </c>
      <c r="B117" s="18" t="s">
        <v>329</v>
      </c>
      <c r="C117" s="41"/>
      <c r="D117" s="42">
        <f>SUMIF('Expense Detail Old'!$E$4:$E$5179,C$1&amp;" "&amp;$A117,'Expense Detail Old'!$H$4:$H$5179)</f>
        <v>0</v>
      </c>
      <c r="E117" s="82"/>
      <c r="F117" s="44"/>
      <c r="G117" s="42">
        <f>SUMIF('Expense Detail Old'!$E$4:$E$5179,F$1&amp;" "&amp;$A117,'Expense Detail Old'!$H$4:$H$5179)</f>
        <v>0</v>
      </c>
      <c r="H117" s="82"/>
      <c r="I117" s="78"/>
      <c r="J117" s="42">
        <f>SUMIF('Expense Detail Old'!$E$4:$E$5179,I$1&amp;" "&amp;$A117,'Expense Detail Old'!$H$4:$H$5179)</f>
        <v>0</v>
      </c>
      <c r="K117" s="82"/>
      <c r="L117" s="78"/>
      <c r="M117" s="42">
        <f>SUMIF('Expense Detail Old'!$E$4:$E$5179,L$1&amp;" "&amp;$A117,'Expense Detail Old'!$H$4:$H$5179)</f>
        <v>0</v>
      </c>
      <c r="N117" s="82"/>
      <c r="O117" s="78"/>
      <c r="P117" s="42">
        <f>SUMIF('Expense Detail Old'!$E$4:$E$5179,O$1&amp;" "&amp;$A117,'Expense Detail Old'!$H$4:$H$5179)</f>
        <v>0</v>
      </c>
      <c r="Q117" s="82"/>
      <c r="R117" s="78"/>
      <c r="S117" s="41"/>
      <c r="T117" s="82"/>
      <c r="U117" s="78"/>
      <c r="V117" s="41"/>
      <c r="W117" s="82"/>
      <c r="X117" s="78"/>
      <c r="Y117" s="41"/>
      <c r="Z117" s="82"/>
      <c r="AA117" s="78"/>
      <c r="AB117" s="42">
        <f>SUMIF('Expense Detail Old'!$E$4:$E$5179,AA$1&amp;" "&amp;$A117,'Expense Detail Old'!$H$4:$H$5179)</f>
        <v>0</v>
      </c>
      <c r="AC117" s="82"/>
      <c r="AD117" s="78"/>
      <c r="AE117" s="42">
        <f>SUMIF('Expense Detail Old'!$E$4:$E$5179,AD$1&amp;" "&amp;$A117,'Expense Detail Old'!$H$4:$H$5179)</f>
        <v>0</v>
      </c>
      <c r="AF117" s="82"/>
      <c r="AG117" s="78"/>
      <c r="AH117" s="42">
        <f>SUMIF('Expense Detail Old'!$E$4:$E$5179,AG$1&amp;" "&amp;$A117,'Expense Detail Old'!$H$4:$H$5179)</f>
        <v>0</v>
      </c>
      <c r="AI117" s="82"/>
      <c r="AJ117" s="78"/>
      <c r="AK117" s="42">
        <f>SUMIF('Expense Detail Old'!$E$4:$E$5179,AJ$1&amp;" "&amp;$A117,'Expense Detail Old'!$H$4:$H$5179)</f>
        <v>0</v>
      </c>
      <c r="AL117" s="82"/>
      <c r="AM117" s="90">
        <f t="shared" si="246"/>
        <v>0</v>
      </c>
      <c r="AN117" s="93">
        <f t="shared" si="247"/>
        <v>0</v>
      </c>
      <c r="AO117" s="82"/>
    </row>
    <row r="118" spans="1:41" ht="16.5" thickBot="1">
      <c r="A118" s="18" t="s">
        <v>321</v>
      </c>
      <c r="B118" s="18" t="s">
        <v>329</v>
      </c>
      <c r="C118" s="101"/>
      <c r="D118" s="102">
        <f>SUMIF('Expense Detail Old'!$E$4:$E$5179,C$1&amp;" "&amp;$A118,'Expense Detail Old'!$H$4:$H$5179)</f>
        <v>0</v>
      </c>
      <c r="E118" s="103">
        <f>D118-C118</f>
        <v>0</v>
      </c>
      <c r="F118" s="44">
        <v>0</v>
      </c>
      <c r="G118" s="102">
        <f>SUMIF('Expense Detail Old'!$E$4:$E$5179,F$1&amp;" "&amp;$A118,'Expense Detail Old'!$H$4:$H$5179)</f>
        <v>0</v>
      </c>
      <c r="H118" s="82">
        <f>G118-F118</f>
        <v>0</v>
      </c>
      <c r="I118" s="78">
        <v>0</v>
      </c>
      <c r="J118" s="102">
        <f>SUMIF('Expense Detail Old'!$E$4:$E$5179,I$1&amp;" "&amp;$A118,'Expense Detail Old'!$H$4:$H$5179)</f>
        <v>0</v>
      </c>
      <c r="K118" s="82">
        <f>J118-I118</f>
        <v>0</v>
      </c>
      <c r="L118" s="78">
        <v>0</v>
      </c>
      <c r="M118" s="102">
        <f>SUMIF('Expense Detail Old'!$E$4:$E$5179,L$1&amp;" "&amp;$A118,'Expense Detail Old'!$H$4:$H$5179)</f>
        <v>0</v>
      </c>
      <c r="N118" s="82">
        <f>M118-L118</f>
        <v>0</v>
      </c>
      <c r="O118" s="78">
        <v>0</v>
      </c>
      <c r="P118" s="102">
        <f>SUMIF('Expense Detail Old'!$E$4:$E$5179,O$1&amp;" "&amp;$A118,'Expense Detail Old'!$H$4:$H$5179)</f>
        <v>0</v>
      </c>
      <c r="Q118" s="82">
        <f>P118-O118</f>
        <v>0</v>
      </c>
      <c r="R118" s="78">
        <v>0</v>
      </c>
      <c r="S118" s="41">
        <f>SUMIF('Expense Detail Old'!$E$4:$E$5179,R$1&amp;" "&amp;$A118,'Expense Detail Old'!$H$4:$H$5179)</f>
        <v>0</v>
      </c>
      <c r="T118" s="82">
        <f>S118-R118</f>
        <v>0</v>
      </c>
      <c r="U118" s="78">
        <v>0</v>
      </c>
      <c r="V118" s="41">
        <f>SUMIF('Expense Detail Old'!$E$4:$E$5179,U$1&amp;" "&amp;$A118,'Expense Detail Old'!$H$4:$H$5179)</f>
        <v>0</v>
      </c>
      <c r="W118" s="82">
        <f>V118-U118</f>
        <v>0</v>
      </c>
      <c r="X118" s="78">
        <v>0</v>
      </c>
      <c r="Y118" s="41">
        <f>SUMIF('Expense Detail Old'!$E$4:$E$5179,X$1&amp;" "&amp;$A118,'Expense Detail Old'!$H$4:$H$5179)</f>
        <v>0</v>
      </c>
      <c r="Z118" s="82">
        <f>Y118-X118</f>
        <v>0</v>
      </c>
      <c r="AA118" s="78">
        <v>0</v>
      </c>
      <c r="AB118" s="102">
        <f>SUMIF('Expense Detail Old'!$E$4:$E$5179,AA$1&amp;" "&amp;$A118,'Expense Detail Old'!$H$4:$H$5179)</f>
        <v>0</v>
      </c>
      <c r="AC118" s="82">
        <f>AB118-AA118</f>
        <v>0</v>
      </c>
      <c r="AD118" s="78">
        <v>0</v>
      </c>
      <c r="AE118" s="102">
        <f>SUMIF('Expense Detail Old'!$E$4:$E$5179,AD$1&amp;" "&amp;$A118,'Expense Detail Old'!$H$4:$H$5179)</f>
        <v>0</v>
      </c>
      <c r="AF118" s="82">
        <f>AE118-AD118</f>
        <v>0</v>
      </c>
      <c r="AG118" s="78">
        <v>0</v>
      </c>
      <c r="AH118" s="102">
        <f>SUMIF('Expense Detail Old'!$E$4:$E$5179,AG$1&amp;" "&amp;$A118,'Expense Detail Old'!$H$4:$H$5179)</f>
        <v>0</v>
      </c>
      <c r="AI118" s="82">
        <f>AH118-AG118</f>
        <v>0</v>
      </c>
      <c r="AJ118" s="78">
        <v>0</v>
      </c>
      <c r="AK118" s="102">
        <f>SUMIF('Expense Detail Old'!$E$4:$E$5179,AJ$1&amp;" "&amp;$A118,'Expense Detail Old'!$H$4:$H$5179)</f>
        <v>0</v>
      </c>
      <c r="AL118" s="82">
        <f>AK118-AJ118</f>
        <v>0</v>
      </c>
      <c r="AM118" s="90">
        <f t="shared" si="246"/>
        <v>0</v>
      </c>
      <c r="AN118" s="93">
        <f t="shared" si="247"/>
        <v>0</v>
      </c>
      <c r="AO118" s="82">
        <f>AN118-AM118</f>
        <v>0</v>
      </c>
    </row>
    <row r="119" spans="1:41" ht="16.5" thickBot="1">
      <c r="A119" s="36"/>
      <c r="B119" s="36" t="s">
        <v>330</v>
      </c>
      <c r="C119" s="139">
        <f t="shared" ref="C119:AO119" si="248">SUM(C112:C118)</f>
        <v>0</v>
      </c>
      <c r="D119" s="96">
        <f t="shared" si="248"/>
        <v>0</v>
      </c>
      <c r="E119" s="96">
        <f t="shared" si="248"/>
        <v>0</v>
      </c>
      <c r="F119" s="85">
        <f t="shared" si="248"/>
        <v>0</v>
      </c>
      <c r="G119" s="96">
        <f t="shared" ref="G119" si="249">SUM(G112:G118)</f>
        <v>-39.96</v>
      </c>
      <c r="H119" s="84">
        <f t="shared" si="248"/>
        <v>-39.96</v>
      </c>
      <c r="I119" s="85">
        <f t="shared" si="248"/>
        <v>0</v>
      </c>
      <c r="J119" s="96">
        <f t="shared" ref="J119" si="250">SUM(J112:J118)</f>
        <v>-31.479999999999997</v>
      </c>
      <c r="K119" s="84">
        <f t="shared" si="248"/>
        <v>-31.479999999999997</v>
      </c>
      <c r="L119" s="85">
        <f t="shared" si="248"/>
        <v>0</v>
      </c>
      <c r="M119" s="96">
        <f t="shared" ref="M119" si="251">SUM(M112:M118)</f>
        <v>-26.49</v>
      </c>
      <c r="N119" s="84">
        <f t="shared" si="248"/>
        <v>-26.49</v>
      </c>
      <c r="O119" s="85">
        <f t="shared" si="248"/>
        <v>0</v>
      </c>
      <c r="P119" s="96">
        <f t="shared" ref="P119" si="252">SUM(P112:P118)</f>
        <v>0</v>
      </c>
      <c r="Q119" s="84">
        <f t="shared" si="248"/>
        <v>0</v>
      </c>
      <c r="R119" s="85">
        <f t="shared" si="248"/>
        <v>0</v>
      </c>
      <c r="S119" s="84">
        <f t="shared" si="248"/>
        <v>-9.99</v>
      </c>
      <c r="T119" s="84">
        <f t="shared" si="248"/>
        <v>-9.99</v>
      </c>
      <c r="U119" s="85">
        <f t="shared" si="248"/>
        <v>0</v>
      </c>
      <c r="V119" s="84">
        <f t="shared" si="248"/>
        <v>-9.99</v>
      </c>
      <c r="W119" s="84">
        <f t="shared" si="248"/>
        <v>-9.99</v>
      </c>
      <c r="X119" s="85">
        <f t="shared" si="248"/>
        <v>0</v>
      </c>
      <c r="Y119" s="84">
        <f t="shared" si="248"/>
        <v>-9.99</v>
      </c>
      <c r="Z119" s="84">
        <f t="shared" si="248"/>
        <v>-9.99</v>
      </c>
      <c r="AA119" s="85">
        <f t="shared" si="248"/>
        <v>0</v>
      </c>
      <c r="AB119" s="96">
        <f t="shared" ref="AB119" si="253">SUM(AB112:AB118)</f>
        <v>0</v>
      </c>
      <c r="AC119" s="84">
        <f t="shared" si="248"/>
        <v>0</v>
      </c>
      <c r="AD119" s="85">
        <f t="shared" si="248"/>
        <v>0</v>
      </c>
      <c r="AE119" s="96">
        <f t="shared" ref="AE119" si="254">SUM(AE112:AE118)</f>
        <v>0</v>
      </c>
      <c r="AF119" s="84">
        <f t="shared" si="248"/>
        <v>0</v>
      </c>
      <c r="AG119" s="85">
        <f t="shared" si="248"/>
        <v>0</v>
      </c>
      <c r="AH119" s="96">
        <f t="shared" ref="AH119" si="255">SUM(AH112:AH118)</f>
        <v>0</v>
      </c>
      <c r="AI119" s="84">
        <f t="shared" si="248"/>
        <v>0</v>
      </c>
      <c r="AJ119" s="85">
        <f t="shared" si="248"/>
        <v>0</v>
      </c>
      <c r="AK119" s="96">
        <f t="shared" ref="AK119" si="256">SUM(AK112:AK118)</f>
        <v>0</v>
      </c>
      <c r="AL119" s="84">
        <f t="shared" si="248"/>
        <v>0</v>
      </c>
      <c r="AM119" s="85">
        <f t="shared" si="248"/>
        <v>0</v>
      </c>
      <c r="AN119" s="84">
        <f t="shared" si="248"/>
        <v>-127.89999999999998</v>
      </c>
      <c r="AO119" s="84">
        <f t="shared" si="248"/>
        <v>-127.89999999999998</v>
      </c>
    </row>
    <row r="120" spans="1:41" ht="24.75" thickTop="1" thickBot="1">
      <c r="A120" s="275" t="s">
        <v>334</v>
      </c>
      <c r="B120" s="276"/>
      <c r="C120" s="38"/>
      <c r="D120" s="47"/>
      <c r="E120" s="49"/>
      <c r="F120" s="48"/>
      <c r="G120" s="47"/>
      <c r="H120" s="49"/>
      <c r="I120" s="48"/>
      <c r="J120" s="47"/>
      <c r="K120" s="49"/>
      <c r="L120" s="48"/>
      <c r="M120" s="47"/>
      <c r="N120" s="49"/>
      <c r="O120" s="48"/>
      <c r="P120" s="47"/>
      <c r="Q120" s="49"/>
      <c r="R120" s="48"/>
      <c r="S120" s="47"/>
      <c r="T120" s="49"/>
      <c r="U120" s="48"/>
      <c r="V120" s="47"/>
      <c r="W120" s="49"/>
      <c r="X120" s="48"/>
      <c r="Y120" s="47"/>
      <c r="Z120" s="49"/>
      <c r="AA120" s="48"/>
      <c r="AB120" s="47"/>
      <c r="AC120" s="49"/>
      <c r="AD120" s="48"/>
      <c r="AE120" s="47"/>
      <c r="AF120" s="49"/>
      <c r="AG120" s="48"/>
      <c r="AH120" s="47"/>
      <c r="AI120" s="49"/>
      <c r="AJ120" s="48"/>
      <c r="AK120" s="47"/>
      <c r="AL120" s="49"/>
      <c r="AM120" s="48"/>
      <c r="AN120" s="47"/>
      <c r="AO120" s="49"/>
    </row>
    <row r="121" spans="1:41">
      <c r="A121" s="18" t="s">
        <v>324</v>
      </c>
      <c r="B121" s="18" t="s">
        <v>331</v>
      </c>
      <c r="C121" s="140"/>
      <c r="D121" s="99">
        <f>SUMIF('Expense Detail Old'!$E$4:$E$5179,C$1&amp;" "&amp;$A121,'Expense Detail Old'!$H$4:$H$5179)</f>
        <v>-584.88</v>
      </c>
      <c r="E121" s="100">
        <f>D121-C121</f>
        <v>-584.88</v>
      </c>
      <c r="F121" s="44">
        <v>0</v>
      </c>
      <c r="G121" s="99">
        <f>SUMIF('Expense Detail Old'!$E$4:$E$5179,F$1&amp;" "&amp;$A121,'Expense Detail Old'!$H$4:$H$5179)</f>
        <v>-583.91</v>
      </c>
      <c r="H121" s="82">
        <f>G121-F121</f>
        <v>-583.91</v>
      </c>
      <c r="I121" s="78">
        <v>0</v>
      </c>
      <c r="J121" s="99">
        <f>SUMIF('Expense Detail Old'!$E$4:$E$5179,I$1&amp;" "&amp;$A121,'Expense Detail Old'!$H$4:$H$5179)</f>
        <v>0</v>
      </c>
      <c r="K121" s="82">
        <f>J121-I121</f>
        <v>0</v>
      </c>
      <c r="L121" s="78">
        <v>0</v>
      </c>
      <c r="M121" s="99">
        <f>SUMIF('Expense Detail Old'!$E$4:$E$5179,L$1&amp;" "&amp;$A121,'Expense Detail Old'!$H$4:$H$5179)</f>
        <v>-582.92999999999995</v>
      </c>
      <c r="N121" s="82">
        <f>M121-L121</f>
        <v>-582.92999999999995</v>
      </c>
      <c r="O121" s="78">
        <v>0</v>
      </c>
      <c r="P121" s="99">
        <f>SUMIF('Expense Detail Old'!$E$4:$E$5179,O$1&amp;" "&amp;$A121,'Expense Detail Old'!$H$4:$H$5179)</f>
        <v>-582.92999999999995</v>
      </c>
      <c r="Q121" s="82">
        <f>P121-O121</f>
        <v>-582.92999999999995</v>
      </c>
      <c r="R121" s="78">
        <v>0</v>
      </c>
      <c r="S121" s="41">
        <f>SUMIF('Expense Detail Old'!$E$4:$E$5179,R$1&amp;" "&amp;$A121,'Expense Detail Old'!$H$4:$H$5179)</f>
        <v>-582.92999999999995</v>
      </c>
      <c r="T121" s="82">
        <f>S121-R121</f>
        <v>-582.92999999999995</v>
      </c>
      <c r="U121" s="78">
        <v>0</v>
      </c>
      <c r="V121" s="41">
        <f>SUMIF('Expense Detail Old'!$E$4:$E$5179,U$1&amp;" "&amp;$A121,'Expense Detail Old'!$H$4:$H$5179)</f>
        <v>579.96</v>
      </c>
      <c r="W121" s="82">
        <f>V121-U121</f>
        <v>579.96</v>
      </c>
      <c r="X121" s="78">
        <v>0</v>
      </c>
      <c r="Y121" s="41">
        <f>SUMIF('Expense Detail Old'!$E$4:$E$5179,X$1&amp;" "&amp;$A121,'Expense Detail Old'!$H$4:$H$5179)</f>
        <v>1156.92</v>
      </c>
      <c r="Z121" s="82">
        <f>Y121-X121</f>
        <v>1156.92</v>
      </c>
      <c r="AA121" s="78">
        <v>0</v>
      </c>
      <c r="AB121" s="99">
        <f>SUMIF('Expense Detail Old'!$E$4:$E$5179,AA$1&amp;" "&amp;$A121,'Expense Detail Old'!$H$4:$H$5179)</f>
        <v>0</v>
      </c>
      <c r="AC121" s="82">
        <f>AB121-AA121</f>
        <v>0</v>
      </c>
      <c r="AD121" s="78">
        <v>0</v>
      </c>
      <c r="AE121" s="99">
        <f>SUMIF('Expense Detail Old'!$E$4:$E$5179,AD$1&amp;" "&amp;$A121,'Expense Detail Old'!$H$4:$H$5179)</f>
        <v>0</v>
      </c>
      <c r="AF121" s="82">
        <f>AE121-AD121</f>
        <v>0</v>
      </c>
      <c r="AG121" s="78">
        <v>0</v>
      </c>
      <c r="AH121" s="99">
        <f>SUMIF('Expense Detail Old'!$E$4:$E$5179,AG$1&amp;" "&amp;$A121,'Expense Detail Old'!$H$4:$H$5179)</f>
        <v>0</v>
      </c>
      <c r="AI121" s="82">
        <f>AH121-AG121</f>
        <v>0</v>
      </c>
      <c r="AJ121" s="78">
        <v>0</v>
      </c>
      <c r="AK121" s="99">
        <f>SUMIF('Expense Detail Old'!$E$4:$E$5179,AJ$1&amp;" "&amp;$A121,'Expense Detail Old'!$H$4:$H$5179)</f>
        <v>0</v>
      </c>
      <c r="AL121" s="82">
        <f>AK121-AJ121</f>
        <v>0</v>
      </c>
      <c r="AM121" s="90">
        <f t="shared" ref="AM121:AM124" si="257">SUM(C121,F121,I121,L121,O121,R121,U121,X121,AA121,AD121,AG121,AJ121)</f>
        <v>0</v>
      </c>
      <c r="AN121" s="93">
        <f t="shared" ref="AN121:AN124" si="258">SUM(D121,G121,J121,M121,P121,S121,V121,Y121,AB121,AE121,AH121,AK121)</f>
        <v>-1180.6999999999994</v>
      </c>
      <c r="AO121" s="82">
        <f>AN121-AM121</f>
        <v>-1180.6999999999994</v>
      </c>
    </row>
    <row r="122" spans="1:41">
      <c r="A122" s="18" t="s">
        <v>325</v>
      </c>
      <c r="B122" s="18" t="s">
        <v>331</v>
      </c>
      <c r="C122" s="92"/>
      <c r="D122" s="42">
        <f>SUMIF('Expense Detail Old'!$E$4:$E$5179,C$1&amp;" "&amp;$A122,'Expense Detail Old'!$H$4:$H$5179)</f>
        <v>-240.68</v>
      </c>
      <c r="E122" s="82">
        <f>D122-C122</f>
        <v>-240.68</v>
      </c>
      <c r="F122" s="44">
        <v>0</v>
      </c>
      <c r="G122" s="42">
        <f>SUMIF('Expense Detail Old'!$E$4:$E$5179,F$1&amp;" "&amp;$A122,'Expense Detail Old'!$H$4:$H$5179)</f>
        <v>-241.65</v>
      </c>
      <c r="H122" s="82">
        <f>G122-F122</f>
        <v>-241.65</v>
      </c>
      <c r="I122" s="78">
        <v>0</v>
      </c>
      <c r="J122" s="42">
        <f>SUMIF('Expense Detail Old'!$E$4:$E$5179,I$1&amp;" "&amp;$A122,'Expense Detail Old'!$H$4:$H$5179)</f>
        <v>0</v>
      </c>
      <c r="K122" s="82">
        <f>J122-I122</f>
        <v>0</v>
      </c>
      <c r="L122" s="78">
        <v>0</v>
      </c>
      <c r="M122" s="42">
        <f>SUMIF('Expense Detail Old'!$E$4:$E$5179,L$1&amp;" "&amp;$A122,'Expense Detail Old'!$H$4:$H$5179)</f>
        <v>-242.63</v>
      </c>
      <c r="N122" s="82">
        <f>M122-L122</f>
        <v>-242.63</v>
      </c>
      <c r="O122" s="78">
        <v>0</v>
      </c>
      <c r="P122" s="42">
        <f>SUMIF('Expense Detail Old'!$E$4:$E$5179,O$1&amp;" "&amp;$A122,'Expense Detail Old'!$H$4:$H$5179)</f>
        <v>-242.63</v>
      </c>
      <c r="Q122" s="82">
        <f>P122-O122</f>
        <v>-242.63</v>
      </c>
      <c r="R122" s="78">
        <v>0</v>
      </c>
      <c r="S122" s="41">
        <f>SUMIF('Expense Detail Old'!$E$4:$E$5179,R$1&amp;" "&amp;$A122,'Expense Detail Old'!$H$4:$H$5179)</f>
        <v>-242.63</v>
      </c>
      <c r="T122" s="82">
        <f>S122-R122</f>
        <v>-242.63</v>
      </c>
      <c r="U122" s="78">
        <v>0</v>
      </c>
      <c r="V122" s="41">
        <f>SUMIF('Expense Detail Old'!$E$4:$E$5179,U$1&amp;" "&amp;$A122,'Expense Detail Old'!$H$4:$H$5179)</f>
        <v>245.6</v>
      </c>
      <c r="W122" s="82">
        <f>V122-U122</f>
        <v>245.6</v>
      </c>
      <c r="X122" s="78">
        <v>0</v>
      </c>
      <c r="Y122" s="41">
        <f>SUMIF('Expense Detail Old'!$E$4:$E$5179,X$1&amp;" "&amp;$A122,'Expense Detail Old'!$H$4:$H$5179)</f>
        <v>494.2</v>
      </c>
      <c r="Z122" s="82">
        <f>Y122-X122</f>
        <v>494.2</v>
      </c>
      <c r="AA122" s="78">
        <v>0</v>
      </c>
      <c r="AB122" s="42">
        <f>SUMIF('Expense Detail Old'!$E$4:$E$5179,AA$1&amp;" "&amp;$A122,'Expense Detail Old'!$H$4:$H$5179)</f>
        <v>0</v>
      </c>
      <c r="AC122" s="82">
        <f>AB122-AA122</f>
        <v>0</v>
      </c>
      <c r="AD122" s="78">
        <v>0</v>
      </c>
      <c r="AE122" s="42">
        <f>SUMIF('Expense Detail Old'!$E$4:$E$5179,AD$1&amp;" "&amp;$A122,'Expense Detail Old'!$H$4:$H$5179)</f>
        <v>0</v>
      </c>
      <c r="AF122" s="82">
        <f>AE122-AD122</f>
        <v>0</v>
      </c>
      <c r="AG122" s="78">
        <v>0</v>
      </c>
      <c r="AH122" s="42">
        <f>SUMIF('Expense Detail Old'!$E$4:$E$5179,AG$1&amp;" "&amp;$A122,'Expense Detail Old'!$H$4:$H$5179)</f>
        <v>0</v>
      </c>
      <c r="AI122" s="82">
        <f>AH122-AG122</f>
        <v>0</v>
      </c>
      <c r="AJ122" s="78">
        <v>0</v>
      </c>
      <c r="AK122" s="42">
        <f>SUMIF('Expense Detail Old'!$E$4:$E$5179,AJ$1&amp;" "&amp;$A122,'Expense Detail Old'!$H$4:$H$5179)</f>
        <v>0</v>
      </c>
      <c r="AL122" s="82">
        <f>AK122-AJ122</f>
        <v>0</v>
      </c>
      <c r="AM122" s="90">
        <f t="shared" si="257"/>
        <v>0</v>
      </c>
      <c r="AN122" s="93">
        <f t="shared" si="258"/>
        <v>-470.42</v>
      </c>
      <c r="AO122" s="82">
        <f>AN122-AM122</f>
        <v>-470.42</v>
      </c>
    </row>
    <row r="123" spans="1:41">
      <c r="A123" s="18" t="s">
        <v>327</v>
      </c>
      <c r="B123" s="18" t="s">
        <v>331</v>
      </c>
      <c r="C123" s="41"/>
      <c r="D123" s="42">
        <f>SUMIF('Expense Detail Old'!$E$4:$E$5179,C$1&amp;" "&amp;$A123,'Expense Detail Old'!$H$4:$H$5179)</f>
        <v>-697.44</v>
      </c>
      <c r="E123" s="82">
        <f>D123-C123</f>
        <v>-697.44</v>
      </c>
      <c r="F123" s="44">
        <v>0</v>
      </c>
      <c r="G123" s="42">
        <f>SUMIF('Expense Detail Old'!$E$4:$E$5179,F$1&amp;" "&amp;$A123,'Expense Detail Old'!$H$4:$H$5179)</f>
        <v>-697.44</v>
      </c>
      <c r="H123" s="82">
        <f>G123-F123</f>
        <v>-697.44</v>
      </c>
      <c r="I123" s="78">
        <v>0</v>
      </c>
      <c r="J123" s="42">
        <f>SUMIF('Expense Detail Old'!$E$4:$E$5179,I$1&amp;" "&amp;$A123,'Expense Detail Old'!$H$4:$H$5179)</f>
        <v>0</v>
      </c>
      <c r="K123" s="82">
        <f>J123-I123</f>
        <v>0</v>
      </c>
      <c r="L123" s="78">
        <v>0</v>
      </c>
      <c r="M123" s="42">
        <f>SUMIF('Expense Detail Old'!$E$4:$E$5179,L$1&amp;" "&amp;$A123,'Expense Detail Old'!$H$4:$H$5179)</f>
        <v>-596.16</v>
      </c>
      <c r="N123" s="82">
        <f>M123-L123</f>
        <v>-596.16</v>
      </c>
      <c r="O123" s="78">
        <v>0</v>
      </c>
      <c r="P123" s="42">
        <f>SUMIF('Expense Detail Old'!$E$4:$E$5179,O$1&amp;" "&amp;$A123,'Expense Detail Old'!$H$4:$H$5179)</f>
        <v>-494.87999999999988</v>
      </c>
      <c r="Q123" s="82">
        <f>P123-O123</f>
        <v>-494.87999999999988</v>
      </c>
      <c r="R123" s="78">
        <v>0</v>
      </c>
      <c r="S123" s="41">
        <f>SUMIF('Expense Detail Old'!$E$4:$E$5179,R$1&amp;" "&amp;$A123,'Expense Detail Old'!$H$4:$H$5179)</f>
        <v>-596.16</v>
      </c>
      <c r="T123" s="82">
        <f>S123-R123</f>
        <v>-596.16</v>
      </c>
      <c r="U123" s="78">
        <v>0</v>
      </c>
      <c r="V123" s="41">
        <f>SUMIF('Expense Detail Old'!$E$4:$E$5179,U$1&amp;" "&amp;$A123,'Expense Detail Old'!$H$4:$H$5179)</f>
        <v>697.44</v>
      </c>
      <c r="W123" s="82">
        <f>V123-U123</f>
        <v>697.44</v>
      </c>
      <c r="X123" s="78">
        <v>0</v>
      </c>
      <c r="Y123" s="41">
        <f>SUMIF('Expense Detail Old'!$E$4:$E$5179,X$1&amp;" "&amp;$A123,'Expense Detail Old'!$H$4:$H$5179)</f>
        <v>1394.88</v>
      </c>
      <c r="Z123" s="82">
        <f>Y123-X123</f>
        <v>1394.88</v>
      </c>
      <c r="AA123" s="78">
        <v>0</v>
      </c>
      <c r="AB123" s="42">
        <f>SUMIF('Expense Detail Old'!$E$4:$E$5179,AA$1&amp;" "&amp;$A123,'Expense Detail Old'!$H$4:$H$5179)</f>
        <v>0</v>
      </c>
      <c r="AC123" s="82">
        <f>AB123-AA123</f>
        <v>0</v>
      </c>
      <c r="AD123" s="78">
        <v>0</v>
      </c>
      <c r="AE123" s="42">
        <f>SUMIF('Expense Detail Old'!$E$4:$E$5179,AD$1&amp;" "&amp;$A123,'Expense Detail Old'!$H$4:$H$5179)</f>
        <v>0</v>
      </c>
      <c r="AF123" s="82">
        <f>AE123-AD123</f>
        <v>0</v>
      </c>
      <c r="AG123" s="78">
        <v>0</v>
      </c>
      <c r="AH123" s="42">
        <f>SUMIF('Expense Detail Old'!$E$4:$E$5179,AG$1&amp;" "&amp;$A123,'Expense Detail Old'!$H$4:$H$5179)</f>
        <v>0</v>
      </c>
      <c r="AI123" s="82">
        <f>AH123-AG123</f>
        <v>0</v>
      </c>
      <c r="AJ123" s="78">
        <v>0</v>
      </c>
      <c r="AK123" s="42">
        <f>SUMIF('Expense Detail Old'!$E$4:$E$5179,AJ$1&amp;" "&amp;$A123,'Expense Detail Old'!$H$4:$H$5179)</f>
        <v>0</v>
      </c>
      <c r="AL123" s="82">
        <f>AK123-AJ123</f>
        <v>0</v>
      </c>
      <c r="AM123" s="90">
        <f t="shared" si="257"/>
        <v>0</v>
      </c>
      <c r="AN123" s="93">
        <f t="shared" si="258"/>
        <v>-989.75999999999976</v>
      </c>
      <c r="AO123" s="82">
        <f>AN123-AM123</f>
        <v>-989.75999999999976</v>
      </c>
    </row>
    <row r="124" spans="1:41" ht="16.5" thickBot="1">
      <c r="A124" s="18" t="s">
        <v>333</v>
      </c>
      <c r="B124" s="18" t="s">
        <v>331</v>
      </c>
      <c r="C124" s="101"/>
      <c r="D124" s="102">
        <f>SUMIF('Expense Detail Old'!$E$4:$E$5179,C$1&amp;" "&amp;$A124,'Expense Detail Old'!$H$4:$H$5179)</f>
        <v>0</v>
      </c>
      <c r="E124" s="103">
        <f>D124-C124</f>
        <v>0</v>
      </c>
      <c r="F124" s="44">
        <v>0</v>
      </c>
      <c r="G124" s="102">
        <f>SUMIF('Expense Detail Old'!$E$4:$E$5179,F$1&amp;" "&amp;$A124,'Expense Detail Old'!$H$4:$H$5179)</f>
        <v>0</v>
      </c>
      <c r="H124" s="82">
        <f>G124-F124</f>
        <v>0</v>
      </c>
      <c r="I124" s="78">
        <v>0</v>
      </c>
      <c r="J124" s="102">
        <f>SUMIF('Expense Detail Old'!$E$4:$E$5179,I$1&amp;" "&amp;$A124,'Expense Detail Old'!$H$4:$H$5179)</f>
        <v>0</v>
      </c>
      <c r="K124" s="82">
        <f>J124-I124</f>
        <v>0</v>
      </c>
      <c r="L124" s="78">
        <v>0</v>
      </c>
      <c r="M124" s="102">
        <f>SUMIF('Expense Detail Old'!$E$4:$E$5179,L$1&amp;" "&amp;$A124,'Expense Detail Old'!$H$4:$H$5179)</f>
        <v>0</v>
      </c>
      <c r="N124" s="82">
        <f>M124-L124</f>
        <v>0</v>
      </c>
      <c r="O124" s="78">
        <v>0</v>
      </c>
      <c r="P124" s="102">
        <f>SUMIF('Expense Detail Old'!$E$4:$E$5179,O$1&amp;" "&amp;$A124,'Expense Detail Old'!$H$4:$H$5179)</f>
        <v>0</v>
      </c>
      <c r="Q124" s="82">
        <f>P124-O124</f>
        <v>0</v>
      </c>
      <c r="R124" s="78">
        <v>0</v>
      </c>
      <c r="S124" s="41">
        <f>SUMIF('Expense Detail Old'!$E$4:$E$5179,R$1&amp;" "&amp;$A124,'Expense Detail Old'!$H$4:$H$5179)</f>
        <v>0</v>
      </c>
      <c r="T124" s="82">
        <f>S124-R124</f>
        <v>0</v>
      </c>
      <c r="U124" s="78">
        <v>0</v>
      </c>
      <c r="V124" s="41">
        <f>SUMIF('Expense Detail Old'!$E$4:$E$5179,U$1&amp;" "&amp;$A124,'Expense Detail Old'!$H$4:$H$5179)</f>
        <v>0</v>
      </c>
      <c r="W124" s="82">
        <f>V124-U124</f>
        <v>0</v>
      </c>
      <c r="X124" s="78">
        <v>0</v>
      </c>
      <c r="Y124" s="41">
        <f>SUMIF('Expense Detail Old'!$E$4:$E$5179,X$1&amp;" "&amp;$A124,'Expense Detail Old'!$H$4:$H$5179)</f>
        <v>-4098.84</v>
      </c>
      <c r="Z124" s="82">
        <f>Y124-X124</f>
        <v>-4098.84</v>
      </c>
      <c r="AA124" s="78">
        <v>0</v>
      </c>
      <c r="AB124" s="102">
        <f>SUMIF('Expense Detail Old'!$E$4:$E$5179,AA$1&amp;" "&amp;$A124,'Expense Detail Old'!$H$4:$H$5179)</f>
        <v>0</v>
      </c>
      <c r="AC124" s="82">
        <f>AB124-AA124</f>
        <v>0</v>
      </c>
      <c r="AD124" s="78">
        <v>0</v>
      </c>
      <c r="AE124" s="102">
        <f>SUMIF('Expense Detail Old'!$E$4:$E$5179,AD$1&amp;" "&amp;$A124,'Expense Detail Old'!$H$4:$H$5179)</f>
        <v>0</v>
      </c>
      <c r="AF124" s="82">
        <f>AE124-AD124</f>
        <v>0</v>
      </c>
      <c r="AG124" s="78">
        <v>0</v>
      </c>
      <c r="AH124" s="102">
        <f>SUMIF('Expense Detail Old'!$E$4:$E$5179,AG$1&amp;" "&amp;$A124,'Expense Detail Old'!$H$4:$H$5179)</f>
        <v>0</v>
      </c>
      <c r="AI124" s="82">
        <f>AH124-AG124</f>
        <v>0</v>
      </c>
      <c r="AJ124" s="78">
        <v>0</v>
      </c>
      <c r="AK124" s="102">
        <f>SUMIF('Expense Detail Old'!$E$4:$E$5179,AJ$1&amp;" "&amp;$A124,'Expense Detail Old'!$H$4:$H$5179)</f>
        <v>0</v>
      </c>
      <c r="AL124" s="82">
        <f>AK124-AJ124</f>
        <v>0</v>
      </c>
      <c r="AM124" s="90">
        <f t="shared" si="257"/>
        <v>0</v>
      </c>
      <c r="AN124" s="93">
        <f t="shared" si="258"/>
        <v>-4098.84</v>
      </c>
      <c r="AO124" s="82">
        <f>AN124-AM124</f>
        <v>-4098.84</v>
      </c>
    </row>
    <row r="125" spans="1:41">
      <c r="A125" s="18" t="s">
        <v>1033</v>
      </c>
      <c r="B125" s="18" t="s">
        <v>331</v>
      </c>
      <c r="C125" s="42"/>
      <c r="D125" s="42"/>
      <c r="E125" s="93"/>
      <c r="F125" s="44"/>
      <c r="G125" s="42"/>
      <c r="H125" s="93"/>
      <c r="I125" s="44"/>
      <c r="J125" s="42"/>
      <c r="K125" s="93"/>
      <c r="L125" s="44"/>
      <c r="M125" s="42"/>
      <c r="N125" s="93"/>
      <c r="O125" s="44"/>
      <c r="P125" s="42"/>
      <c r="Q125" s="93"/>
      <c r="R125" s="44"/>
      <c r="S125" s="42"/>
      <c r="T125" s="93"/>
      <c r="U125" s="44"/>
      <c r="V125" s="42"/>
      <c r="W125" s="93"/>
      <c r="X125" s="44"/>
      <c r="Y125" s="42"/>
      <c r="Z125" s="93"/>
      <c r="AA125" s="44"/>
      <c r="AB125" s="42"/>
      <c r="AC125" s="93"/>
      <c r="AD125" s="44"/>
      <c r="AE125" s="42"/>
      <c r="AF125" s="93"/>
      <c r="AG125" s="44"/>
      <c r="AH125" s="42"/>
      <c r="AI125" s="93"/>
      <c r="AJ125" s="44"/>
      <c r="AK125" s="42"/>
      <c r="AL125" s="93"/>
      <c r="AM125" s="90"/>
      <c r="AN125" s="93"/>
      <c r="AO125" s="93"/>
    </row>
    <row r="126" spans="1:41" ht="16.5" thickBot="1">
      <c r="A126" s="36"/>
      <c r="B126" s="36" t="s">
        <v>332</v>
      </c>
      <c r="C126" s="139">
        <f t="shared" ref="C126:AO126" si="259">SUM(C121:C124)</f>
        <v>0</v>
      </c>
      <c r="D126" s="96">
        <f t="shared" si="259"/>
        <v>-1523</v>
      </c>
      <c r="E126" s="96">
        <f t="shared" si="259"/>
        <v>-1523</v>
      </c>
      <c r="F126" s="85">
        <f t="shared" si="259"/>
        <v>0</v>
      </c>
      <c r="G126" s="96">
        <f t="shared" ref="G126" si="260">SUM(G121:G124)</f>
        <v>-1523</v>
      </c>
      <c r="H126" s="84">
        <f t="shared" si="259"/>
        <v>-1523</v>
      </c>
      <c r="I126" s="85">
        <f t="shared" si="259"/>
        <v>0</v>
      </c>
      <c r="J126" s="96">
        <f t="shared" ref="J126" si="261">SUM(J121:J124)</f>
        <v>0</v>
      </c>
      <c r="K126" s="84">
        <f t="shared" si="259"/>
        <v>0</v>
      </c>
      <c r="L126" s="85">
        <f t="shared" si="259"/>
        <v>0</v>
      </c>
      <c r="M126" s="96">
        <f t="shared" ref="M126" si="262">SUM(M121:M124)</f>
        <v>-1421.7199999999998</v>
      </c>
      <c r="N126" s="84">
        <f t="shared" si="259"/>
        <v>-1421.7199999999998</v>
      </c>
      <c r="O126" s="85">
        <f t="shared" si="259"/>
        <v>0</v>
      </c>
      <c r="P126" s="96">
        <f t="shared" ref="P126" si="263">SUM(P121:P124)</f>
        <v>-1320.4399999999998</v>
      </c>
      <c r="Q126" s="84">
        <f t="shared" si="259"/>
        <v>-1320.4399999999998</v>
      </c>
      <c r="R126" s="85">
        <f t="shared" si="259"/>
        <v>0</v>
      </c>
      <c r="S126" s="84">
        <f t="shared" si="259"/>
        <v>-1421.7199999999998</v>
      </c>
      <c r="T126" s="84">
        <f t="shared" si="259"/>
        <v>-1421.7199999999998</v>
      </c>
      <c r="U126" s="85">
        <f t="shared" si="259"/>
        <v>0</v>
      </c>
      <c r="V126" s="84">
        <f t="shared" si="259"/>
        <v>1523</v>
      </c>
      <c r="W126" s="84">
        <f t="shared" si="259"/>
        <v>1523</v>
      </c>
      <c r="X126" s="85">
        <f t="shared" si="259"/>
        <v>0</v>
      </c>
      <c r="Y126" s="84">
        <f t="shared" si="259"/>
        <v>-1052.8400000000001</v>
      </c>
      <c r="Z126" s="84">
        <f t="shared" si="259"/>
        <v>-1052.8400000000001</v>
      </c>
      <c r="AA126" s="85">
        <f t="shared" si="259"/>
        <v>0</v>
      </c>
      <c r="AB126" s="96">
        <f t="shared" ref="AB126" si="264">SUM(AB121:AB124)</f>
        <v>0</v>
      </c>
      <c r="AC126" s="84">
        <f t="shared" si="259"/>
        <v>0</v>
      </c>
      <c r="AD126" s="85">
        <f t="shared" si="259"/>
        <v>0</v>
      </c>
      <c r="AE126" s="96">
        <f t="shared" ref="AE126" si="265">SUM(AE121:AE124)</f>
        <v>0</v>
      </c>
      <c r="AF126" s="84">
        <f t="shared" si="259"/>
        <v>0</v>
      </c>
      <c r="AG126" s="85">
        <f t="shared" si="259"/>
        <v>0</v>
      </c>
      <c r="AH126" s="96">
        <f t="shared" ref="AH126" si="266">SUM(AH121:AH124)</f>
        <v>0</v>
      </c>
      <c r="AI126" s="84">
        <f t="shared" si="259"/>
        <v>0</v>
      </c>
      <c r="AJ126" s="85">
        <f t="shared" si="259"/>
        <v>0</v>
      </c>
      <c r="AK126" s="96">
        <f t="shared" ref="AK126" si="267">SUM(AK121:AK124)</f>
        <v>0</v>
      </c>
      <c r="AL126" s="84">
        <f t="shared" si="259"/>
        <v>0</v>
      </c>
      <c r="AM126" s="85">
        <f t="shared" si="259"/>
        <v>0</v>
      </c>
      <c r="AN126" s="84">
        <f t="shared" si="259"/>
        <v>-6739.7199999999993</v>
      </c>
      <c r="AO126" s="84">
        <f t="shared" si="259"/>
        <v>-6739.7199999999993</v>
      </c>
    </row>
    <row r="127" spans="1:41" ht="24.75" thickTop="1" thickBot="1">
      <c r="A127" s="277" t="s">
        <v>335</v>
      </c>
      <c r="B127" s="278"/>
      <c r="C127" s="38"/>
      <c r="D127" s="47"/>
      <c r="E127" s="49"/>
      <c r="F127" s="48"/>
      <c r="G127" s="47"/>
      <c r="H127" s="49"/>
      <c r="I127" s="48"/>
      <c r="J127" s="47"/>
      <c r="K127" s="49"/>
      <c r="L127" s="48"/>
      <c r="M127" s="47"/>
      <c r="N127" s="49"/>
      <c r="O127" s="48"/>
      <c r="P127" s="47"/>
      <c r="Q127" s="49"/>
      <c r="R127" s="48"/>
      <c r="S127" s="47"/>
      <c r="T127" s="49"/>
      <c r="U127" s="48"/>
      <c r="V127" s="47"/>
      <c r="W127" s="49"/>
      <c r="X127" s="48"/>
      <c r="Y127" s="47"/>
      <c r="Z127" s="49"/>
      <c r="AA127" s="48"/>
      <c r="AB127" s="47"/>
      <c r="AC127" s="49"/>
      <c r="AD127" s="48"/>
      <c r="AE127" s="47"/>
      <c r="AF127" s="49"/>
      <c r="AG127" s="48"/>
      <c r="AH127" s="47"/>
      <c r="AI127" s="49"/>
      <c r="AJ127" s="48"/>
      <c r="AK127" s="47"/>
      <c r="AL127" s="49"/>
      <c r="AM127" s="48"/>
      <c r="AN127" s="47"/>
      <c r="AO127" s="49"/>
    </row>
    <row r="128" spans="1:41">
      <c r="A128" s="18" t="s">
        <v>24</v>
      </c>
      <c r="B128" s="18" t="s">
        <v>335</v>
      </c>
      <c r="C128" s="98">
        <v>0</v>
      </c>
      <c r="D128" s="99">
        <f>SUMIF('Expense Detail Old'!$E$4:$E$5179,C$1&amp;" "&amp;$A128,'Expense Detail Old'!$H$4:$H$5179)</f>
        <v>-60</v>
      </c>
      <c r="E128" s="100">
        <f t="shared" ref="E128:E132" si="268">D128-C128</f>
        <v>-60</v>
      </c>
      <c r="F128" s="44">
        <v>0</v>
      </c>
      <c r="G128" s="99">
        <f>SUMIF('Expense Detail Old'!$E$4:$E$5179,F$1&amp;" "&amp;$A128,'Expense Detail Old'!$H$4:$H$5179)</f>
        <v>0</v>
      </c>
      <c r="H128" s="100">
        <f t="shared" ref="H128:H132" si="269">G128-F128</f>
        <v>0</v>
      </c>
      <c r="I128" s="45">
        <v>-169</v>
      </c>
      <c r="J128" s="99">
        <f>SUMIF('Expense Detail Old'!$E$4:$E$5179,I$1&amp;" "&amp;$A128,'Expense Detail Old'!$H$4:$H$5179)</f>
        <v>0</v>
      </c>
      <c r="K128" s="100">
        <f t="shared" ref="K128:K132" si="270">J128-I128</f>
        <v>169</v>
      </c>
      <c r="L128" s="46">
        <v>0</v>
      </c>
      <c r="M128" s="99">
        <f>SUMIF('Expense Detail Old'!$E$4:$E$5179,L$1&amp;" "&amp;$A128,'Expense Detail Old'!$H$4:$H$5179)</f>
        <v>0</v>
      </c>
      <c r="N128" s="100">
        <f t="shared" ref="N128:N132" si="271">M128-L128</f>
        <v>0</v>
      </c>
      <c r="O128" s="46">
        <v>-30</v>
      </c>
      <c r="P128" s="99">
        <f>SUMIF('Expense Detail Old'!$E$4:$E$5179,O$1&amp;" "&amp;$A128,'Expense Detail Old'!$H$4:$H$5179)</f>
        <v>0</v>
      </c>
      <c r="Q128" s="100">
        <f t="shared" ref="Q128:Q132" si="272">P128-O128</f>
        <v>30</v>
      </c>
      <c r="R128" s="46">
        <v>0</v>
      </c>
      <c r="S128" s="99">
        <f>SUMIF('Expense Detail Old'!$E$4:$E$5179,R$1&amp;" "&amp;$A128,'Expense Detail Old'!$H$4:$H$5179)</f>
        <v>0</v>
      </c>
      <c r="T128" s="100">
        <f t="shared" ref="T128:T132" si="273">S128-R128</f>
        <v>0</v>
      </c>
      <c r="U128" s="46">
        <v>0</v>
      </c>
      <c r="V128" s="99">
        <f>SUMIF('Expense Detail Old'!$E$4:$E$5179,U$1&amp;" "&amp;$A128,'Expense Detail Old'!$H$4:$H$5179)</f>
        <v>0</v>
      </c>
      <c r="W128" s="100">
        <f t="shared" ref="W128:W132" si="274">V128-U128</f>
        <v>0</v>
      </c>
      <c r="X128" s="46">
        <v>0</v>
      </c>
      <c r="Y128" s="99">
        <f>SUMIF('Expense Detail Old'!$E$4:$E$5179,X$1&amp;" "&amp;$A128,'Expense Detail Old'!$H$4:$H$5179)</f>
        <v>0</v>
      </c>
      <c r="Z128" s="100">
        <f t="shared" ref="Z128:Z132" si="275">Y128-X128</f>
        <v>0</v>
      </c>
      <c r="AA128" s="46">
        <v>0</v>
      </c>
      <c r="AB128" s="99">
        <f>SUMIF('Expense Detail Old'!$E$4:$E$5179,AA$1&amp;" "&amp;$A128,'Expense Detail Old'!$H$4:$H$5179)</f>
        <v>0</v>
      </c>
      <c r="AC128" s="100">
        <f t="shared" ref="AC128:AC132" si="276">AB128-AA128</f>
        <v>0</v>
      </c>
      <c r="AD128" s="46">
        <v>0</v>
      </c>
      <c r="AE128" s="99">
        <f>SUMIF('Expense Detail Old'!$E$4:$E$5179,AD$1&amp;" "&amp;$A128,'Expense Detail Old'!$H$4:$H$5179)</f>
        <v>0</v>
      </c>
      <c r="AF128" s="100">
        <f t="shared" ref="AF128:AF132" si="277">AE128-AD128</f>
        <v>0</v>
      </c>
      <c r="AG128" s="46">
        <v>0</v>
      </c>
      <c r="AH128" s="99">
        <f>SUMIF('Expense Detail Old'!$E$4:$E$5179,AG$1&amp;" "&amp;$A128,'Expense Detail Old'!$H$4:$H$5179)</f>
        <v>0</v>
      </c>
      <c r="AI128" s="100">
        <f t="shared" ref="AI128:AI132" si="278">AH128-AG128</f>
        <v>0</v>
      </c>
      <c r="AJ128" s="46">
        <v>0</v>
      </c>
      <c r="AK128" s="99">
        <f>SUMIF('Expense Detail Old'!$E$4:$E$5179,AJ$1&amp;" "&amp;$A128,'Expense Detail Old'!$H$4:$H$5179)</f>
        <v>0</v>
      </c>
      <c r="AL128" s="100">
        <f t="shared" ref="AL128:AL132" si="279">AK128-AJ128</f>
        <v>0</v>
      </c>
      <c r="AM128" s="90">
        <f t="shared" ref="AM128:AM132" si="280">SUM(C128,F128,I128,L128,O128,R128,U128,X128,AA128,AD128,AG128,AJ128)</f>
        <v>-199</v>
      </c>
      <c r="AN128" s="93">
        <f t="shared" ref="AN128:AN132" si="281">SUM(D128,G128,J128,M128,P128,S128,V128,Y128,AB128,AE128,AH128,AK128)</f>
        <v>-60</v>
      </c>
      <c r="AO128" s="100">
        <f t="shared" ref="AO128:AO132" si="282">AN128-AM128</f>
        <v>139</v>
      </c>
    </row>
    <row r="129" spans="1:42">
      <c r="A129" s="18" t="s">
        <v>92</v>
      </c>
      <c r="B129" s="18" t="s">
        <v>335</v>
      </c>
      <c r="C129" s="41">
        <v>0</v>
      </c>
      <c r="D129" s="42">
        <f>SUMIF('Expense Detail Old'!$E$4:$E$5179,C$1&amp;" "&amp;$A129,'Expense Detail Old'!$H$4:$H$5179)</f>
        <v>0</v>
      </c>
      <c r="E129" s="82">
        <f t="shared" si="268"/>
        <v>0</v>
      </c>
      <c r="F129" s="44">
        <v>0</v>
      </c>
      <c r="G129" s="42">
        <f>SUMIF('Expense Detail Old'!$E$4:$E$5179,F$1&amp;" "&amp;$A129,'Expense Detail Old'!$H$4:$H$5179)</f>
        <v>0</v>
      </c>
      <c r="H129" s="82">
        <f t="shared" si="269"/>
        <v>0</v>
      </c>
      <c r="I129" s="45">
        <v>-13.49</v>
      </c>
      <c r="J129" s="42">
        <f>SUMIF('Expense Detail Old'!$E$4:$E$5179,I$1&amp;" "&amp;$A129,'Expense Detail Old'!$H$4:$H$5179)</f>
        <v>0</v>
      </c>
      <c r="K129" s="82">
        <f t="shared" si="270"/>
        <v>13.49</v>
      </c>
      <c r="L129" s="46">
        <v>0</v>
      </c>
      <c r="M129" s="42">
        <f>SUMIF('Expense Detail Old'!$E$4:$E$5179,L$1&amp;" "&amp;$A129,'Expense Detail Old'!$H$4:$H$5179)</f>
        <v>0</v>
      </c>
      <c r="N129" s="82">
        <f t="shared" si="271"/>
        <v>0</v>
      </c>
      <c r="O129" s="46">
        <v>0</v>
      </c>
      <c r="P129" s="42">
        <f>SUMIF('Expense Detail Old'!$E$4:$E$5179,O$1&amp;" "&amp;$A129,'Expense Detail Old'!$H$4:$H$5179)</f>
        <v>0</v>
      </c>
      <c r="Q129" s="82">
        <f t="shared" si="272"/>
        <v>0</v>
      </c>
      <c r="R129" s="46">
        <v>0</v>
      </c>
      <c r="S129" s="42">
        <f>SUMIF('Expense Detail Old'!$E$4:$E$5179,R$1&amp;" "&amp;$A129,'Expense Detail Old'!$H$4:$H$5179)</f>
        <v>0</v>
      </c>
      <c r="T129" s="82">
        <f t="shared" si="273"/>
        <v>0</v>
      </c>
      <c r="U129" s="46">
        <v>0</v>
      </c>
      <c r="V129" s="42">
        <f>SUMIF('Expense Detail Old'!$E$4:$E$5179,U$1&amp;" "&amp;$A129,'Expense Detail Old'!$H$4:$H$5179)</f>
        <v>0</v>
      </c>
      <c r="W129" s="82">
        <f t="shared" si="274"/>
        <v>0</v>
      </c>
      <c r="X129" s="46">
        <v>0</v>
      </c>
      <c r="Y129" s="42">
        <f>SUMIF('Expense Detail Old'!$E$4:$E$5179,X$1&amp;" "&amp;$A129,'Expense Detail Old'!$H$4:$H$5179)</f>
        <v>0</v>
      </c>
      <c r="Z129" s="82">
        <f t="shared" si="275"/>
        <v>0</v>
      </c>
      <c r="AA129" s="46">
        <v>0</v>
      </c>
      <c r="AB129" s="42">
        <f>SUMIF('Expense Detail Old'!$E$4:$E$5179,AA$1&amp;" "&amp;$A129,'Expense Detail Old'!$H$4:$H$5179)</f>
        <v>0</v>
      </c>
      <c r="AC129" s="82">
        <f t="shared" si="276"/>
        <v>0</v>
      </c>
      <c r="AD129" s="46">
        <v>0</v>
      </c>
      <c r="AE129" s="42">
        <f>SUMIF('Expense Detail Old'!$E$4:$E$5179,AD$1&amp;" "&amp;$A129,'Expense Detail Old'!$H$4:$H$5179)</f>
        <v>0</v>
      </c>
      <c r="AF129" s="82">
        <f t="shared" si="277"/>
        <v>0</v>
      </c>
      <c r="AG129" s="46">
        <v>0</v>
      </c>
      <c r="AH129" s="42">
        <f>SUMIF('Expense Detail Old'!$E$4:$E$5179,AG$1&amp;" "&amp;$A129,'Expense Detail Old'!$H$4:$H$5179)</f>
        <v>0</v>
      </c>
      <c r="AI129" s="82">
        <f t="shared" si="278"/>
        <v>0</v>
      </c>
      <c r="AJ129" s="46">
        <v>0</v>
      </c>
      <c r="AK129" s="42">
        <f>SUMIF('Expense Detail Old'!$E$4:$E$5179,AJ$1&amp;" "&amp;$A129,'Expense Detail Old'!$H$4:$H$5179)</f>
        <v>0</v>
      </c>
      <c r="AL129" s="82">
        <f t="shared" si="279"/>
        <v>0</v>
      </c>
      <c r="AM129" s="90">
        <f t="shared" si="280"/>
        <v>-13.49</v>
      </c>
      <c r="AN129" s="93">
        <f t="shared" si="281"/>
        <v>0</v>
      </c>
      <c r="AO129" s="82">
        <f t="shared" si="282"/>
        <v>13.49</v>
      </c>
    </row>
    <row r="130" spans="1:42">
      <c r="A130" s="18" t="s">
        <v>16</v>
      </c>
      <c r="B130" s="18" t="s">
        <v>335</v>
      </c>
      <c r="C130" s="41">
        <v>0</v>
      </c>
      <c r="D130" s="42">
        <f>SUMIF('Expense Detail Old'!$E$4:$E$5179,C$1&amp;" "&amp;$A130,'Expense Detail Old'!$H$4:$H$5179)</f>
        <v>-50</v>
      </c>
      <c r="E130" s="82">
        <f t="shared" si="268"/>
        <v>-50</v>
      </c>
      <c r="F130" s="44">
        <v>0</v>
      </c>
      <c r="G130" s="42">
        <f>SUMIF('Expense Detail Old'!$E$4:$E$5179,F$1&amp;" "&amp;$A130,'Expense Detail Old'!$H$4:$H$5179)</f>
        <v>0</v>
      </c>
      <c r="H130" s="82">
        <f t="shared" si="269"/>
        <v>0</v>
      </c>
      <c r="I130" s="45">
        <v>0</v>
      </c>
      <c r="J130" s="42">
        <f>SUMIF('Expense Detail Old'!$E$4:$E$5179,I$1&amp;" "&amp;$A130,'Expense Detail Old'!$H$4:$H$5179)</f>
        <v>0</v>
      </c>
      <c r="K130" s="82">
        <f t="shared" si="270"/>
        <v>0</v>
      </c>
      <c r="L130" s="46">
        <v>0</v>
      </c>
      <c r="M130" s="42">
        <f>SUMIF('Expense Detail Old'!$E$4:$E$5179,L$1&amp;" "&amp;$A130,'Expense Detail Old'!$H$4:$H$5179)</f>
        <v>0</v>
      </c>
      <c r="N130" s="82">
        <f t="shared" si="271"/>
        <v>0</v>
      </c>
      <c r="O130" s="46">
        <v>0</v>
      </c>
      <c r="P130" s="42">
        <f>SUMIF('Expense Detail Old'!$E$4:$E$5179,O$1&amp;" "&amp;$A130,'Expense Detail Old'!$H$4:$H$5179)</f>
        <v>0</v>
      </c>
      <c r="Q130" s="82">
        <f t="shared" si="272"/>
        <v>0</v>
      </c>
      <c r="R130" s="46">
        <v>0</v>
      </c>
      <c r="S130" s="42">
        <f>SUMIF('Expense Detail Old'!$E$4:$E$5179,R$1&amp;" "&amp;$A130,'Expense Detail Old'!$H$4:$H$5179)</f>
        <v>-60</v>
      </c>
      <c r="T130" s="82">
        <f t="shared" si="273"/>
        <v>-60</v>
      </c>
      <c r="U130" s="46">
        <v>0</v>
      </c>
      <c r="V130" s="42">
        <f>SUMIF('Expense Detail Old'!$E$4:$E$5179,U$1&amp;" "&amp;$A130,'Expense Detail Old'!$H$4:$H$5179)</f>
        <v>0</v>
      </c>
      <c r="W130" s="82">
        <f t="shared" si="274"/>
        <v>0</v>
      </c>
      <c r="X130" s="46">
        <v>0</v>
      </c>
      <c r="Y130" s="42">
        <f>SUMIF('Expense Detail Old'!$E$4:$E$5179,X$1&amp;" "&amp;$A130,'Expense Detail Old'!$H$4:$H$5179)</f>
        <v>0</v>
      </c>
      <c r="Z130" s="82">
        <f t="shared" si="275"/>
        <v>0</v>
      </c>
      <c r="AA130" s="46">
        <v>0</v>
      </c>
      <c r="AB130" s="42">
        <f>SUMIF('Expense Detail Old'!$E$4:$E$5179,AA$1&amp;" "&amp;$A130,'Expense Detail Old'!$H$4:$H$5179)</f>
        <v>0</v>
      </c>
      <c r="AC130" s="82">
        <f t="shared" si="276"/>
        <v>0</v>
      </c>
      <c r="AD130" s="46">
        <v>0</v>
      </c>
      <c r="AE130" s="42">
        <f>SUMIF('Expense Detail Old'!$E$4:$E$5179,AD$1&amp;" "&amp;$A130,'Expense Detail Old'!$H$4:$H$5179)</f>
        <v>0</v>
      </c>
      <c r="AF130" s="82">
        <f t="shared" si="277"/>
        <v>0</v>
      </c>
      <c r="AG130" s="46">
        <v>0</v>
      </c>
      <c r="AH130" s="42">
        <f>SUMIF('Expense Detail Old'!$E$4:$E$5179,AG$1&amp;" "&amp;$A130,'Expense Detail Old'!$H$4:$H$5179)</f>
        <v>0</v>
      </c>
      <c r="AI130" s="82">
        <f t="shared" si="278"/>
        <v>0</v>
      </c>
      <c r="AJ130" s="46">
        <v>0</v>
      </c>
      <c r="AK130" s="42">
        <f>SUMIF('Expense Detail Old'!$E$4:$E$5179,AJ$1&amp;" "&amp;$A130,'Expense Detail Old'!$H$4:$H$5179)</f>
        <v>0</v>
      </c>
      <c r="AL130" s="82">
        <f t="shared" si="279"/>
        <v>0</v>
      </c>
      <c r="AM130" s="90">
        <f t="shared" si="280"/>
        <v>0</v>
      </c>
      <c r="AN130" s="93">
        <f t="shared" si="281"/>
        <v>-110</v>
      </c>
      <c r="AO130" s="82">
        <f t="shared" si="282"/>
        <v>-110</v>
      </c>
    </row>
    <row r="131" spans="1:42">
      <c r="A131" s="18" t="s">
        <v>91</v>
      </c>
      <c r="B131" s="18" t="s">
        <v>335</v>
      </c>
      <c r="C131" s="41">
        <v>0</v>
      </c>
      <c r="D131" s="42">
        <f>SUMIF('Expense Detail Old'!$E$4:$E$5179,C$1&amp;" "&amp;$A131,'Expense Detail Old'!$H$4:$H$5179)</f>
        <v>0</v>
      </c>
      <c r="E131" s="82">
        <f t="shared" si="268"/>
        <v>0</v>
      </c>
      <c r="F131" s="44">
        <v>0</v>
      </c>
      <c r="G131" s="42">
        <f>SUMIF('Expense Detail Old'!$E$4:$E$5179,F$1&amp;" "&amp;$A131,'Expense Detail Old'!$H$4:$H$5179)</f>
        <v>0</v>
      </c>
      <c r="H131" s="82">
        <f t="shared" si="269"/>
        <v>0</v>
      </c>
      <c r="I131" s="45"/>
      <c r="J131" s="42">
        <f>SUMIF('Expense Detail Old'!$E$4:$E$5179,I$1&amp;" "&amp;$A131,'Expense Detail Old'!$H$4:$H$5179)</f>
        <v>0</v>
      </c>
      <c r="K131" s="82">
        <f t="shared" si="270"/>
        <v>0</v>
      </c>
      <c r="L131" s="46">
        <v>5000</v>
      </c>
      <c r="M131" s="42">
        <f>SUMIF('Expense Detail Old'!$E$4:$E$5179,L$1&amp;" "&amp;$A131,'Expense Detail Old'!$H$4:$H$5179)</f>
        <v>0</v>
      </c>
      <c r="N131" s="82">
        <f t="shared" si="271"/>
        <v>-5000</v>
      </c>
      <c r="O131" s="44">
        <v>0</v>
      </c>
      <c r="P131" s="42">
        <f>SUMIF('Expense Detail Old'!$E$4:$E$5179,O$1&amp;" "&amp;$A131,'Expense Detail Old'!$H$4:$H$5179)</f>
        <v>0</v>
      </c>
      <c r="Q131" s="82">
        <f t="shared" si="272"/>
        <v>0</v>
      </c>
      <c r="R131" s="44">
        <v>0</v>
      </c>
      <c r="S131" s="42">
        <f>SUMIF('Expense Detail Old'!$E$4:$E$5179,R$1&amp;" "&amp;$A131,'Expense Detail Old'!$H$4:$H$5179)</f>
        <v>0</v>
      </c>
      <c r="T131" s="82">
        <f t="shared" si="273"/>
        <v>0</v>
      </c>
      <c r="U131" s="44">
        <v>0</v>
      </c>
      <c r="V131" s="42">
        <f>SUMIF('Expense Detail Old'!$E$4:$E$5179,U$1&amp;" "&amp;$A131,'Expense Detail Old'!$H$4:$H$5179)</f>
        <v>0</v>
      </c>
      <c r="W131" s="82">
        <f t="shared" si="274"/>
        <v>0</v>
      </c>
      <c r="X131" s="44">
        <v>0</v>
      </c>
      <c r="Y131" s="42">
        <f>SUMIF('Expense Detail Old'!$E$4:$E$5179,X$1&amp;" "&amp;$A131,'Expense Detail Old'!$H$4:$H$5179)</f>
        <v>0</v>
      </c>
      <c r="Z131" s="82">
        <f t="shared" si="275"/>
        <v>0</v>
      </c>
      <c r="AA131" s="44">
        <v>0</v>
      </c>
      <c r="AB131" s="42">
        <f>SUMIF('Expense Detail Old'!$E$4:$E$5179,AA$1&amp;" "&amp;$A131,'Expense Detail Old'!$H$4:$H$5179)</f>
        <v>0</v>
      </c>
      <c r="AC131" s="82">
        <f t="shared" si="276"/>
        <v>0</v>
      </c>
      <c r="AD131" s="44">
        <v>0</v>
      </c>
      <c r="AE131" s="42">
        <f>SUMIF('Expense Detail Old'!$E$4:$E$5179,AD$1&amp;" "&amp;$A131,'Expense Detail Old'!$H$4:$H$5179)</f>
        <v>0</v>
      </c>
      <c r="AF131" s="82">
        <f t="shared" si="277"/>
        <v>0</v>
      </c>
      <c r="AG131" s="44">
        <v>0</v>
      </c>
      <c r="AH131" s="42">
        <f>SUMIF('Expense Detail Old'!$E$4:$E$5179,AG$1&amp;" "&amp;$A131,'Expense Detail Old'!$H$4:$H$5179)</f>
        <v>0</v>
      </c>
      <c r="AI131" s="82">
        <f t="shared" si="278"/>
        <v>0</v>
      </c>
      <c r="AJ131" s="44">
        <v>0</v>
      </c>
      <c r="AK131" s="42">
        <f>SUMIF('Expense Detail Old'!$E$4:$E$5179,AJ$1&amp;" "&amp;$A131,'Expense Detail Old'!$H$4:$H$5179)</f>
        <v>0</v>
      </c>
      <c r="AL131" s="82">
        <f t="shared" si="279"/>
        <v>0</v>
      </c>
      <c r="AM131" s="90">
        <f t="shared" si="280"/>
        <v>5000</v>
      </c>
      <c r="AN131" s="93">
        <f t="shared" si="281"/>
        <v>0</v>
      </c>
      <c r="AO131" s="82">
        <f t="shared" si="282"/>
        <v>-5000</v>
      </c>
    </row>
    <row r="132" spans="1:42" ht="16.5" thickBot="1">
      <c r="A132" s="18" t="s">
        <v>90</v>
      </c>
      <c r="B132" s="18" t="s">
        <v>335</v>
      </c>
      <c r="C132" s="101">
        <v>0</v>
      </c>
      <c r="D132" s="102">
        <f>SUMIF('Expense Detail Old'!$E$4:$E$5179,C$1&amp;" "&amp;$A132,'Expense Detail Old'!$H$4:$H$5179)</f>
        <v>0</v>
      </c>
      <c r="E132" s="103">
        <f t="shared" si="268"/>
        <v>0</v>
      </c>
      <c r="F132" s="44">
        <v>0</v>
      </c>
      <c r="G132" s="102">
        <f>SUMIF('Expense Detail Old'!$E$4:$E$5179,F$1&amp;" "&amp;$A132,'Expense Detail Old'!$H$4:$H$5179)</f>
        <v>0</v>
      </c>
      <c r="H132" s="82">
        <f t="shared" si="269"/>
        <v>0</v>
      </c>
      <c r="I132" s="45">
        <v>0</v>
      </c>
      <c r="J132" s="102">
        <f>SUMIF('Expense Detail Old'!$E$4:$E$5179,I$1&amp;" "&amp;$A132,'Expense Detail Old'!$H$4:$H$5179)</f>
        <v>0</v>
      </c>
      <c r="K132" s="82">
        <f t="shared" si="270"/>
        <v>0</v>
      </c>
      <c r="L132" s="46">
        <v>-22</v>
      </c>
      <c r="M132" s="102">
        <f>SUMIF('Expense Detail Old'!$E$4:$E$5179,L$1&amp;" "&amp;$A132,'Expense Detail Old'!$H$4:$H$5179)</f>
        <v>0</v>
      </c>
      <c r="N132" s="82">
        <f t="shared" si="271"/>
        <v>22</v>
      </c>
      <c r="O132" s="46">
        <v>0</v>
      </c>
      <c r="P132" s="102">
        <f>SUMIF('Expense Detail Old'!$E$4:$E$5179,O$1&amp;" "&amp;$A132,'Expense Detail Old'!$H$4:$H$5179)</f>
        <v>0</v>
      </c>
      <c r="Q132" s="82">
        <f t="shared" si="272"/>
        <v>0</v>
      </c>
      <c r="R132" s="46">
        <v>0</v>
      </c>
      <c r="S132" s="42">
        <f>SUMIF('Expense Detail Old'!$E$4:$E$5179,R$1&amp;" "&amp;$A132,'Expense Detail Old'!$H$4:$H$5179)</f>
        <v>0</v>
      </c>
      <c r="T132" s="82">
        <f t="shared" si="273"/>
        <v>0</v>
      </c>
      <c r="U132" s="46">
        <v>0</v>
      </c>
      <c r="V132" s="42">
        <f>SUMIF('Expense Detail Old'!$E$4:$E$5179,U$1&amp;" "&amp;$A132,'Expense Detail Old'!$H$4:$H$5179)</f>
        <v>0</v>
      </c>
      <c r="W132" s="82">
        <f t="shared" si="274"/>
        <v>0</v>
      </c>
      <c r="X132" s="46">
        <v>0</v>
      </c>
      <c r="Y132" s="42">
        <f>SUMIF('Expense Detail Old'!$E$4:$E$5179,X$1&amp;" "&amp;$A132,'Expense Detail Old'!$H$4:$H$5179)</f>
        <v>0</v>
      </c>
      <c r="Z132" s="82">
        <f t="shared" si="275"/>
        <v>0</v>
      </c>
      <c r="AA132" s="46">
        <v>0</v>
      </c>
      <c r="AB132" s="102">
        <f>SUMIF('Expense Detail Old'!$E$4:$E$5179,AA$1&amp;" "&amp;$A132,'Expense Detail Old'!$H$4:$H$5179)</f>
        <v>0</v>
      </c>
      <c r="AC132" s="82">
        <f t="shared" si="276"/>
        <v>0</v>
      </c>
      <c r="AD132" s="46">
        <v>0</v>
      </c>
      <c r="AE132" s="102">
        <f>SUMIF('Expense Detail Old'!$E$4:$E$5179,AD$1&amp;" "&amp;$A132,'Expense Detail Old'!$H$4:$H$5179)</f>
        <v>0</v>
      </c>
      <c r="AF132" s="82">
        <f t="shared" si="277"/>
        <v>0</v>
      </c>
      <c r="AG132" s="46">
        <v>0</v>
      </c>
      <c r="AH132" s="102">
        <f>SUMIF('Expense Detail Old'!$E$4:$E$5179,AG$1&amp;" "&amp;$A132,'Expense Detail Old'!$H$4:$H$5179)</f>
        <v>0</v>
      </c>
      <c r="AI132" s="82">
        <f t="shared" si="278"/>
        <v>0</v>
      </c>
      <c r="AJ132" s="46">
        <v>0</v>
      </c>
      <c r="AK132" s="102">
        <f>SUMIF('Expense Detail Old'!$E$4:$E$5179,AJ$1&amp;" "&amp;$A132,'Expense Detail Old'!$H$4:$H$5179)</f>
        <v>0</v>
      </c>
      <c r="AL132" s="82">
        <f t="shared" si="279"/>
        <v>0</v>
      </c>
      <c r="AM132" s="90">
        <f t="shared" si="280"/>
        <v>-22</v>
      </c>
      <c r="AN132" s="93">
        <f t="shared" si="281"/>
        <v>0</v>
      </c>
      <c r="AO132" s="82">
        <f t="shared" si="282"/>
        <v>22</v>
      </c>
    </row>
    <row r="133" spans="1:42">
      <c r="A133" s="18" t="s">
        <v>957</v>
      </c>
      <c r="B133" s="18" t="s">
        <v>335</v>
      </c>
      <c r="C133" s="41">
        <v>0</v>
      </c>
      <c r="D133" s="42">
        <f>SUMIF('Expense Detail Old'!$E$4:$E$5179,C$1&amp;" "&amp;$A133,'Expense Detail Old'!$H$4:$H$5179)</f>
        <v>0</v>
      </c>
      <c r="E133" s="82">
        <f t="shared" ref="E133" si="283">D133-C133</f>
        <v>0</v>
      </c>
      <c r="F133" s="44">
        <v>0</v>
      </c>
      <c r="G133" s="42">
        <f>SUMIF('Expense Detail Old'!$E$4:$E$5179,F$1&amp;" "&amp;$A133,'Expense Detail Old'!$H$4:$H$5179)</f>
        <v>0</v>
      </c>
      <c r="H133" s="82">
        <f t="shared" ref="H133" si="284">G133-F133</f>
        <v>0</v>
      </c>
      <c r="I133" s="45">
        <v>0</v>
      </c>
      <c r="J133" s="42">
        <f>SUMIF('Expense Detail Old'!$E$4:$E$5179,I$1&amp;" "&amp;$A133,'Expense Detail Old'!$H$4:$H$5179)</f>
        <v>0</v>
      </c>
      <c r="K133" s="82">
        <f t="shared" ref="K133" si="285">J133-I133</f>
        <v>0</v>
      </c>
      <c r="L133" s="46">
        <v>0</v>
      </c>
      <c r="M133" s="42">
        <f>SUMIF('Expense Detail Old'!$E$4:$E$5179,L$1&amp;" "&amp;$A133,'Expense Detail Old'!$H$4:$H$5179)</f>
        <v>0</v>
      </c>
      <c r="N133" s="82">
        <f t="shared" ref="N133" si="286">M133-L133</f>
        <v>0</v>
      </c>
      <c r="O133" s="46">
        <v>0</v>
      </c>
      <c r="P133" s="42">
        <f>SUMIF('Expense Detail Old'!$E$4:$E$5179,O$1&amp;" "&amp;$A133,'Expense Detail Old'!$H$4:$H$5179)</f>
        <v>0</v>
      </c>
      <c r="Q133" s="82">
        <f t="shared" ref="Q133" si="287">P133-O133</f>
        <v>0</v>
      </c>
      <c r="R133" s="46">
        <v>0</v>
      </c>
      <c r="S133" s="42">
        <f>SUMIF('Expense Detail Old'!$E$4:$E$5179,R$1&amp;" "&amp;$A133,'Expense Detail Old'!$H$4:$H$5179)</f>
        <v>0</v>
      </c>
      <c r="T133" s="82">
        <f t="shared" ref="T133" si="288">S133-R133</f>
        <v>0</v>
      </c>
      <c r="U133" s="46">
        <v>0</v>
      </c>
      <c r="V133" s="42">
        <f>SUMIF('Expense Detail Old'!$E$4:$E$5179,U$1&amp;" "&amp;$A133,'Expense Detail Old'!$H$4:$H$5179)</f>
        <v>-20</v>
      </c>
      <c r="W133" s="82">
        <f t="shared" ref="W133" si="289">V133-U133</f>
        <v>-20</v>
      </c>
      <c r="X133" s="46">
        <v>0</v>
      </c>
      <c r="Y133" s="42">
        <f>SUMIF('Expense Detail Old'!$E$4:$E$5179,X$1&amp;" "&amp;$A133,'Expense Detail Old'!$H$4:$H$5179)</f>
        <v>0</v>
      </c>
      <c r="Z133" s="82">
        <f t="shared" ref="Z133" si="290">Y133-X133</f>
        <v>0</v>
      </c>
      <c r="AA133" s="46">
        <v>0</v>
      </c>
      <c r="AB133" s="42">
        <f>SUMIF('Expense Detail Old'!$E$4:$E$5179,AA$1&amp;" "&amp;$A133,'Expense Detail Old'!$H$4:$H$5179)</f>
        <v>0</v>
      </c>
      <c r="AC133" s="82">
        <f t="shared" ref="AC133" si="291">AB133-AA133</f>
        <v>0</v>
      </c>
      <c r="AD133" s="46">
        <v>0</v>
      </c>
      <c r="AE133" s="42">
        <f>SUMIF('Expense Detail Old'!$E$4:$E$5179,AD$1&amp;" "&amp;$A133,'Expense Detail Old'!$H$4:$H$5179)</f>
        <v>0</v>
      </c>
      <c r="AF133" s="82">
        <f t="shared" ref="AF133" si="292">AE133-AD133</f>
        <v>0</v>
      </c>
      <c r="AG133" s="46">
        <v>0</v>
      </c>
      <c r="AH133" s="42">
        <f>SUMIF('Expense Detail Old'!$E$4:$E$5179,AG$1&amp;" "&amp;$A133,'Expense Detail Old'!$H$4:$H$5179)</f>
        <v>0</v>
      </c>
      <c r="AI133" s="82">
        <f t="shared" ref="AI133" si="293">AH133-AG133</f>
        <v>0</v>
      </c>
      <c r="AJ133" s="46">
        <v>0</v>
      </c>
      <c r="AK133" s="42">
        <f>SUMIF('Expense Detail Old'!$E$4:$E$5179,AJ$1&amp;" "&amp;$A133,'Expense Detail Old'!$H$4:$H$5179)</f>
        <v>0</v>
      </c>
      <c r="AL133" s="82">
        <f t="shared" ref="AL133" si="294">AK133-AJ133</f>
        <v>0</v>
      </c>
      <c r="AM133" s="90">
        <f t="shared" ref="AM133" si="295">SUM(C133,F133,I133,L133,O133,R133,U133,X133,AA133,AD133,AG133,AJ133)</f>
        <v>0</v>
      </c>
      <c r="AN133" s="93">
        <f t="shared" ref="AN133" si="296">SUM(D133,G133,J133,M133,P133,S133,V133,Y133,AB133,AE133,AH133,AK133)</f>
        <v>-20</v>
      </c>
      <c r="AO133" s="82">
        <f t="shared" ref="AO133" si="297">AN133-AM133</f>
        <v>-20</v>
      </c>
    </row>
    <row r="134" spans="1:42" ht="16.5" thickBot="1">
      <c r="A134" s="36"/>
      <c r="B134" s="36" t="s">
        <v>336</v>
      </c>
      <c r="C134" s="96">
        <f t="shared" ref="C134:AO134" si="298">SUM(C128:C132)</f>
        <v>0</v>
      </c>
      <c r="D134" s="96">
        <f t="shared" si="298"/>
        <v>-110</v>
      </c>
      <c r="E134" s="96">
        <f t="shared" si="298"/>
        <v>-110</v>
      </c>
      <c r="F134" s="84">
        <f t="shared" si="298"/>
        <v>0</v>
      </c>
      <c r="G134" s="96">
        <f t="shared" si="298"/>
        <v>0</v>
      </c>
      <c r="H134" s="84">
        <f t="shared" si="298"/>
        <v>0</v>
      </c>
      <c r="I134" s="84">
        <f t="shared" si="298"/>
        <v>-182.49</v>
      </c>
      <c r="J134" s="96">
        <f t="shared" si="298"/>
        <v>0</v>
      </c>
      <c r="K134" s="84">
        <f t="shared" si="298"/>
        <v>182.49</v>
      </c>
      <c r="L134" s="84">
        <f t="shared" si="298"/>
        <v>4978</v>
      </c>
      <c r="M134" s="96">
        <f t="shared" si="298"/>
        <v>0</v>
      </c>
      <c r="N134" s="84">
        <f t="shared" si="298"/>
        <v>-4978</v>
      </c>
      <c r="O134" s="84">
        <f t="shared" si="298"/>
        <v>-30</v>
      </c>
      <c r="P134" s="96">
        <f t="shared" si="298"/>
        <v>0</v>
      </c>
      <c r="Q134" s="84">
        <f t="shared" si="298"/>
        <v>30</v>
      </c>
      <c r="R134" s="84">
        <f t="shared" si="298"/>
        <v>0</v>
      </c>
      <c r="S134" s="84">
        <f t="shared" si="298"/>
        <v>-60</v>
      </c>
      <c r="T134" s="84">
        <f t="shared" si="298"/>
        <v>-60</v>
      </c>
      <c r="U134" s="84">
        <f t="shared" si="298"/>
        <v>0</v>
      </c>
      <c r="V134" s="84">
        <f t="shared" si="298"/>
        <v>0</v>
      </c>
      <c r="W134" s="84">
        <f t="shared" si="298"/>
        <v>0</v>
      </c>
      <c r="X134" s="84">
        <f t="shared" si="298"/>
        <v>0</v>
      </c>
      <c r="Y134" s="84">
        <f t="shared" si="298"/>
        <v>0</v>
      </c>
      <c r="Z134" s="84">
        <f t="shared" si="298"/>
        <v>0</v>
      </c>
      <c r="AA134" s="84">
        <f t="shared" si="298"/>
        <v>0</v>
      </c>
      <c r="AB134" s="96">
        <f t="shared" si="298"/>
        <v>0</v>
      </c>
      <c r="AC134" s="84">
        <f t="shared" si="298"/>
        <v>0</v>
      </c>
      <c r="AD134" s="84">
        <f t="shared" si="298"/>
        <v>0</v>
      </c>
      <c r="AE134" s="96">
        <f t="shared" si="298"/>
        <v>0</v>
      </c>
      <c r="AF134" s="84">
        <f t="shared" si="298"/>
        <v>0</v>
      </c>
      <c r="AG134" s="84">
        <f t="shared" si="298"/>
        <v>0</v>
      </c>
      <c r="AH134" s="96">
        <f t="shared" si="298"/>
        <v>0</v>
      </c>
      <c r="AI134" s="84">
        <f t="shared" si="298"/>
        <v>0</v>
      </c>
      <c r="AJ134" s="84">
        <f t="shared" si="298"/>
        <v>0</v>
      </c>
      <c r="AK134" s="96">
        <f t="shared" si="298"/>
        <v>0</v>
      </c>
      <c r="AL134" s="84">
        <f t="shared" si="298"/>
        <v>0</v>
      </c>
      <c r="AM134" s="84">
        <f t="shared" si="298"/>
        <v>4765.51</v>
      </c>
      <c r="AN134" s="84">
        <f t="shared" si="298"/>
        <v>-170</v>
      </c>
      <c r="AO134" s="84">
        <f t="shared" si="298"/>
        <v>-4935.51</v>
      </c>
    </row>
    <row r="135" spans="1:42" ht="24.75" thickTop="1" thickBot="1">
      <c r="A135" s="275" t="s">
        <v>337</v>
      </c>
      <c r="B135" s="276"/>
      <c r="C135" s="38"/>
      <c r="D135" s="47"/>
      <c r="E135" s="49"/>
      <c r="F135" s="48"/>
      <c r="G135" s="47"/>
      <c r="H135" s="49"/>
      <c r="I135" s="48"/>
      <c r="J135" s="47"/>
      <c r="K135" s="49"/>
      <c r="L135" s="48"/>
      <c r="M135" s="47"/>
      <c r="N135" s="49"/>
      <c r="O135" s="48"/>
      <c r="P135" s="47"/>
      <c r="Q135" s="49"/>
      <c r="R135" s="48"/>
      <c r="S135" s="47"/>
      <c r="T135" s="49"/>
      <c r="U135" s="48"/>
      <c r="V135" s="47"/>
      <c r="W135" s="49"/>
      <c r="X135" s="48"/>
      <c r="Y135" s="47"/>
      <c r="Z135" s="49"/>
      <c r="AA135" s="48"/>
      <c r="AB135" s="47"/>
      <c r="AC135" s="49"/>
      <c r="AD135" s="48"/>
      <c r="AE135" s="47"/>
      <c r="AF135" s="49"/>
      <c r="AG135" s="48"/>
      <c r="AH135" s="47"/>
      <c r="AI135" s="49"/>
      <c r="AJ135" s="48"/>
      <c r="AK135" s="47"/>
      <c r="AL135" s="49"/>
      <c r="AM135" s="48"/>
      <c r="AN135" s="47"/>
      <c r="AO135" s="49"/>
    </row>
    <row r="136" spans="1:42">
      <c r="A136" s="18" t="s">
        <v>94</v>
      </c>
      <c r="B136" s="18" t="s">
        <v>337</v>
      </c>
      <c r="C136" s="98">
        <v>0</v>
      </c>
      <c r="D136" s="99">
        <f>SUMIF('Expense Detail Old'!$E$4:$E$5179,C$1&amp;" "&amp;$A136,'Expense Detail Old'!$H$4:$H$5179)</f>
        <v>0</v>
      </c>
      <c r="E136" s="100">
        <f t="shared" ref="E136:E140" si="299">D136-C136</f>
        <v>0</v>
      </c>
      <c r="F136" s="42">
        <v>0</v>
      </c>
      <c r="G136" s="99">
        <f>SUMIF('Expense Detail Old'!$E$4:$E$5179,F$1&amp;" "&amp;$A136,'Expense Detail Old'!$H$4:$H$5179)</f>
        <v>-144</v>
      </c>
      <c r="H136" s="93">
        <f t="shared" ref="H136:H141" si="300">G136-F136</f>
        <v>-144</v>
      </c>
      <c r="I136" s="81">
        <v>0</v>
      </c>
      <c r="J136" s="99">
        <f>SUMIF('Expense Detail Old'!$E$4:$E$5179,I$1&amp;" "&amp;$A136,'Expense Detail Old'!$H$4:$H$5179)</f>
        <v>-757</v>
      </c>
      <c r="K136" s="93">
        <f t="shared" ref="K136:K141" si="301">J136-I136</f>
        <v>-757</v>
      </c>
      <c r="L136" s="81">
        <v>0</v>
      </c>
      <c r="M136" s="99">
        <f>SUMIF('Expense Detail Old'!$E$4:$E$5179,L$1&amp;" "&amp;$A136,'Expense Detail Old'!$H$4:$H$5179)</f>
        <v>-70</v>
      </c>
      <c r="N136" s="93">
        <f t="shared" ref="N136:N141" si="302">M136-L136</f>
        <v>-70</v>
      </c>
      <c r="O136" s="81">
        <v>0</v>
      </c>
      <c r="P136" s="99">
        <f>SUMIF('Expense Detail Old'!$E$4:$E$5179,O$1&amp;" "&amp;$A136,'Expense Detail Old'!$H$4:$H$5179)</f>
        <v>-70</v>
      </c>
      <c r="Q136" s="93">
        <f t="shared" ref="Q136:Q141" si="303">P136-O136</f>
        <v>-70</v>
      </c>
      <c r="R136" s="81">
        <v>0</v>
      </c>
      <c r="S136" s="42">
        <f>SUMIF('Expense Detail Old'!$E$4:$E$5179,R$1&amp;" "&amp;$A136,'Expense Detail Old'!$H$4:$H$5179)</f>
        <v>0</v>
      </c>
      <c r="T136" s="93">
        <f t="shared" ref="T136:T141" si="304">S136-R136</f>
        <v>0</v>
      </c>
      <c r="U136" s="81">
        <v>0</v>
      </c>
      <c r="V136" s="42">
        <f>SUMIF('Expense Detail Old'!$E$4:$E$5179,U$1&amp;" "&amp;$A136,'Expense Detail Old'!$H$4:$H$5179)</f>
        <v>0</v>
      </c>
      <c r="W136" s="93">
        <f t="shared" ref="W136:W141" si="305">V136-U136</f>
        <v>0</v>
      </c>
      <c r="X136" s="81">
        <v>0</v>
      </c>
      <c r="Y136" s="42">
        <f>SUMIF('Expense Detail Old'!$E$4:$E$5179,X$1&amp;" "&amp;$A136,'Expense Detail Old'!$H$4:$H$5179)</f>
        <v>0</v>
      </c>
      <c r="Z136" s="93">
        <f t="shared" ref="Z136:Z141" si="306">Y136-X136</f>
        <v>0</v>
      </c>
      <c r="AA136" s="81">
        <v>0</v>
      </c>
      <c r="AB136" s="99">
        <f>SUMIF('Expense Detail Old'!$E$4:$E$5179,AA$1&amp;" "&amp;$A136,'Expense Detail Old'!$H$4:$H$5179)</f>
        <v>0</v>
      </c>
      <c r="AC136" s="93">
        <f t="shared" ref="AC136:AC141" si="307">AB136-AA136</f>
        <v>0</v>
      </c>
      <c r="AD136" s="81">
        <v>0</v>
      </c>
      <c r="AE136" s="99">
        <f>SUMIF('Expense Detail Old'!$E$4:$E$5179,AD$1&amp;" "&amp;$A136,'Expense Detail Old'!$H$4:$H$5179)</f>
        <v>0</v>
      </c>
      <c r="AF136" s="93">
        <f t="shared" ref="AF136:AF141" si="308">AE136-AD136</f>
        <v>0</v>
      </c>
      <c r="AG136" s="81">
        <v>0</v>
      </c>
      <c r="AH136" s="99">
        <f>SUMIF('Expense Detail Old'!$E$4:$E$5179,AG$1&amp;" "&amp;$A136,'Expense Detail Old'!$H$4:$H$5179)</f>
        <v>0</v>
      </c>
      <c r="AI136" s="93">
        <f t="shared" ref="AI136:AI141" si="309">AH136-AG136</f>
        <v>0</v>
      </c>
      <c r="AJ136" s="81">
        <v>0</v>
      </c>
      <c r="AK136" s="99">
        <f>SUMIF('Expense Detail Old'!$E$4:$E$5179,AJ$1&amp;" "&amp;$A136,'Expense Detail Old'!$H$4:$H$5179)</f>
        <v>0</v>
      </c>
      <c r="AL136" s="93">
        <f t="shared" ref="AL136:AL141" si="310">AK136-AJ136</f>
        <v>0</v>
      </c>
      <c r="AM136" s="90">
        <f t="shared" ref="AM136:AM141" si="311">SUM(C136,F136,I136,L136,O136,R136,U136,X136,AA136,AD136,AG136,AJ136)</f>
        <v>0</v>
      </c>
      <c r="AN136" s="93">
        <f t="shared" ref="AN136:AN141" si="312">SUM(D136,G136,J136,M136,P136,S136,V136,Y136,AB136,AE136,AH136,AK136)</f>
        <v>-1041</v>
      </c>
      <c r="AO136" s="93">
        <f t="shared" ref="AO136:AO141" si="313">AN136-AM136</f>
        <v>-1041</v>
      </c>
    </row>
    <row r="137" spans="1:42">
      <c r="A137" s="18" t="s">
        <v>23</v>
      </c>
      <c r="B137" s="18" t="s">
        <v>337</v>
      </c>
      <c r="C137" s="41">
        <v>0</v>
      </c>
      <c r="D137" s="42">
        <f>SUMIF('Expense Detail Old'!$E$4:$E$5179,C$1&amp;" "&amp;$A137,'Expense Detail Old'!$H$4:$H$5179)</f>
        <v>-25</v>
      </c>
      <c r="E137" s="82">
        <f t="shared" si="299"/>
        <v>-25</v>
      </c>
      <c r="F137" s="42">
        <v>0</v>
      </c>
      <c r="G137" s="42">
        <f>SUMIF('Expense Detail Old'!$E$4:$E$5179,F$1&amp;" "&amp;$A137,'Expense Detail Old'!$H$4:$H$5179)</f>
        <v>-25</v>
      </c>
      <c r="H137" s="93">
        <f t="shared" si="300"/>
        <v>-25</v>
      </c>
      <c r="I137" s="81">
        <v>0</v>
      </c>
      <c r="J137" s="42">
        <f>SUMIF('Expense Detail Old'!$E$4:$E$5179,I$1&amp;" "&amp;$A137,'Expense Detail Old'!$H$4:$H$5179)</f>
        <v>-25</v>
      </c>
      <c r="K137" s="93">
        <f t="shared" si="301"/>
        <v>-25</v>
      </c>
      <c r="L137" s="81">
        <v>0</v>
      </c>
      <c r="M137" s="42">
        <f>SUMIF('Expense Detail Old'!$E$4:$E$5179,L$1&amp;" "&amp;$A137,'Expense Detail Old'!$H$4:$H$5179)</f>
        <v>-25</v>
      </c>
      <c r="N137" s="93">
        <f t="shared" si="302"/>
        <v>-25</v>
      </c>
      <c r="O137" s="81">
        <v>0</v>
      </c>
      <c r="P137" s="42">
        <f>SUMIF('Expense Detail Old'!$E$4:$E$5179,O$1&amp;" "&amp;$A137,'Expense Detail Old'!$H$4:$H$5179)</f>
        <v>-53</v>
      </c>
      <c r="Q137" s="93">
        <f t="shared" si="303"/>
        <v>-53</v>
      </c>
      <c r="R137" s="81">
        <v>0</v>
      </c>
      <c r="S137" s="42">
        <f>SUMIF('Expense Detail Old'!$E$4:$E$5179,R$1&amp;" "&amp;$A137,'Expense Detail Old'!$H$4:$H$5179)</f>
        <v>-25</v>
      </c>
      <c r="T137" s="93">
        <f t="shared" si="304"/>
        <v>-25</v>
      </c>
      <c r="U137" s="81">
        <v>0</v>
      </c>
      <c r="V137" s="42">
        <f>SUMIF('Expense Detail Old'!$E$4:$E$5179,U$1&amp;" "&amp;$A137,'Expense Detail Old'!$H$4:$H$5179)</f>
        <v>-64</v>
      </c>
      <c r="W137" s="93">
        <f t="shared" si="305"/>
        <v>-64</v>
      </c>
      <c r="X137" s="81">
        <v>0</v>
      </c>
      <c r="Y137" s="42">
        <f>SUMIF('Expense Detail Old'!$E$4:$E$5179,X$1&amp;" "&amp;$A137,'Expense Detail Old'!$H$4:$H$5179)</f>
        <v>0</v>
      </c>
      <c r="Z137" s="93">
        <f t="shared" si="306"/>
        <v>0</v>
      </c>
      <c r="AA137" s="81">
        <v>0</v>
      </c>
      <c r="AB137" s="42">
        <f>SUMIF('Expense Detail Old'!$E$4:$E$5179,AA$1&amp;" "&amp;$A137,'Expense Detail Old'!$H$4:$H$5179)</f>
        <v>0</v>
      </c>
      <c r="AC137" s="93">
        <f t="shared" si="307"/>
        <v>0</v>
      </c>
      <c r="AD137" s="81">
        <v>0</v>
      </c>
      <c r="AE137" s="42">
        <f>SUMIF('Expense Detail Old'!$E$4:$E$5179,AD$1&amp;" "&amp;$A137,'Expense Detail Old'!$H$4:$H$5179)</f>
        <v>0</v>
      </c>
      <c r="AF137" s="93">
        <f t="shared" si="308"/>
        <v>0</v>
      </c>
      <c r="AG137" s="81">
        <v>0</v>
      </c>
      <c r="AH137" s="42">
        <f>SUMIF('Expense Detail Old'!$E$4:$E$5179,AG$1&amp;" "&amp;$A137,'Expense Detail Old'!$H$4:$H$5179)</f>
        <v>0</v>
      </c>
      <c r="AI137" s="93">
        <f t="shared" si="309"/>
        <v>0</v>
      </c>
      <c r="AJ137" s="81">
        <v>0</v>
      </c>
      <c r="AK137" s="42">
        <f>SUMIF('Expense Detail Old'!$E$4:$E$5179,AJ$1&amp;" "&amp;$A137,'Expense Detail Old'!$H$4:$H$5179)</f>
        <v>0</v>
      </c>
      <c r="AL137" s="93">
        <f t="shared" si="310"/>
        <v>0</v>
      </c>
      <c r="AM137" s="90">
        <f t="shared" si="311"/>
        <v>0</v>
      </c>
      <c r="AN137" s="93">
        <f t="shared" si="312"/>
        <v>-242</v>
      </c>
      <c r="AO137" s="93">
        <f t="shared" si="313"/>
        <v>-242</v>
      </c>
    </row>
    <row r="138" spans="1:42">
      <c r="A138" s="18" t="s">
        <v>998</v>
      </c>
      <c r="B138" s="18" t="s">
        <v>337</v>
      </c>
      <c r="C138" s="45">
        <v>0</v>
      </c>
      <c r="D138" s="42">
        <f>SUMIF('Expense Detail Old'!$E$4:$E$5179,C$1&amp;" "&amp;$A138,'Expense Detail Old'!$H$4:$H$5179)</f>
        <v>0</v>
      </c>
      <c r="E138" s="82">
        <f t="shared" ref="E138" si="314">D138-C138</f>
        <v>0</v>
      </c>
      <c r="F138" s="44">
        <v>0</v>
      </c>
      <c r="G138" s="42">
        <f>SUMIF('Expense Detail Old'!$E$4:$E$5179,F$1&amp;" "&amp;$A138,'Expense Detail Old'!$H$4:$H$5179)</f>
        <v>-28</v>
      </c>
      <c r="H138" s="93">
        <f t="shared" ref="H138" si="315">G138-F138</f>
        <v>-28</v>
      </c>
      <c r="I138" s="78">
        <v>0</v>
      </c>
      <c r="J138" s="42">
        <f>SUMIF('Expense Detail Old'!$E$4:$E$5179,I$1&amp;" "&amp;$A138,'Expense Detail Old'!$H$4:$H$5179)</f>
        <v>-39</v>
      </c>
      <c r="K138" s="93">
        <f t="shared" ref="K138" si="316">J138-I138</f>
        <v>-39</v>
      </c>
      <c r="L138" s="78">
        <v>0</v>
      </c>
      <c r="M138" s="42">
        <f>SUMIF('Expense Detail Old'!$E$4:$E$5179,L$1&amp;" "&amp;$A138,'Expense Detail Old'!$H$4:$H$5179)</f>
        <v>0</v>
      </c>
      <c r="N138" s="93">
        <f t="shared" ref="N138" si="317">M138-L138</f>
        <v>0</v>
      </c>
      <c r="O138" s="78">
        <v>0</v>
      </c>
      <c r="P138" s="42">
        <f>SUMIF('Expense Detail Old'!$E$4:$E$5179,O$1&amp;" "&amp;$A138,'Expense Detail Old'!$H$4:$H$5179)</f>
        <v>0</v>
      </c>
      <c r="Q138" s="93">
        <f t="shared" ref="Q138" si="318">P138-O138</f>
        <v>0</v>
      </c>
      <c r="R138" s="78">
        <v>0</v>
      </c>
      <c r="S138" s="42">
        <f>SUMIF('Expense Detail Old'!$E$4:$E$5179,R$1&amp;" "&amp;$A138,'Expense Detail Old'!$H$4:$H$5179)</f>
        <v>0</v>
      </c>
      <c r="T138" s="93">
        <f t="shared" ref="T138" si="319">S138-R138</f>
        <v>0</v>
      </c>
      <c r="U138" s="78">
        <v>0</v>
      </c>
      <c r="V138" s="42">
        <f>SUMIF('Expense Detail Old'!$E$4:$E$5179,U$1&amp;" "&amp;$A138,'Expense Detail Old'!$H$4:$H$5179)</f>
        <v>-2.85</v>
      </c>
      <c r="W138" s="93">
        <f t="shared" ref="W138" si="320">V138-U138</f>
        <v>-2.85</v>
      </c>
      <c r="X138" s="78">
        <v>0</v>
      </c>
      <c r="Y138" s="42">
        <f>SUMIF('Expense Detail Old'!$E$4:$E$5179,X$1&amp;" "&amp;$A138,'Expense Detail Old'!$H$4:$H$5179)</f>
        <v>0</v>
      </c>
      <c r="Z138" s="93">
        <f t="shared" ref="Z138" si="321">Y138-X138</f>
        <v>0</v>
      </c>
      <c r="AA138" s="78">
        <v>0</v>
      </c>
      <c r="AB138" s="42">
        <f>SUMIF('Expense Detail Old'!$E$4:$E$5179,AA$1&amp;" "&amp;$A138,'Expense Detail Old'!$H$4:$H$5179)</f>
        <v>0</v>
      </c>
      <c r="AC138" s="93">
        <f t="shared" ref="AC138" si="322">AB138-AA138</f>
        <v>0</v>
      </c>
      <c r="AD138" s="78">
        <v>0</v>
      </c>
      <c r="AE138" s="42">
        <f>SUMIF('Expense Detail Old'!$E$4:$E$5179,AD$1&amp;" "&amp;$A138,'Expense Detail Old'!$H$4:$H$5179)</f>
        <v>0</v>
      </c>
      <c r="AF138" s="93">
        <f t="shared" ref="AF138" si="323">AE138-AD138</f>
        <v>0</v>
      </c>
      <c r="AG138" s="78">
        <v>0</v>
      </c>
      <c r="AH138" s="42">
        <f>SUMIF('Expense Detail Old'!$E$4:$E$5179,AG$1&amp;" "&amp;$A138,'Expense Detail Old'!$H$4:$H$5179)</f>
        <v>0</v>
      </c>
      <c r="AI138" s="93">
        <f t="shared" ref="AI138" si="324">AH138-AG138</f>
        <v>0</v>
      </c>
      <c r="AJ138" s="78">
        <v>0</v>
      </c>
      <c r="AK138" s="42">
        <f>SUMIF('Expense Detail Old'!$E$4:$E$5179,AJ$1&amp;" "&amp;$A138,'Expense Detail Old'!$H$4:$H$5179)</f>
        <v>0</v>
      </c>
      <c r="AL138" s="93">
        <f t="shared" ref="AL138" si="325">AK138-AJ138</f>
        <v>0</v>
      </c>
      <c r="AM138" s="90">
        <f t="shared" ref="AM138" si="326">SUM(C138,F138,I138,L138,O138,R138,U138,X138,AA138,AD138,AG138,AJ138)</f>
        <v>0</v>
      </c>
      <c r="AN138" s="93">
        <f t="shared" ref="AN138" si="327">SUM(D138,G138,J138,M138,P138,S138,V138,Y138,AB138,AE138,AH138,AK138)</f>
        <v>-69.849999999999994</v>
      </c>
      <c r="AO138" s="93">
        <f t="shared" ref="AO138" si="328">AN138-AM138</f>
        <v>-69.849999999999994</v>
      </c>
    </row>
    <row r="139" spans="1:42">
      <c r="A139" s="18" t="s">
        <v>255</v>
      </c>
      <c r="B139" s="18" t="s">
        <v>337</v>
      </c>
      <c r="C139" s="45">
        <v>0</v>
      </c>
      <c r="D139" s="42">
        <f>SUMIF('Expense Detail Old'!$E$4:$E$5179,C$1&amp;" "&amp;$A139,'Expense Detail Old'!$H$4:$H$5179)</f>
        <v>-169.22</v>
      </c>
      <c r="E139" s="82">
        <f t="shared" si="299"/>
        <v>-169.22</v>
      </c>
      <c r="F139" s="44">
        <v>0</v>
      </c>
      <c r="G139" s="42">
        <f>SUMIF('Expense Detail Old'!$E$4:$E$5179,F$1&amp;" "&amp;$A139,'Expense Detail Old'!$H$4:$H$5179)</f>
        <v>-153.38</v>
      </c>
      <c r="H139" s="93">
        <f t="shared" si="300"/>
        <v>-153.38</v>
      </c>
      <c r="I139" s="78">
        <v>0</v>
      </c>
      <c r="J139" s="42">
        <f>SUMIF('Expense Detail Old'!$E$4:$E$5179,I$1&amp;" "&amp;$A139,'Expense Detail Old'!$H$4:$H$5179)</f>
        <v>-142.4</v>
      </c>
      <c r="K139" s="93">
        <f t="shared" si="301"/>
        <v>-142.4</v>
      </c>
      <c r="L139" s="78">
        <v>0</v>
      </c>
      <c r="M139" s="42">
        <f>SUMIF('Expense Detail Old'!$E$4:$E$5179,L$1&amp;" "&amp;$A139,'Expense Detail Old'!$H$4:$H$5179)</f>
        <v>-192.35000000000002</v>
      </c>
      <c r="N139" s="93">
        <f t="shared" si="302"/>
        <v>-192.35000000000002</v>
      </c>
      <c r="O139" s="78">
        <v>0</v>
      </c>
      <c r="P139" s="42">
        <f>SUMIF('Expense Detail Old'!$E$4:$E$5179,O$1&amp;" "&amp;$A139,'Expense Detail Old'!$H$4:$H$5179)</f>
        <v>-207.32</v>
      </c>
      <c r="Q139" s="93">
        <f t="shared" si="303"/>
        <v>-207.32</v>
      </c>
      <c r="R139" s="78">
        <v>0</v>
      </c>
      <c r="S139" s="42">
        <f>SUMIF('Expense Detail Old'!$E$4:$E$5179,R$1&amp;" "&amp;$A139,'Expense Detail Old'!$H$4:$H$5179)</f>
        <v>-207.69</v>
      </c>
      <c r="T139" s="93">
        <f t="shared" si="304"/>
        <v>-207.69</v>
      </c>
      <c r="U139" s="78">
        <v>0</v>
      </c>
      <c r="V139" s="42">
        <f>SUMIF('Expense Detail Old'!$E$4:$E$5179,U$1&amp;" "&amp;$A139,'Expense Detail Old'!$H$4:$H$5179)</f>
        <v>-116.46000000000001</v>
      </c>
      <c r="W139" s="93">
        <f t="shared" si="305"/>
        <v>-116.46000000000001</v>
      </c>
      <c r="X139" s="78">
        <v>0</v>
      </c>
      <c r="Y139" s="42">
        <f>SUMIF('Expense Detail Old'!$E$4:$E$5179,X$1&amp;" "&amp;$A139,'Expense Detail Old'!$H$4:$H$5179)</f>
        <v>0</v>
      </c>
      <c r="Z139" s="93">
        <f t="shared" si="306"/>
        <v>0</v>
      </c>
      <c r="AA139" s="78">
        <v>0</v>
      </c>
      <c r="AB139" s="42">
        <f>SUMIF('Expense Detail Old'!$E$4:$E$5179,AA$1&amp;" "&amp;$A139,'Expense Detail Old'!$H$4:$H$5179)</f>
        <v>0</v>
      </c>
      <c r="AC139" s="93">
        <f t="shared" si="307"/>
        <v>0</v>
      </c>
      <c r="AD139" s="78">
        <v>0</v>
      </c>
      <c r="AE139" s="42">
        <f>SUMIF('Expense Detail Old'!$E$4:$E$5179,AD$1&amp;" "&amp;$A139,'Expense Detail Old'!$H$4:$H$5179)</f>
        <v>0</v>
      </c>
      <c r="AF139" s="93">
        <f t="shared" si="308"/>
        <v>0</v>
      </c>
      <c r="AG139" s="78">
        <v>0</v>
      </c>
      <c r="AH139" s="42">
        <f>SUMIF('Expense Detail Old'!$E$4:$E$5179,AG$1&amp;" "&amp;$A139,'Expense Detail Old'!$H$4:$H$5179)</f>
        <v>0</v>
      </c>
      <c r="AI139" s="93">
        <f t="shared" si="309"/>
        <v>0</v>
      </c>
      <c r="AJ139" s="78">
        <v>0</v>
      </c>
      <c r="AK139" s="42">
        <f>SUMIF('Expense Detail Old'!$E$4:$E$5179,AJ$1&amp;" "&amp;$A139,'Expense Detail Old'!$H$4:$H$5179)</f>
        <v>0</v>
      </c>
      <c r="AL139" s="93">
        <f t="shared" si="310"/>
        <v>0</v>
      </c>
      <c r="AM139" s="90">
        <f t="shared" si="311"/>
        <v>0</v>
      </c>
      <c r="AN139" s="93">
        <f t="shared" si="312"/>
        <v>-1188.8200000000002</v>
      </c>
      <c r="AO139" s="93">
        <f t="shared" si="313"/>
        <v>-1188.8200000000002</v>
      </c>
    </row>
    <row r="140" spans="1:42">
      <c r="A140" s="18" t="s">
        <v>86</v>
      </c>
      <c r="B140" s="18" t="s">
        <v>337</v>
      </c>
      <c r="C140" s="41">
        <v>0</v>
      </c>
      <c r="D140" s="42">
        <f>SUMIF('Expense Detail Old'!$E$4:$E$5179,C$1&amp;" "&amp;$A140,'Expense Detail Old'!$H$4:$H$5179)</f>
        <v>0</v>
      </c>
      <c r="E140" s="82">
        <f t="shared" si="299"/>
        <v>0</v>
      </c>
      <c r="F140" s="42">
        <v>0</v>
      </c>
      <c r="G140" s="42">
        <f>SUMIF('Expense Detail Old'!$E$4:$E$5179,F$1&amp;" "&amp;$A140,'Expense Detail Old'!$H$4:$H$5179)</f>
        <v>0</v>
      </c>
      <c r="H140" s="93">
        <f t="shared" si="300"/>
        <v>0</v>
      </c>
      <c r="I140" s="81">
        <v>0</v>
      </c>
      <c r="J140" s="42">
        <f>SUMIF('Expense Detail Old'!$E$4:$E$5179,I$1&amp;" "&amp;$A140,'Expense Detail Old'!$H$4:$H$5179)</f>
        <v>0</v>
      </c>
      <c r="K140" s="93">
        <f t="shared" si="301"/>
        <v>0</v>
      </c>
      <c r="L140" s="81">
        <v>0</v>
      </c>
      <c r="M140" s="42">
        <f>SUMIF('Expense Detail Old'!$E$4:$E$5179,L$1&amp;" "&amp;$A140,'Expense Detail Old'!$H$4:$H$5179)</f>
        <v>0</v>
      </c>
      <c r="N140" s="93">
        <f t="shared" si="302"/>
        <v>0</v>
      </c>
      <c r="O140" s="81">
        <v>0</v>
      </c>
      <c r="P140" s="42">
        <f>SUMIF('Expense Detail Old'!$E$4:$E$5179,O$1&amp;" "&amp;$A140,'Expense Detail Old'!$H$4:$H$5179)</f>
        <v>0</v>
      </c>
      <c r="Q140" s="93">
        <f t="shared" si="303"/>
        <v>0</v>
      </c>
      <c r="R140" s="81">
        <v>0</v>
      </c>
      <c r="S140" s="42">
        <f>SUMIF('Expense Detail Old'!$E$4:$E$5179,R$1&amp;" "&amp;$A140,'Expense Detail Old'!$H$4:$H$5179)</f>
        <v>0</v>
      </c>
      <c r="T140" s="93">
        <f t="shared" si="304"/>
        <v>0</v>
      </c>
      <c r="U140" s="81">
        <v>0</v>
      </c>
      <c r="V140" s="42">
        <f>SUMIF('Expense Detail Old'!$E$4:$E$5179,U$1&amp;" "&amp;$A140,'Expense Detail Old'!$H$4:$H$5179)</f>
        <v>0</v>
      </c>
      <c r="W140" s="93">
        <f t="shared" si="305"/>
        <v>0</v>
      </c>
      <c r="X140" s="81">
        <v>0</v>
      </c>
      <c r="Y140" s="42">
        <f>SUMIF('Expense Detail Old'!$E$4:$E$5179,X$1&amp;" "&amp;$A140,'Expense Detail Old'!$H$4:$H$5179)</f>
        <v>0</v>
      </c>
      <c r="Z140" s="93">
        <f t="shared" si="306"/>
        <v>0</v>
      </c>
      <c r="AA140" s="81">
        <v>0</v>
      </c>
      <c r="AB140" s="42">
        <f>SUMIF('Expense Detail Old'!$E$4:$E$5179,AA$1&amp;" "&amp;$A140,'Expense Detail Old'!$H$4:$H$5179)</f>
        <v>0</v>
      </c>
      <c r="AC140" s="93">
        <f t="shared" si="307"/>
        <v>0</v>
      </c>
      <c r="AD140" s="81">
        <v>0</v>
      </c>
      <c r="AE140" s="42">
        <f>SUMIF('Expense Detail Old'!$E$4:$E$5179,AD$1&amp;" "&amp;$A140,'Expense Detail Old'!$H$4:$H$5179)</f>
        <v>0</v>
      </c>
      <c r="AF140" s="93">
        <f t="shared" si="308"/>
        <v>0</v>
      </c>
      <c r="AG140" s="81">
        <v>0</v>
      </c>
      <c r="AH140" s="42">
        <f>SUMIF('Expense Detail Old'!$E$4:$E$5179,AG$1&amp;" "&amp;$A140,'Expense Detail Old'!$H$4:$H$5179)</f>
        <v>0</v>
      </c>
      <c r="AI140" s="93">
        <f t="shared" si="309"/>
        <v>0</v>
      </c>
      <c r="AJ140" s="81">
        <v>0</v>
      </c>
      <c r="AK140" s="42">
        <f>SUMIF('Expense Detail Old'!$E$4:$E$5179,AJ$1&amp;" "&amp;$A140,'Expense Detail Old'!$H$4:$H$5179)</f>
        <v>0</v>
      </c>
      <c r="AL140" s="93">
        <f t="shared" si="310"/>
        <v>0</v>
      </c>
      <c r="AM140" s="90">
        <f t="shared" si="311"/>
        <v>0</v>
      </c>
      <c r="AN140" s="93">
        <f t="shared" si="312"/>
        <v>0</v>
      </c>
      <c r="AO140" s="93">
        <f t="shared" si="313"/>
        <v>0</v>
      </c>
    </row>
    <row r="141" spans="1:42">
      <c r="A141" s="18" t="s">
        <v>326</v>
      </c>
      <c r="B141" s="18" t="s">
        <v>337</v>
      </c>
      <c r="C141" s="41">
        <v>0</v>
      </c>
      <c r="D141" s="42">
        <f>SUMIF('Expense Detail Old'!$E$4:$E$5179,C$1&amp;" "&amp;$A141,'Expense Detail Old'!$H$4:$H$5179)</f>
        <v>0</v>
      </c>
      <c r="E141" s="82">
        <f t="shared" ref="E141" si="329">D141-C141</f>
        <v>0</v>
      </c>
      <c r="F141" s="42">
        <v>0</v>
      </c>
      <c r="G141" s="42">
        <f>SUMIF('Expense Detail Old'!$E$4:$E$5179,F$1&amp;" "&amp;$A141,'Expense Detail Old'!$H$4:$H$5179)</f>
        <v>0</v>
      </c>
      <c r="H141" s="93">
        <f t="shared" si="300"/>
        <v>0</v>
      </c>
      <c r="I141" s="81">
        <v>0</v>
      </c>
      <c r="J141" s="42">
        <f>SUMIF('Expense Detail Old'!$E$4:$E$5179,I$1&amp;" "&amp;$A141,'Expense Detail Old'!$H$4:$H$5179)</f>
        <v>0</v>
      </c>
      <c r="K141" s="93">
        <f t="shared" si="301"/>
        <v>0</v>
      </c>
      <c r="L141" s="81">
        <v>0</v>
      </c>
      <c r="M141" s="42">
        <f>SUMIF('Expense Detail Old'!$E$4:$E$5179,L$1&amp;" "&amp;$A141,'Expense Detail Old'!$H$4:$H$5179)</f>
        <v>0</v>
      </c>
      <c r="N141" s="93">
        <f t="shared" si="302"/>
        <v>0</v>
      </c>
      <c r="O141" s="81">
        <v>0</v>
      </c>
      <c r="P141" s="42">
        <f>SUMIF('Expense Detail Old'!$E$4:$E$5179,O$1&amp;" "&amp;$A141,'Expense Detail Old'!$H$4:$H$5179)</f>
        <v>0</v>
      </c>
      <c r="Q141" s="93">
        <f t="shared" si="303"/>
        <v>0</v>
      </c>
      <c r="R141" s="81">
        <v>0</v>
      </c>
      <c r="S141" s="42">
        <f>SUMIF('Expense Detail Old'!$E$4:$E$5179,R$1&amp;" "&amp;$A141,'Expense Detail Old'!$H$4:$H$5179)</f>
        <v>0</v>
      </c>
      <c r="T141" s="93">
        <f t="shared" si="304"/>
        <v>0</v>
      </c>
      <c r="U141" s="81">
        <v>0</v>
      </c>
      <c r="V141" s="42">
        <f>SUMIF('Expense Detail Old'!$E$4:$E$5179,U$1&amp;" "&amp;$A141,'Expense Detail Old'!$H$4:$H$5179)</f>
        <v>0</v>
      </c>
      <c r="W141" s="93">
        <f t="shared" si="305"/>
        <v>0</v>
      </c>
      <c r="X141" s="81">
        <v>0</v>
      </c>
      <c r="Y141" s="42">
        <f>SUMIF('Expense Detail Old'!$E$4:$E$5179,X$1&amp;" "&amp;$A141,'Expense Detail Old'!$H$4:$H$5179)</f>
        <v>0</v>
      </c>
      <c r="Z141" s="93">
        <f t="shared" si="306"/>
        <v>0</v>
      </c>
      <c r="AA141" s="81">
        <v>0</v>
      </c>
      <c r="AB141" s="42">
        <f>SUMIF('Expense Detail Old'!$E$4:$E$5179,AA$1&amp;" "&amp;$A141,'Expense Detail Old'!$H$4:$H$5179)</f>
        <v>0</v>
      </c>
      <c r="AC141" s="93">
        <f t="shared" si="307"/>
        <v>0</v>
      </c>
      <c r="AD141" s="81">
        <v>0</v>
      </c>
      <c r="AE141" s="42">
        <f>SUMIF('Expense Detail Old'!$E$4:$E$5179,AD$1&amp;" "&amp;$A141,'Expense Detail Old'!$H$4:$H$5179)</f>
        <v>0</v>
      </c>
      <c r="AF141" s="93">
        <f t="shared" si="308"/>
        <v>0</v>
      </c>
      <c r="AG141" s="81">
        <v>0</v>
      </c>
      <c r="AH141" s="42">
        <f>SUMIF('Expense Detail Old'!$E$4:$E$5179,AG$1&amp;" "&amp;$A141,'Expense Detail Old'!$H$4:$H$5179)</f>
        <v>0</v>
      </c>
      <c r="AI141" s="93">
        <f t="shared" si="309"/>
        <v>0</v>
      </c>
      <c r="AJ141" s="81">
        <v>0</v>
      </c>
      <c r="AK141" s="42">
        <f>SUMIF('Expense Detail Old'!$E$4:$E$5179,AJ$1&amp;" "&amp;$A141,'Expense Detail Old'!$H$4:$H$5179)</f>
        <v>0</v>
      </c>
      <c r="AL141" s="93">
        <f t="shared" si="310"/>
        <v>0</v>
      </c>
      <c r="AM141" s="90">
        <f t="shared" si="311"/>
        <v>0</v>
      </c>
      <c r="AN141" s="93">
        <f t="shared" si="312"/>
        <v>0</v>
      </c>
      <c r="AO141" s="93">
        <f t="shared" si="313"/>
        <v>0</v>
      </c>
    </row>
    <row r="142" spans="1:42" ht="16.5" thickBot="1">
      <c r="A142" s="18" t="s">
        <v>503</v>
      </c>
      <c r="B142" s="18" t="s">
        <v>337</v>
      </c>
      <c r="C142" s="101"/>
      <c r="D142" s="102">
        <f>SUMIF('Expense Detail Old'!$E$4:$E$5179,C$1&amp;" "&amp;$A142,'Expense Detail Old'!$H$4:$H$5179)</f>
        <v>0</v>
      </c>
      <c r="E142" s="103"/>
      <c r="F142" s="42"/>
      <c r="G142" s="102">
        <f>SUMIF('Expense Detail Old'!$E$4:$E$5179,F$1&amp;" "&amp;$A142,'Expense Detail Old'!$H$4:$H$5179)</f>
        <v>0</v>
      </c>
      <c r="H142" s="93"/>
      <c r="I142" s="42"/>
      <c r="J142" s="102">
        <f>SUMIF('Expense Detail Old'!$E$4:$E$5179,I$1&amp;" "&amp;$A142,'Expense Detail Old'!$H$4:$H$5179)</f>
        <v>0</v>
      </c>
      <c r="K142" s="93"/>
      <c r="L142" s="42"/>
      <c r="M142" s="102">
        <f>SUMIF('Expense Detail Old'!$E$4:$E$5179,L$1&amp;" "&amp;$A142,'Expense Detail Old'!$H$4:$H$5179)</f>
        <v>0</v>
      </c>
      <c r="N142" s="93"/>
      <c r="O142" s="42"/>
      <c r="P142" s="102">
        <f>SUMIF('Expense Detail Old'!$E$4:$E$5179,O$1&amp;" "&amp;$A142,'Expense Detail Old'!$H$4:$H$5179)</f>
        <v>0</v>
      </c>
      <c r="Q142" s="93"/>
      <c r="R142" s="42"/>
      <c r="S142" s="42"/>
      <c r="T142" s="93"/>
      <c r="U142" s="42"/>
      <c r="V142" s="42"/>
      <c r="W142" s="93"/>
      <c r="X142" s="42"/>
      <c r="Y142" s="42"/>
      <c r="Z142" s="93"/>
      <c r="AA142" s="42"/>
      <c r="AB142" s="102">
        <f>SUMIF('Expense Detail Old'!$E$4:$E$5179,AA$1&amp;" "&amp;$A142,'Expense Detail Old'!$H$4:$H$5179)</f>
        <v>0</v>
      </c>
      <c r="AC142" s="93"/>
      <c r="AD142" s="42"/>
      <c r="AE142" s="102">
        <f>SUMIF('Expense Detail Old'!$E$4:$E$5179,AD$1&amp;" "&amp;$A142,'Expense Detail Old'!$H$4:$H$5179)</f>
        <v>0</v>
      </c>
      <c r="AF142" s="93"/>
      <c r="AG142" s="42"/>
      <c r="AH142" s="102">
        <f>SUMIF('Expense Detail Old'!$E$4:$E$5179,AG$1&amp;" "&amp;$A142,'Expense Detail Old'!$H$4:$H$5179)</f>
        <v>0</v>
      </c>
      <c r="AI142" s="93"/>
      <c r="AJ142" s="42"/>
      <c r="AK142" s="102">
        <f>SUMIF('Expense Detail Old'!$E$4:$E$5179,AJ$1&amp;" "&amp;$A142,'Expense Detail Old'!$H$4:$H$5179)</f>
        <v>0</v>
      </c>
      <c r="AL142" s="93"/>
      <c r="AM142" s="90"/>
      <c r="AN142" s="93"/>
      <c r="AO142" s="93"/>
    </row>
    <row r="143" spans="1:42" ht="16.5" thickBot="1">
      <c r="A143" s="36"/>
      <c r="B143" s="36" t="s">
        <v>339</v>
      </c>
      <c r="C143" s="139">
        <f t="shared" ref="C143:AM143" si="330">SUM(C136:C140)</f>
        <v>0</v>
      </c>
      <c r="D143" s="96">
        <f t="shared" si="330"/>
        <v>-194.22</v>
      </c>
      <c r="E143" s="96">
        <f>SUM(E136:E140)</f>
        <v>-194.22</v>
      </c>
      <c r="F143" s="85">
        <f t="shared" si="330"/>
        <v>0</v>
      </c>
      <c r="G143" s="96">
        <f t="shared" ref="G143" si="331">SUM(G136:G140)</f>
        <v>-350.38</v>
      </c>
      <c r="H143" s="84">
        <f>SUM(H136:H140)</f>
        <v>-350.38</v>
      </c>
      <c r="I143" s="85">
        <f t="shared" si="330"/>
        <v>0</v>
      </c>
      <c r="J143" s="96">
        <f t="shared" ref="J143" si="332">SUM(J136:J140)</f>
        <v>-963.4</v>
      </c>
      <c r="K143" s="84">
        <f>SUM(K136:K140)</f>
        <v>-963.4</v>
      </c>
      <c r="L143" s="85">
        <f t="shared" si="330"/>
        <v>0</v>
      </c>
      <c r="M143" s="96">
        <f t="shared" ref="M143" si="333">SUM(M136:M140)</f>
        <v>-287.35000000000002</v>
      </c>
      <c r="N143" s="84">
        <f>SUM(N136:N140)</f>
        <v>-287.35000000000002</v>
      </c>
      <c r="O143" s="85">
        <f t="shared" si="330"/>
        <v>0</v>
      </c>
      <c r="P143" s="96">
        <f t="shared" ref="P143" si="334">SUM(P136:P140)</f>
        <v>-330.32</v>
      </c>
      <c r="Q143" s="84">
        <f>SUM(Q136:Q140)</f>
        <v>-330.32</v>
      </c>
      <c r="R143" s="85">
        <f t="shared" si="330"/>
        <v>0</v>
      </c>
      <c r="S143" s="84">
        <f t="shared" ref="S143" si="335">SUM(S136:S140)</f>
        <v>-232.69</v>
      </c>
      <c r="T143" s="84">
        <f>SUM(T136:T140)</f>
        <v>-232.69</v>
      </c>
      <c r="U143" s="85">
        <f t="shared" si="330"/>
        <v>0</v>
      </c>
      <c r="V143" s="84">
        <f t="shared" ref="V143" si="336">SUM(V136:V140)</f>
        <v>-183.31</v>
      </c>
      <c r="W143" s="84">
        <f>SUM(W136:W140)</f>
        <v>-183.31</v>
      </c>
      <c r="X143" s="85">
        <f t="shared" si="330"/>
        <v>0</v>
      </c>
      <c r="Y143" s="84">
        <f t="shared" ref="Y143" si="337">SUM(Y136:Y140)</f>
        <v>0</v>
      </c>
      <c r="Z143" s="84">
        <f>SUM(Z136:Z140)</f>
        <v>0</v>
      </c>
      <c r="AA143" s="85">
        <f t="shared" si="330"/>
        <v>0</v>
      </c>
      <c r="AB143" s="96">
        <f t="shared" ref="AB143" si="338">SUM(AB136:AB140)</f>
        <v>0</v>
      </c>
      <c r="AC143" s="84">
        <f>SUM(AC136:AC140)</f>
        <v>0</v>
      </c>
      <c r="AD143" s="85">
        <f t="shared" si="330"/>
        <v>0</v>
      </c>
      <c r="AE143" s="96">
        <f t="shared" ref="AE143" si="339">SUM(AE136:AE140)</f>
        <v>0</v>
      </c>
      <c r="AF143" s="84">
        <f>SUM(AF136:AF140)</f>
        <v>0</v>
      </c>
      <c r="AG143" s="85">
        <f t="shared" si="330"/>
        <v>0</v>
      </c>
      <c r="AH143" s="96">
        <f t="shared" ref="AH143" si="340">SUM(AH136:AH140)</f>
        <v>0</v>
      </c>
      <c r="AI143" s="84">
        <f>SUM(AI136:AI140)</f>
        <v>0</v>
      </c>
      <c r="AJ143" s="85">
        <f t="shared" si="330"/>
        <v>0</v>
      </c>
      <c r="AK143" s="96">
        <f t="shared" ref="AK143" si="341">SUM(AK136:AK140)</f>
        <v>0</v>
      </c>
      <c r="AL143" s="84">
        <f>SUM(AL136:AL140)</f>
        <v>0</v>
      </c>
      <c r="AM143" s="85">
        <f t="shared" si="330"/>
        <v>0</v>
      </c>
      <c r="AN143" s="84">
        <f t="shared" ref="AN143" si="342">SUM(AN136:AN140)</f>
        <v>-2541.67</v>
      </c>
      <c r="AO143" s="84">
        <f>SUM(AO136:AO140)</f>
        <v>-2541.67</v>
      </c>
      <c r="AP143" s="115"/>
    </row>
    <row r="144" spans="1:42" ht="24.75" thickTop="1" thickBot="1">
      <c r="A144" s="275" t="s">
        <v>368</v>
      </c>
      <c r="B144" s="276"/>
      <c r="C144" s="38"/>
      <c r="D144" s="47"/>
      <c r="E144" s="49"/>
      <c r="F144" s="48"/>
      <c r="G144" s="47"/>
      <c r="H144" s="49"/>
      <c r="I144" s="48"/>
      <c r="J144" s="47"/>
      <c r="K144" s="49"/>
      <c r="L144" s="48"/>
      <c r="M144" s="47"/>
      <c r="N144" s="49"/>
      <c r="O144" s="48"/>
      <c r="P144" s="47"/>
      <c r="Q144" s="49"/>
      <c r="R144" s="48"/>
      <c r="S144" s="47"/>
      <c r="T144" s="49"/>
      <c r="U144" s="48"/>
      <c r="V144" s="47"/>
      <c r="W144" s="49"/>
      <c r="X144" s="48"/>
      <c r="Y144" s="47"/>
      <c r="Z144" s="49"/>
      <c r="AA144" s="48"/>
      <c r="AB144" s="47"/>
      <c r="AC144" s="49"/>
      <c r="AD144" s="48"/>
      <c r="AE144" s="47"/>
      <c r="AF144" s="49"/>
      <c r="AG144" s="48"/>
      <c r="AH144" s="47"/>
      <c r="AI144" s="49"/>
      <c r="AJ144" s="48"/>
      <c r="AK144" s="47"/>
      <c r="AL144" s="49"/>
      <c r="AM144" s="48"/>
      <c r="AN144" s="47"/>
      <c r="AO144" s="49"/>
    </row>
    <row r="145" spans="1:42">
      <c r="A145" s="18" t="s">
        <v>140</v>
      </c>
      <c r="B145" s="18" t="s">
        <v>368</v>
      </c>
      <c r="C145" s="140"/>
      <c r="D145" s="99">
        <f>SUMIF('Expense Detail Old'!$E$4:$E$5179,C$1&amp;" "&amp;$A145,'Expense Detail Old'!$H$4:$H$5179)</f>
        <v>0</v>
      </c>
      <c r="E145" s="100">
        <f t="shared" ref="E145:E151" si="343">D145-C145</f>
        <v>0</v>
      </c>
      <c r="F145" s="44">
        <v>0</v>
      </c>
      <c r="G145" s="99">
        <f>SUMIF('Expense Detail Old'!$E$4:$E$5179,F$1&amp;" "&amp;$A145,'Expense Detail Old'!$H$4:$H$5179)</f>
        <v>0</v>
      </c>
      <c r="H145" s="93">
        <f t="shared" ref="H145:H151" si="344">G145-F145</f>
        <v>0</v>
      </c>
      <c r="I145" s="78">
        <v>0</v>
      </c>
      <c r="J145" s="99">
        <f>SUMIF('Expense Detail Old'!$E$4:$E$5179,I$1&amp;" "&amp;$A145,'Expense Detail Old'!$H$4:$H$5179)</f>
        <v>0</v>
      </c>
      <c r="K145" s="93">
        <f t="shared" ref="K145:K151" si="345">J145-I145</f>
        <v>0</v>
      </c>
      <c r="L145" s="78">
        <v>0</v>
      </c>
      <c r="M145" s="99">
        <f>SUMIF('Expense Detail Old'!$E$4:$E$5179,L$1&amp;" "&amp;$A145,'Expense Detail Old'!$H$4:$H$5179)</f>
        <v>0</v>
      </c>
      <c r="N145" s="93">
        <f t="shared" ref="N145:N151" si="346">M145-L145</f>
        <v>0</v>
      </c>
      <c r="O145" s="78">
        <v>0</v>
      </c>
      <c r="P145" s="99">
        <f>SUMIF('Expense Detail Old'!$E$4:$E$5179,O$1&amp;" "&amp;$A145,'Expense Detail Old'!$H$4:$H$5179)</f>
        <v>0</v>
      </c>
      <c r="Q145" s="93">
        <f t="shared" ref="Q145:Q151" si="347">P145-O145</f>
        <v>0</v>
      </c>
      <c r="R145" s="78">
        <v>0</v>
      </c>
      <c r="S145" s="42">
        <f>SUMIF('Expense Detail Old'!$E$4:$E$5179,R$1&amp;" "&amp;$A145,'Expense Detail Old'!$H$4:$H$5179)</f>
        <v>0</v>
      </c>
      <c r="T145" s="93">
        <f t="shared" ref="T145:T151" si="348">S145-R145</f>
        <v>0</v>
      </c>
      <c r="U145" s="78">
        <v>0</v>
      </c>
      <c r="V145" s="42">
        <f>SUMIF('Expense Detail Old'!$E$4:$E$5179,U$1&amp;" "&amp;$A145,'Expense Detail Old'!$H$4:$H$5179)</f>
        <v>0</v>
      </c>
      <c r="W145" s="93">
        <f t="shared" ref="W145:W151" si="349">V145-U145</f>
        <v>0</v>
      </c>
      <c r="X145" s="78">
        <v>0</v>
      </c>
      <c r="Y145" s="42">
        <f>SUMIF('Expense Detail Old'!$E$4:$E$5179,X$1&amp;" "&amp;$A145,'Expense Detail Old'!$H$4:$H$5179)</f>
        <v>0</v>
      </c>
      <c r="Z145" s="93">
        <f t="shared" ref="Z145:Z151" si="350">Y145-X145</f>
        <v>0</v>
      </c>
      <c r="AA145" s="78">
        <v>0</v>
      </c>
      <c r="AB145" s="99">
        <f>SUMIF('Expense Detail Old'!$E$4:$E$5179,AA$1&amp;" "&amp;$A145,'Expense Detail Old'!$H$4:$H$5179)</f>
        <v>0</v>
      </c>
      <c r="AC145" s="93">
        <f t="shared" ref="AC145:AC151" si="351">AB145-AA145</f>
        <v>0</v>
      </c>
      <c r="AD145" s="78">
        <v>0</v>
      </c>
      <c r="AE145" s="99">
        <f>SUMIF('Expense Detail Old'!$E$4:$E$5179,AD$1&amp;" "&amp;$A145,'Expense Detail Old'!$H$4:$H$5179)</f>
        <v>0</v>
      </c>
      <c r="AF145" s="93">
        <f t="shared" ref="AF145:AF151" si="352">AE145-AD145</f>
        <v>0</v>
      </c>
      <c r="AG145" s="78">
        <v>0</v>
      </c>
      <c r="AH145" s="99">
        <f>SUMIF('Expense Detail Old'!$E$4:$E$5179,AG$1&amp;" "&amp;$A145,'Expense Detail Old'!$H$4:$H$5179)</f>
        <v>0</v>
      </c>
      <c r="AI145" s="93">
        <f t="shared" ref="AI145:AI151" si="353">AH145-AG145</f>
        <v>0</v>
      </c>
      <c r="AJ145" s="78">
        <v>0</v>
      </c>
      <c r="AK145" s="99">
        <f>SUMIF('Expense Detail Old'!$E$4:$E$5179,AJ$1&amp;" "&amp;$A145,'Expense Detail Old'!$H$4:$H$5179)</f>
        <v>0</v>
      </c>
      <c r="AL145" s="93">
        <f t="shared" ref="AL145:AL151" si="354">AK145-AJ145</f>
        <v>0</v>
      </c>
      <c r="AM145" s="90">
        <f t="shared" ref="AM145:AM151" si="355">SUM(C145,F145,I145,L145,O145,R145,U145,X145,AA145,AD145,AG145,AJ145)</f>
        <v>0</v>
      </c>
      <c r="AN145" s="93">
        <f t="shared" ref="AN145:AN151" si="356">SUM(D145,G145,J145,M145,P145,S145,V145,Y145,AB145,AE145,AH145,AK145)</f>
        <v>0</v>
      </c>
      <c r="AO145" s="93">
        <f t="shared" ref="AO145:AO151" si="357">AN145-AM145</f>
        <v>0</v>
      </c>
    </row>
    <row r="146" spans="1:42">
      <c r="A146" s="18" t="s">
        <v>141</v>
      </c>
      <c r="B146" s="18" t="s">
        <v>368</v>
      </c>
      <c r="C146" s="41">
        <v>-30</v>
      </c>
      <c r="D146" s="42">
        <f>SUMIF('Expense Detail Old'!$E$4:$E$5179,C$1&amp;" "&amp;$A146,'Expense Detail Old'!$H$4:$H$5179)</f>
        <v>0</v>
      </c>
      <c r="E146" s="82">
        <f t="shared" si="343"/>
        <v>30</v>
      </c>
      <c r="F146" s="44">
        <v>0</v>
      </c>
      <c r="G146" s="42">
        <f>SUMIF('Expense Detail Old'!$E$4:$E$5179,F$1&amp;" "&amp;$A146,'Expense Detail Old'!$H$4:$H$5179)</f>
        <v>0</v>
      </c>
      <c r="H146" s="93">
        <f t="shared" si="344"/>
        <v>0</v>
      </c>
      <c r="I146" s="78">
        <v>0</v>
      </c>
      <c r="J146" s="42">
        <f>SUMIF('Expense Detail Old'!$E$4:$E$5179,I$1&amp;" "&amp;$A146,'Expense Detail Old'!$H$4:$H$5179)</f>
        <v>0</v>
      </c>
      <c r="K146" s="93">
        <f t="shared" si="345"/>
        <v>0</v>
      </c>
      <c r="L146" s="78">
        <v>0</v>
      </c>
      <c r="M146" s="42">
        <f>SUMIF('Expense Detail Old'!$E$4:$E$5179,L$1&amp;" "&amp;$A146,'Expense Detail Old'!$H$4:$H$5179)</f>
        <v>0</v>
      </c>
      <c r="N146" s="93">
        <f t="shared" si="346"/>
        <v>0</v>
      </c>
      <c r="O146" s="78">
        <v>0</v>
      </c>
      <c r="P146" s="42">
        <f>SUMIF('Expense Detail Old'!$E$4:$E$5179,O$1&amp;" "&amp;$A146,'Expense Detail Old'!$H$4:$H$5179)</f>
        <v>0</v>
      </c>
      <c r="Q146" s="93">
        <f t="shared" si="347"/>
        <v>0</v>
      </c>
      <c r="R146" s="78">
        <v>0</v>
      </c>
      <c r="S146" s="42">
        <f>SUMIF('Expense Detail Old'!$E$4:$E$5179,R$1&amp;" "&amp;$A146,'Expense Detail Old'!$H$4:$H$5179)</f>
        <v>0</v>
      </c>
      <c r="T146" s="93">
        <f t="shared" si="348"/>
        <v>0</v>
      </c>
      <c r="U146" s="78">
        <v>0</v>
      </c>
      <c r="V146" s="42">
        <f>SUMIF('Expense Detail Old'!$E$4:$E$5179,U$1&amp;" "&amp;$A146,'Expense Detail Old'!$H$4:$H$5179)</f>
        <v>0</v>
      </c>
      <c r="W146" s="93">
        <f t="shared" si="349"/>
        <v>0</v>
      </c>
      <c r="X146" s="78">
        <v>0</v>
      </c>
      <c r="Y146" s="42">
        <f>SUMIF('Expense Detail Old'!$E$4:$E$5179,X$1&amp;" "&amp;$A146,'Expense Detail Old'!$H$4:$H$5179)</f>
        <v>0</v>
      </c>
      <c r="Z146" s="93">
        <f t="shared" si="350"/>
        <v>0</v>
      </c>
      <c r="AA146" s="78">
        <v>0</v>
      </c>
      <c r="AB146" s="42">
        <f>SUMIF('Expense Detail Old'!$E$4:$E$5179,AA$1&amp;" "&amp;$A146,'Expense Detail Old'!$H$4:$H$5179)</f>
        <v>0</v>
      </c>
      <c r="AC146" s="93">
        <f t="shared" si="351"/>
        <v>0</v>
      </c>
      <c r="AD146" s="78">
        <v>0</v>
      </c>
      <c r="AE146" s="42">
        <f>SUMIF('Expense Detail Old'!$E$4:$E$5179,AD$1&amp;" "&amp;$A146,'Expense Detail Old'!$H$4:$H$5179)</f>
        <v>0</v>
      </c>
      <c r="AF146" s="93">
        <f t="shared" si="352"/>
        <v>0</v>
      </c>
      <c r="AG146" s="78">
        <v>0</v>
      </c>
      <c r="AH146" s="42">
        <f>SUMIF('Expense Detail Old'!$E$4:$E$5179,AG$1&amp;" "&amp;$A146,'Expense Detail Old'!$H$4:$H$5179)</f>
        <v>0</v>
      </c>
      <c r="AI146" s="93">
        <f t="shared" si="353"/>
        <v>0</v>
      </c>
      <c r="AJ146" s="78">
        <v>0</v>
      </c>
      <c r="AK146" s="42">
        <f>SUMIF('Expense Detail Old'!$E$4:$E$5179,AJ$1&amp;" "&amp;$A146,'Expense Detail Old'!$H$4:$H$5179)</f>
        <v>0</v>
      </c>
      <c r="AL146" s="93">
        <f t="shared" si="354"/>
        <v>0</v>
      </c>
      <c r="AM146" s="90">
        <f t="shared" si="355"/>
        <v>-30</v>
      </c>
      <c r="AN146" s="93">
        <f t="shared" si="356"/>
        <v>0</v>
      </c>
      <c r="AO146" s="93">
        <f t="shared" si="357"/>
        <v>30</v>
      </c>
    </row>
    <row r="147" spans="1:42">
      <c r="A147" s="18" t="s">
        <v>124</v>
      </c>
      <c r="B147" s="18" t="s">
        <v>368</v>
      </c>
      <c r="C147" s="41">
        <v>2700</v>
      </c>
      <c r="D147" s="42">
        <f>SUMIF('Expense Detail Old'!$E$4:$E$5179,C$1&amp;" "&amp;$A147,'Expense Detail Old'!$H$4:$H$5179)</f>
        <v>2700</v>
      </c>
      <c r="E147" s="82">
        <f t="shared" si="343"/>
        <v>0</v>
      </c>
      <c r="F147" s="44">
        <v>0</v>
      </c>
      <c r="G147" s="42">
        <f>SUMIF('Expense Detail Old'!$E$4:$E$5179,F$1&amp;" "&amp;$A147,'Expense Detail Old'!$H$4:$H$5179)</f>
        <v>0</v>
      </c>
      <c r="H147" s="93">
        <f t="shared" si="344"/>
        <v>0</v>
      </c>
      <c r="I147" s="78">
        <v>0</v>
      </c>
      <c r="J147" s="42">
        <f>SUMIF('Expense Detail Old'!$E$4:$E$5179,I$1&amp;" "&amp;$A147,'Expense Detail Old'!$H$4:$H$5179)</f>
        <v>0</v>
      </c>
      <c r="K147" s="93">
        <f t="shared" si="345"/>
        <v>0</v>
      </c>
      <c r="L147" s="78">
        <v>0</v>
      </c>
      <c r="M147" s="42">
        <f>SUMIF('Expense Detail Old'!$E$4:$E$5179,L$1&amp;" "&amp;$A147,'Expense Detail Old'!$H$4:$H$5179)</f>
        <v>0</v>
      </c>
      <c r="N147" s="93">
        <f t="shared" si="346"/>
        <v>0</v>
      </c>
      <c r="O147" s="78">
        <v>0</v>
      </c>
      <c r="P147" s="42">
        <f>SUMIF('Expense Detail Old'!$E$4:$E$5179,O$1&amp;" "&amp;$A147,'Expense Detail Old'!$H$4:$H$5179)</f>
        <v>0</v>
      </c>
      <c r="Q147" s="93">
        <f t="shared" si="347"/>
        <v>0</v>
      </c>
      <c r="R147" s="78">
        <v>0</v>
      </c>
      <c r="S147" s="42">
        <f>SUMIF('Expense Detail Old'!$E$4:$E$5179,R$1&amp;" "&amp;$A147,'Expense Detail Old'!$H$4:$H$5179)</f>
        <v>0</v>
      </c>
      <c r="T147" s="93">
        <f t="shared" si="348"/>
        <v>0</v>
      </c>
      <c r="U147" s="78">
        <v>0</v>
      </c>
      <c r="V147" s="42">
        <f>SUMIF('Expense Detail Old'!$E$4:$E$5179,U$1&amp;" "&amp;$A147,'Expense Detail Old'!$H$4:$H$5179)</f>
        <v>0</v>
      </c>
      <c r="W147" s="93">
        <f t="shared" si="349"/>
        <v>0</v>
      </c>
      <c r="X147" s="78">
        <v>0</v>
      </c>
      <c r="Y147" s="42">
        <f>SUMIF('Expense Detail Old'!$E$4:$E$5179,X$1&amp;" "&amp;$A147,'Expense Detail Old'!$H$4:$H$5179)</f>
        <v>0</v>
      </c>
      <c r="Z147" s="93">
        <f t="shared" si="350"/>
        <v>0</v>
      </c>
      <c r="AA147" s="78">
        <v>0</v>
      </c>
      <c r="AB147" s="42">
        <f>SUMIF('Expense Detail Old'!$E$4:$E$5179,AA$1&amp;" "&amp;$A147,'Expense Detail Old'!$H$4:$H$5179)</f>
        <v>0</v>
      </c>
      <c r="AC147" s="93">
        <f t="shared" si="351"/>
        <v>0</v>
      </c>
      <c r="AD147" s="78">
        <v>0</v>
      </c>
      <c r="AE147" s="42">
        <f>SUMIF('Expense Detail Old'!$E$4:$E$5179,AD$1&amp;" "&amp;$A147,'Expense Detail Old'!$H$4:$H$5179)</f>
        <v>0</v>
      </c>
      <c r="AF147" s="93">
        <f t="shared" si="352"/>
        <v>0</v>
      </c>
      <c r="AG147" s="78">
        <v>0</v>
      </c>
      <c r="AH147" s="42">
        <f>SUMIF('Expense Detail Old'!$E$4:$E$5179,AG$1&amp;" "&amp;$A147,'Expense Detail Old'!$H$4:$H$5179)</f>
        <v>0</v>
      </c>
      <c r="AI147" s="93">
        <f t="shared" si="353"/>
        <v>0</v>
      </c>
      <c r="AJ147" s="78">
        <v>0</v>
      </c>
      <c r="AK147" s="42">
        <f>SUMIF('Expense Detail Old'!$E$4:$E$5179,AJ$1&amp;" "&amp;$A147,'Expense Detail Old'!$H$4:$H$5179)</f>
        <v>0</v>
      </c>
      <c r="AL147" s="93">
        <f t="shared" si="354"/>
        <v>0</v>
      </c>
      <c r="AM147" s="90">
        <f t="shared" si="355"/>
        <v>2700</v>
      </c>
      <c r="AN147" s="93">
        <f t="shared" si="356"/>
        <v>2700</v>
      </c>
      <c r="AO147" s="93">
        <f t="shared" si="357"/>
        <v>0</v>
      </c>
    </row>
    <row r="148" spans="1:42">
      <c r="A148" s="18" t="s">
        <v>150</v>
      </c>
      <c r="B148" s="18" t="s">
        <v>368</v>
      </c>
      <c r="C148" s="41">
        <v>-100</v>
      </c>
      <c r="D148" s="42">
        <f>SUMIF('Expense Detail Old'!$E$4:$E$5179,C$1&amp;" "&amp;$A148,'Expense Detail Old'!$H$4:$H$5179)</f>
        <v>-100</v>
      </c>
      <c r="E148" s="82">
        <f t="shared" si="343"/>
        <v>0</v>
      </c>
      <c r="F148" s="41">
        <v>-100</v>
      </c>
      <c r="G148" s="42">
        <f>SUMIF('Expense Detail Old'!$E$4:$E$5179,F$1&amp;" "&amp;$A148,'Expense Detail Old'!$H$4:$H$5179)</f>
        <v>-100</v>
      </c>
      <c r="H148" s="93">
        <f t="shared" si="344"/>
        <v>0</v>
      </c>
      <c r="I148" s="78">
        <v>0</v>
      </c>
      <c r="J148" s="42">
        <f>SUMIF('Expense Detail Old'!$E$4:$E$5179,I$1&amp;" "&amp;$A148,'Expense Detail Old'!$H$4:$H$5179)</f>
        <v>0</v>
      </c>
      <c r="K148" s="93">
        <f t="shared" si="345"/>
        <v>0</v>
      </c>
      <c r="L148" s="41">
        <v>-100</v>
      </c>
      <c r="M148" s="42">
        <f>SUMIF('Expense Detail Old'!$E$4:$E$5179,L$1&amp;" "&amp;$A148,'Expense Detail Old'!$H$4:$H$5179)</f>
        <v>-100</v>
      </c>
      <c r="N148" s="93">
        <f t="shared" si="346"/>
        <v>0</v>
      </c>
      <c r="O148" s="78">
        <v>0</v>
      </c>
      <c r="P148" s="42">
        <f>SUMIF('Expense Detail Old'!$E$4:$E$5179,O$1&amp;" "&amp;$A148,'Expense Detail Old'!$H$4:$H$5179)</f>
        <v>-100</v>
      </c>
      <c r="Q148" s="93">
        <f t="shared" si="347"/>
        <v>-100</v>
      </c>
      <c r="R148" s="78">
        <v>0</v>
      </c>
      <c r="S148" s="42">
        <f>SUMIF('Expense Detail Old'!$E$4:$E$5179,R$1&amp;" "&amp;$A148,'Expense Detail Old'!$H$4:$H$5179)</f>
        <v>-100</v>
      </c>
      <c r="T148" s="93">
        <f t="shared" si="348"/>
        <v>-100</v>
      </c>
      <c r="U148" s="78">
        <v>0</v>
      </c>
      <c r="V148" s="42">
        <f>SUMIF('Expense Detail Old'!$E$4:$E$5179,U$1&amp;" "&amp;$A148,'Expense Detail Old'!$H$4:$H$5179)</f>
        <v>-200</v>
      </c>
      <c r="W148" s="93">
        <f t="shared" si="349"/>
        <v>-200</v>
      </c>
      <c r="X148" s="78">
        <v>0</v>
      </c>
      <c r="Y148" s="42">
        <f>SUMIF('Expense Detail Old'!$E$4:$E$5179,X$1&amp;" "&amp;$A148,'Expense Detail Old'!$H$4:$H$5179)</f>
        <v>0</v>
      </c>
      <c r="Z148" s="93">
        <f t="shared" si="350"/>
        <v>0</v>
      </c>
      <c r="AA148" s="78">
        <v>0</v>
      </c>
      <c r="AB148" s="42">
        <f>SUMIF('Expense Detail Old'!$E$4:$E$5179,AA$1&amp;" "&amp;$A148,'Expense Detail Old'!$H$4:$H$5179)</f>
        <v>0</v>
      </c>
      <c r="AC148" s="93">
        <f t="shared" si="351"/>
        <v>0</v>
      </c>
      <c r="AD148" s="78">
        <v>0</v>
      </c>
      <c r="AE148" s="42">
        <f>SUMIF('Expense Detail Old'!$E$4:$E$5179,AD$1&amp;" "&amp;$A148,'Expense Detail Old'!$H$4:$H$5179)</f>
        <v>0</v>
      </c>
      <c r="AF148" s="93">
        <f t="shared" si="352"/>
        <v>0</v>
      </c>
      <c r="AG148" s="78">
        <v>0</v>
      </c>
      <c r="AH148" s="42">
        <f>SUMIF('Expense Detail Old'!$E$4:$E$5179,AG$1&amp;" "&amp;$A148,'Expense Detail Old'!$H$4:$H$5179)</f>
        <v>0</v>
      </c>
      <c r="AI148" s="93">
        <f t="shared" si="353"/>
        <v>0</v>
      </c>
      <c r="AJ148" s="78">
        <v>0</v>
      </c>
      <c r="AK148" s="42">
        <f>SUMIF('Expense Detail Old'!$E$4:$E$5179,AJ$1&amp;" "&amp;$A148,'Expense Detail Old'!$H$4:$H$5179)</f>
        <v>0</v>
      </c>
      <c r="AL148" s="93">
        <f t="shared" si="354"/>
        <v>0</v>
      </c>
      <c r="AM148" s="90">
        <f t="shared" si="355"/>
        <v>-300</v>
      </c>
      <c r="AN148" s="93">
        <f t="shared" si="356"/>
        <v>-700</v>
      </c>
      <c r="AO148" s="93">
        <f t="shared" si="357"/>
        <v>-400</v>
      </c>
    </row>
    <row r="149" spans="1:42">
      <c r="A149" s="18" t="s">
        <v>627</v>
      </c>
      <c r="B149" s="18" t="s">
        <v>628</v>
      </c>
      <c r="C149" s="162">
        <v>-1119</v>
      </c>
      <c r="D149" s="42">
        <f>SUMIF('Expense Detail Old'!$E$4:$E$5179,C$1&amp;" "&amp;$A149,'Expense Detail Old'!$H$4:$H$5179)</f>
        <v>-1119.42</v>
      </c>
      <c r="E149" s="82">
        <f t="shared" ref="E149" si="358">D149-C149</f>
        <v>-0.42000000000007276</v>
      </c>
      <c r="F149" s="44"/>
      <c r="G149" s="42"/>
      <c r="H149" s="93"/>
      <c r="I149" s="78"/>
      <c r="J149" s="42"/>
      <c r="K149" s="93"/>
      <c r="L149" s="78"/>
      <c r="M149" s="42"/>
      <c r="N149" s="93"/>
      <c r="O149" s="78"/>
      <c r="P149" s="42"/>
      <c r="Q149" s="93"/>
      <c r="R149" s="78"/>
      <c r="S149" s="42"/>
      <c r="T149" s="93"/>
      <c r="U149" s="78"/>
      <c r="V149" s="42"/>
      <c r="W149" s="93"/>
      <c r="X149" s="78"/>
      <c r="Y149" s="42"/>
      <c r="Z149" s="93"/>
      <c r="AA149" s="78"/>
      <c r="AB149" s="42"/>
      <c r="AC149" s="93"/>
      <c r="AD149" s="78"/>
      <c r="AE149" s="42"/>
      <c r="AF149" s="93"/>
      <c r="AG149" s="78"/>
      <c r="AH149" s="42"/>
      <c r="AI149" s="93"/>
      <c r="AJ149" s="78"/>
      <c r="AK149" s="42"/>
      <c r="AL149" s="93"/>
      <c r="AM149" s="90"/>
      <c r="AN149" s="93"/>
      <c r="AO149" s="93"/>
    </row>
    <row r="150" spans="1:42">
      <c r="A150" s="18" t="s">
        <v>149</v>
      </c>
      <c r="B150" s="18" t="s">
        <v>368</v>
      </c>
      <c r="C150" s="41">
        <v>-550</v>
      </c>
      <c r="D150" s="42">
        <f>SUMIF('Expense Detail Old'!$E$4:$E$5179,C$1&amp;" "&amp;$A150,'Expense Detail Old'!$H$4:$H$5179)</f>
        <v>-514</v>
      </c>
      <c r="E150" s="82">
        <f t="shared" si="343"/>
        <v>36</v>
      </c>
      <c r="F150" s="44">
        <v>0</v>
      </c>
      <c r="G150" s="42">
        <f>SUMIF('Expense Detail Old'!$E$4:$E$5179,F$1&amp;" "&amp;$A150,'Expense Detail Old'!$H$4:$H$5179)</f>
        <v>0</v>
      </c>
      <c r="H150" s="93">
        <f t="shared" si="344"/>
        <v>0</v>
      </c>
      <c r="I150" s="78">
        <v>0</v>
      </c>
      <c r="J150" s="42">
        <f>SUMIF('Expense Detail Old'!$E$4:$E$5179,I$1&amp;" "&amp;$A150,'Expense Detail Old'!$H$4:$H$5179)</f>
        <v>0</v>
      </c>
      <c r="K150" s="93">
        <f t="shared" si="345"/>
        <v>0</v>
      </c>
      <c r="L150" s="78">
        <v>0</v>
      </c>
      <c r="M150" s="42">
        <f>SUMIF('Expense Detail Old'!$E$4:$E$5179,L$1&amp;" "&amp;$A150,'Expense Detail Old'!$H$4:$H$5179)</f>
        <v>0</v>
      </c>
      <c r="N150" s="93">
        <f t="shared" si="346"/>
        <v>0</v>
      </c>
      <c r="O150" s="78">
        <v>0</v>
      </c>
      <c r="P150" s="42">
        <f>SUMIF('Expense Detail Old'!$E$4:$E$5179,O$1&amp;" "&amp;$A150,'Expense Detail Old'!$H$4:$H$5179)</f>
        <v>0</v>
      </c>
      <c r="Q150" s="93">
        <f t="shared" si="347"/>
        <v>0</v>
      </c>
      <c r="R150" s="78">
        <v>0</v>
      </c>
      <c r="S150" s="42">
        <f>SUMIF('Expense Detail Old'!$E$4:$E$5179,R$1&amp;" "&amp;$A150,'Expense Detail Old'!$H$4:$H$5179)</f>
        <v>0</v>
      </c>
      <c r="T150" s="93">
        <f t="shared" si="348"/>
        <v>0</v>
      </c>
      <c r="U150" s="78">
        <v>0</v>
      </c>
      <c r="V150" s="42">
        <f>SUMIF('Expense Detail Old'!$E$4:$E$5179,U$1&amp;" "&amp;$A150,'Expense Detail Old'!$H$4:$H$5179)</f>
        <v>0</v>
      </c>
      <c r="W150" s="93">
        <f t="shared" si="349"/>
        <v>0</v>
      </c>
      <c r="X150" s="78">
        <v>0</v>
      </c>
      <c r="Y150" s="42">
        <f>SUMIF('Expense Detail Old'!$E$4:$E$5179,X$1&amp;" "&amp;$A150,'Expense Detail Old'!$H$4:$H$5179)</f>
        <v>0</v>
      </c>
      <c r="Z150" s="93">
        <f t="shared" si="350"/>
        <v>0</v>
      </c>
      <c r="AA150" s="78">
        <v>0</v>
      </c>
      <c r="AB150" s="42">
        <f>SUMIF('Expense Detail Old'!$E$4:$E$5179,AA$1&amp;" "&amp;$A150,'Expense Detail Old'!$H$4:$H$5179)</f>
        <v>0</v>
      </c>
      <c r="AC150" s="93">
        <f t="shared" si="351"/>
        <v>0</v>
      </c>
      <c r="AD150" s="78">
        <v>0</v>
      </c>
      <c r="AE150" s="42">
        <f>SUMIF('Expense Detail Old'!$E$4:$E$5179,AD$1&amp;" "&amp;$A150,'Expense Detail Old'!$H$4:$H$5179)</f>
        <v>0</v>
      </c>
      <c r="AF150" s="93">
        <f t="shared" si="352"/>
        <v>0</v>
      </c>
      <c r="AG150" s="78">
        <v>0</v>
      </c>
      <c r="AH150" s="42">
        <f>SUMIF('Expense Detail Old'!$E$4:$E$5179,AG$1&amp;" "&amp;$A150,'Expense Detail Old'!$H$4:$H$5179)</f>
        <v>0</v>
      </c>
      <c r="AI150" s="93">
        <f t="shared" si="353"/>
        <v>0</v>
      </c>
      <c r="AJ150" s="78">
        <v>0</v>
      </c>
      <c r="AK150" s="42">
        <f>SUMIF('Expense Detail Old'!$E$4:$E$5179,AJ$1&amp;" "&amp;$A150,'Expense Detail Old'!$H$4:$H$5179)</f>
        <v>0</v>
      </c>
      <c r="AL150" s="93">
        <f t="shared" si="354"/>
        <v>0</v>
      </c>
      <c r="AM150" s="90">
        <f t="shared" si="355"/>
        <v>-550</v>
      </c>
      <c r="AN150" s="93">
        <f t="shared" si="356"/>
        <v>-514</v>
      </c>
      <c r="AO150" s="93">
        <f t="shared" si="357"/>
        <v>36</v>
      </c>
    </row>
    <row r="151" spans="1:42">
      <c r="A151" s="18" t="s">
        <v>630</v>
      </c>
      <c r="B151" s="18" t="s">
        <v>349</v>
      </c>
      <c r="C151" s="41"/>
      <c r="D151" s="42">
        <v>24.9</v>
      </c>
      <c r="E151" s="82">
        <f t="shared" si="343"/>
        <v>24.9</v>
      </c>
      <c r="F151" s="42">
        <v>0</v>
      </c>
      <c r="G151" s="42">
        <f>SUMIF('Expense Detail Old'!$E$4:$E$5179,F$1&amp;" "&amp;$A151,'Expense Detail Old'!$H$4:$H$5179)</f>
        <v>0</v>
      </c>
      <c r="H151" s="82">
        <f t="shared" si="344"/>
        <v>0</v>
      </c>
      <c r="I151" s="41">
        <v>0</v>
      </c>
      <c r="J151" s="42">
        <f>SUMIF('Expense Detail Old'!$E$4:$E$5179,I$1&amp;" "&amp;$A151,'Expense Detail Old'!$H$4:$H$5179)</f>
        <v>0</v>
      </c>
      <c r="K151" s="82">
        <f t="shared" si="345"/>
        <v>0</v>
      </c>
      <c r="L151" s="41">
        <v>0</v>
      </c>
      <c r="M151" s="42">
        <f>SUMIF('Expense Detail Old'!$E$4:$E$5179,L$1&amp;" "&amp;$A151,'Expense Detail Old'!$H$4:$H$5179)</f>
        <v>0</v>
      </c>
      <c r="N151" s="82">
        <f t="shared" si="346"/>
        <v>0</v>
      </c>
      <c r="O151" s="41">
        <v>0</v>
      </c>
      <c r="P151" s="42">
        <f>SUMIF('Expense Detail Old'!$E$4:$E$5179,O$1&amp;" "&amp;$A151,'Expense Detail Old'!$H$4:$H$5179)</f>
        <v>0</v>
      </c>
      <c r="Q151" s="82">
        <f t="shared" si="347"/>
        <v>0</v>
      </c>
      <c r="R151" s="41">
        <v>0</v>
      </c>
      <c r="S151" s="42">
        <f>SUMIF('Expense Detail Old'!$E$4:$E$5179,R$1&amp;" "&amp;$A151,'Expense Detail Old'!$H$4:$H$5179)</f>
        <v>0</v>
      </c>
      <c r="T151" s="82">
        <f t="shared" si="348"/>
        <v>0</v>
      </c>
      <c r="U151" s="41">
        <v>0</v>
      </c>
      <c r="V151" s="42">
        <f>SUMIF('Expense Detail Old'!$E$4:$E$5179,U$1&amp;" "&amp;$A151,'Expense Detail Old'!$H$4:$H$5179)</f>
        <v>0</v>
      </c>
      <c r="W151" s="82">
        <f t="shared" si="349"/>
        <v>0</v>
      </c>
      <c r="X151" s="41">
        <v>0</v>
      </c>
      <c r="Y151" s="42">
        <f>SUMIF('Expense Detail Old'!$E$4:$E$5179,X$1&amp;" "&amp;$A151,'Expense Detail Old'!$H$4:$H$5179)</f>
        <v>0</v>
      </c>
      <c r="Z151" s="82">
        <f t="shared" si="350"/>
        <v>0</v>
      </c>
      <c r="AA151" s="41">
        <v>0</v>
      </c>
      <c r="AB151" s="42">
        <f>SUMIF('Expense Detail Old'!$E$4:$E$5179,AA$1&amp;" "&amp;$A151,'Expense Detail Old'!$H$4:$H$5179)</f>
        <v>0</v>
      </c>
      <c r="AC151" s="82">
        <f t="shared" si="351"/>
        <v>0</v>
      </c>
      <c r="AD151" s="41">
        <v>0</v>
      </c>
      <c r="AE151" s="42">
        <f>SUMIF('Expense Detail Old'!$E$4:$E$5179,AD$1&amp;" "&amp;$A151,'Expense Detail Old'!$H$4:$H$5179)</f>
        <v>0</v>
      </c>
      <c r="AF151" s="82">
        <f t="shared" si="352"/>
        <v>0</v>
      </c>
      <c r="AG151" s="41">
        <v>0</v>
      </c>
      <c r="AH151" s="42">
        <f>SUMIF('Expense Detail Old'!$E$4:$E$5179,AG$1&amp;" "&amp;$A151,'Expense Detail Old'!$H$4:$H$5179)</f>
        <v>0</v>
      </c>
      <c r="AI151" s="82">
        <f t="shared" si="353"/>
        <v>0</v>
      </c>
      <c r="AJ151" s="41">
        <v>0</v>
      </c>
      <c r="AK151" s="42">
        <f>SUMIF('Expense Detail Old'!$E$4:$E$5179,AJ$1&amp;" "&amp;$A151,'Expense Detail Old'!$H$4:$H$5179)</f>
        <v>0</v>
      </c>
      <c r="AL151" s="82">
        <f t="shared" si="354"/>
        <v>0</v>
      </c>
      <c r="AM151" s="90">
        <f t="shared" si="355"/>
        <v>0</v>
      </c>
      <c r="AN151" s="93">
        <f t="shared" si="356"/>
        <v>24.9</v>
      </c>
      <c r="AO151" s="82">
        <f t="shared" si="357"/>
        <v>24.9</v>
      </c>
      <c r="AP151" s="80">
        <f>(AP147-AP150)/30.4</f>
        <v>0</v>
      </c>
    </row>
    <row r="152" spans="1:42" ht="16.5" thickBot="1">
      <c r="A152" s="36"/>
      <c r="B152" s="36" t="s">
        <v>340</v>
      </c>
      <c r="C152" s="139">
        <f t="shared" ref="C152:AO152" si="359">SUM(C145:C150)</f>
        <v>901</v>
      </c>
      <c r="D152" s="96">
        <f t="shared" si="359"/>
        <v>966.57999999999993</v>
      </c>
      <c r="E152" s="96">
        <f t="shared" si="359"/>
        <v>65.579999999999927</v>
      </c>
      <c r="F152" s="85">
        <f t="shared" si="359"/>
        <v>-100</v>
      </c>
      <c r="G152" s="96">
        <f t="shared" si="359"/>
        <v>-100</v>
      </c>
      <c r="H152" s="84">
        <f t="shared" si="359"/>
        <v>0</v>
      </c>
      <c r="I152" s="85">
        <f t="shared" si="359"/>
        <v>0</v>
      </c>
      <c r="J152" s="96">
        <f t="shared" si="359"/>
        <v>0</v>
      </c>
      <c r="K152" s="84">
        <f t="shared" si="359"/>
        <v>0</v>
      </c>
      <c r="L152" s="85">
        <f t="shared" si="359"/>
        <v>-100</v>
      </c>
      <c r="M152" s="96">
        <f t="shared" si="359"/>
        <v>-100</v>
      </c>
      <c r="N152" s="84">
        <f t="shared" si="359"/>
        <v>0</v>
      </c>
      <c r="O152" s="85">
        <f t="shared" si="359"/>
        <v>0</v>
      </c>
      <c r="P152" s="96">
        <f t="shared" si="359"/>
        <v>-100</v>
      </c>
      <c r="Q152" s="84">
        <f t="shared" si="359"/>
        <v>-100</v>
      </c>
      <c r="R152" s="85">
        <f t="shared" si="359"/>
        <v>0</v>
      </c>
      <c r="S152" s="84">
        <f t="shared" si="359"/>
        <v>-100</v>
      </c>
      <c r="T152" s="84">
        <f t="shared" si="359"/>
        <v>-100</v>
      </c>
      <c r="U152" s="85">
        <f t="shared" si="359"/>
        <v>0</v>
      </c>
      <c r="V152" s="84">
        <f t="shared" si="359"/>
        <v>-200</v>
      </c>
      <c r="W152" s="84">
        <f t="shared" si="359"/>
        <v>-200</v>
      </c>
      <c r="X152" s="85">
        <f t="shared" si="359"/>
        <v>0</v>
      </c>
      <c r="Y152" s="84">
        <f t="shared" si="359"/>
        <v>0</v>
      </c>
      <c r="Z152" s="84">
        <f t="shared" si="359"/>
        <v>0</v>
      </c>
      <c r="AA152" s="85">
        <f t="shared" si="359"/>
        <v>0</v>
      </c>
      <c r="AB152" s="96">
        <f t="shared" si="359"/>
        <v>0</v>
      </c>
      <c r="AC152" s="84">
        <f t="shared" si="359"/>
        <v>0</v>
      </c>
      <c r="AD152" s="85">
        <f t="shared" si="359"/>
        <v>0</v>
      </c>
      <c r="AE152" s="96">
        <f t="shared" si="359"/>
        <v>0</v>
      </c>
      <c r="AF152" s="84">
        <f t="shared" si="359"/>
        <v>0</v>
      </c>
      <c r="AG152" s="85">
        <f t="shared" si="359"/>
        <v>0</v>
      </c>
      <c r="AH152" s="96">
        <f t="shared" si="359"/>
        <v>0</v>
      </c>
      <c r="AI152" s="84">
        <f t="shared" si="359"/>
        <v>0</v>
      </c>
      <c r="AJ152" s="85">
        <f t="shared" si="359"/>
        <v>0</v>
      </c>
      <c r="AK152" s="96">
        <f t="shared" si="359"/>
        <v>0</v>
      </c>
      <c r="AL152" s="84">
        <f t="shared" si="359"/>
        <v>0</v>
      </c>
      <c r="AM152" s="85">
        <f t="shared" si="359"/>
        <v>1820</v>
      </c>
      <c r="AN152" s="84">
        <f t="shared" si="359"/>
        <v>1486</v>
      </c>
      <c r="AO152" s="84">
        <f t="shared" si="359"/>
        <v>-334</v>
      </c>
    </row>
    <row r="153" spans="1:42" ht="24.75" thickTop="1" thickBot="1">
      <c r="A153" s="275" t="s">
        <v>341</v>
      </c>
      <c r="B153" s="276"/>
      <c r="C153" s="38"/>
      <c r="D153" s="47"/>
      <c r="E153" s="49"/>
      <c r="F153" s="48"/>
      <c r="G153" s="47"/>
      <c r="H153" s="49"/>
      <c r="I153" s="48"/>
      <c r="J153" s="47"/>
      <c r="K153" s="49"/>
      <c r="L153" s="48"/>
      <c r="M153" s="47"/>
      <c r="N153" s="49"/>
      <c r="O153" s="48"/>
      <c r="P153" s="47"/>
      <c r="Q153" s="49"/>
      <c r="R153" s="48"/>
      <c r="S153" s="47"/>
      <c r="T153" s="49"/>
      <c r="U153" s="48"/>
      <c r="V153" s="47"/>
      <c r="W153" s="49"/>
      <c r="X153" s="48"/>
      <c r="Y153" s="47"/>
      <c r="Z153" s="49"/>
      <c r="AA153" s="48"/>
      <c r="AB153" s="47"/>
      <c r="AC153" s="49"/>
      <c r="AD153" s="48"/>
      <c r="AE153" s="47"/>
      <c r="AF153" s="49"/>
      <c r="AG153" s="48"/>
      <c r="AH153" s="47"/>
      <c r="AI153" s="49"/>
      <c r="AJ153" s="48"/>
      <c r="AK153" s="47"/>
      <c r="AL153" s="49"/>
      <c r="AM153" s="48"/>
      <c r="AN153" s="47"/>
      <c r="AO153" s="49"/>
    </row>
    <row r="154" spans="1:42">
      <c r="A154" s="18" t="s">
        <v>363</v>
      </c>
      <c r="B154" s="18" t="s">
        <v>341</v>
      </c>
      <c r="C154" s="98">
        <v>0</v>
      </c>
      <c r="D154" s="99">
        <f>SUMIF('Expense Detail Old'!$E$4:$E$5179,C$1&amp;" "&amp;$A154,'Expense Detail Old'!$H$4:$H$5179)</f>
        <v>0</v>
      </c>
      <c r="E154" s="100">
        <f t="shared" ref="E154:E156" si="360">D154-C154</f>
        <v>0</v>
      </c>
      <c r="F154" s="42">
        <v>0</v>
      </c>
      <c r="G154" s="99">
        <f>SUMIF('Expense Detail Old'!$E$4:$E$5179,F$1&amp;" "&amp;$A154,'Expense Detail Old'!$H$4:$H$5179)</f>
        <v>0</v>
      </c>
      <c r="H154" s="93">
        <f t="shared" ref="H154:H156" si="361">G154-F154</f>
        <v>0</v>
      </c>
      <c r="I154" s="81">
        <v>0</v>
      </c>
      <c r="J154" s="99">
        <f>SUMIF('Expense Detail Old'!$E$4:$E$5179,I$1&amp;" "&amp;$A154,'Expense Detail Old'!$H$4:$H$5179)</f>
        <v>-991.02</v>
      </c>
      <c r="K154" s="93">
        <f t="shared" ref="K154:K156" si="362">J154-I154</f>
        <v>-991.02</v>
      </c>
      <c r="L154" s="81">
        <v>0</v>
      </c>
      <c r="M154" s="99">
        <f>SUMIF('Expense Detail Old'!$E$4:$E$5179,L$1&amp;" "&amp;$A154,'Expense Detail Old'!$H$4:$H$5179)</f>
        <v>0</v>
      </c>
      <c r="N154" s="93">
        <f t="shared" ref="N154:N156" si="363">M154-L154</f>
        <v>0</v>
      </c>
      <c r="O154" s="81">
        <v>0</v>
      </c>
      <c r="P154" s="99">
        <f>SUMIF('Expense Detail Old'!$E$4:$E$5179,O$1&amp;" "&amp;$A154,'Expense Detail Old'!$H$4:$H$5179)</f>
        <v>0</v>
      </c>
      <c r="Q154" s="93">
        <f t="shared" ref="Q154:Q156" si="364">P154-O154</f>
        <v>0</v>
      </c>
      <c r="R154" s="81">
        <v>0</v>
      </c>
      <c r="S154" s="42">
        <f>SUMIF('Expense Detail Old'!$E$4:$E$5179,R$1&amp;" "&amp;$A154,'Expense Detail Old'!$H$4:$H$5179)</f>
        <v>0</v>
      </c>
      <c r="T154" s="93">
        <f t="shared" ref="T154:T156" si="365">S154-R154</f>
        <v>0</v>
      </c>
      <c r="U154" s="81">
        <v>0</v>
      </c>
      <c r="V154" s="42">
        <f>SUMIF('Expense Detail Old'!$E$4:$E$5179,U$1&amp;" "&amp;$A154,'Expense Detail Old'!$H$4:$H$5179)</f>
        <v>0</v>
      </c>
      <c r="W154" s="93">
        <f t="shared" ref="W154:W156" si="366">V154-U154</f>
        <v>0</v>
      </c>
      <c r="X154" s="81">
        <v>0</v>
      </c>
      <c r="Y154" s="42">
        <f>SUMIF('Expense Detail Old'!$E$4:$E$5179,X$1&amp;" "&amp;$A154,'Expense Detail Old'!$H$4:$H$5179)</f>
        <v>0</v>
      </c>
      <c r="Z154" s="93">
        <f t="shared" ref="Z154:Z156" si="367">Y154-X154</f>
        <v>0</v>
      </c>
      <c r="AA154" s="81">
        <v>0</v>
      </c>
      <c r="AB154" s="99">
        <f>SUMIF('Expense Detail Old'!$E$4:$E$5179,AA$1&amp;" "&amp;$A154,'Expense Detail Old'!$H$4:$H$5179)</f>
        <v>0</v>
      </c>
      <c r="AC154" s="93">
        <f t="shared" ref="AC154:AC156" si="368">AB154-AA154</f>
        <v>0</v>
      </c>
      <c r="AD154" s="81">
        <v>0</v>
      </c>
      <c r="AE154" s="99">
        <f>SUMIF('Expense Detail Old'!$E$4:$E$5179,AD$1&amp;" "&amp;$A154,'Expense Detail Old'!$H$4:$H$5179)</f>
        <v>0</v>
      </c>
      <c r="AF154" s="93">
        <f t="shared" ref="AF154:AF156" si="369">AE154-AD154</f>
        <v>0</v>
      </c>
      <c r="AG154" s="81">
        <v>0</v>
      </c>
      <c r="AH154" s="99">
        <f>SUMIF('Expense Detail Old'!$E$4:$E$5179,AG$1&amp;" "&amp;$A154,'Expense Detail Old'!$H$4:$H$5179)</f>
        <v>0</v>
      </c>
      <c r="AI154" s="93">
        <f t="shared" ref="AI154:AI156" si="370">AH154-AG154</f>
        <v>0</v>
      </c>
      <c r="AJ154" s="81">
        <v>0</v>
      </c>
      <c r="AK154" s="99">
        <f>SUMIF('Expense Detail Old'!$E$4:$E$5179,AJ$1&amp;" "&amp;$A154,'Expense Detail Old'!$H$4:$H$5179)</f>
        <v>0</v>
      </c>
      <c r="AL154" s="93">
        <f t="shared" ref="AL154:AL156" si="371">AK154-AJ154</f>
        <v>0</v>
      </c>
      <c r="AM154" s="90">
        <f t="shared" ref="AM154:AM156" si="372">SUM(C154,F154,I154,L154,O154,R154,U154,X154,AA154,AD154,AG154,AJ154)</f>
        <v>0</v>
      </c>
      <c r="AN154" s="93">
        <f t="shared" ref="AN154:AN156" si="373">SUM(D154,G154,J154,M154,P154,S154,V154,Y154,AB154,AE154,AH154,AK154)</f>
        <v>-991.02</v>
      </c>
      <c r="AO154" s="93">
        <f t="shared" ref="AO154:AO156" si="374">AN154-AM154</f>
        <v>-991.02</v>
      </c>
    </row>
    <row r="155" spans="1:42">
      <c r="A155" s="18" t="s">
        <v>364</v>
      </c>
      <c r="B155" s="18" t="s">
        <v>341</v>
      </c>
      <c r="C155" s="41">
        <v>0</v>
      </c>
      <c r="D155" s="42">
        <f>SUMIF('Expense Detail Old'!$E$4:$E$5179,C$1&amp;" "&amp;$A155,'Expense Detail Old'!$H$4:$H$5179)</f>
        <v>0</v>
      </c>
      <c r="E155" s="82">
        <f t="shared" si="360"/>
        <v>0</v>
      </c>
      <c r="F155" s="42">
        <v>0</v>
      </c>
      <c r="G155" s="42">
        <f>SUMIF('Expense Detail Old'!$E$4:$E$5179,F$1&amp;" "&amp;$A155,'Expense Detail Old'!$H$4:$H$5179)</f>
        <v>0</v>
      </c>
      <c r="H155" s="93">
        <f t="shared" si="361"/>
        <v>0</v>
      </c>
      <c r="I155" s="81">
        <v>0</v>
      </c>
      <c r="J155" s="42">
        <f>SUMIF('Expense Detail Old'!$E$4:$E$5179,I$1&amp;" "&amp;$A155,'Expense Detail Old'!$H$4:$H$5179)</f>
        <v>0</v>
      </c>
      <c r="K155" s="93">
        <f t="shared" si="362"/>
        <v>0</v>
      </c>
      <c r="L155" s="81">
        <v>0</v>
      </c>
      <c r="M155" s="42">
        <f>SUMIF('Expense Detail Old'!$E$4:$E$5179,L$1&amp;" "&amp;$A155,'Expense Detail Old'!$H$4:$H$5179)</f>
        <v>-60</v>
      </c>
      <c r="N155" s="93">
        <f t="shared" si="363"/>
        <v>-60</v>
      </c>
      <c r="O155" s="81">
        <v>0</v>
      </c>
      <c r="P155" s="42">
        <f>SUMIF('Expense Detail Old'!$E$4:$E$5179,O$1&amp;" "&amp;$A155,'Expense Detail Old'!$H$4:$H$5179)</f>
        <v>0</v>
      </c>
      <c r="Q155" s="93">
        <f t="shared" si="364"/>
        <v>0</v>
      </c>
      <c r="R155" s="81">
        <v>0</v>
      </c>
      <c r="S155" s="42">
        <f>SUMIF('Expense Detail Old'!$E$4:$E$5179,R$1&amp;" "&amp;$A155,'Expense Detail Old'!$H$4:$H$5179)</f>
        <v>0</v>
      </c>
      <c r="T155" s="93">
        <f t="shared" si="365"/>
        <v>0</v>
      </c>
      <c r="U155" s="81">
        <v>0</v>
      </c>
      <c r="V155" s="42">
        <f>SUMIF('Expense Detail Old'!$E$4:$E$5179,U$1&amp;" "&amp;$A155,'Expense Detail Old'!$H$4:$H$5179)</f>
        <v>0</v>
      </c>
      <c r="W155" s="93">
        <f t="shared" si="366"/>
        <v>0</v>
      </c>
      <c r="X155" s="81">
        <v>0</v>
      </c>
      <c r="Y155" s="42">
        <f>SUMIF('Expense Detail Old'!$E$4:$E$5179,X$1&amp;" "&amp;$A155,'Expense Detail Old'!$H$4:$H$5179)</f>
        <v>0</v>
      </c>
      <c r="Z155" s="93">
        <f t="shared" si="367"/>
        <v>0</v>
      </c>
      <c r="AA155" s="81">
        <v>0</v>
      </c>
      <c r="AB155" s="42">
        <f>SUMIF('Expense Detail Old'!$E$4:$E$5179,AA$1&amp;" "&amp;$A155,'Expense Detail Old'!$H$4:$H$5179)</f>
        <v>0</v>
      </c>
      <c r="AC155" s="93">
        <f t="shared" si="368"/>
        <v>0</v>
      </c>
      <c r="AD155" s="81">
        <v>0</v>
      </c>
      <c r="AE155" s="42">
        <f>SUMIF('Expense Detail Old'!$E$4:$E$5179,AD$1&amp;" "&amp;$A155,'Expense Detail Old'!$H$4:$H$5179)</f>
        <v>0</v>
      </c>
      <c r="AF155" s="93">
        <f t="shared" si="369"/>
        <v>0</v>
      </c>
      <c r="AG155" s="81">
        <v>0</v>
      </c>
      <c r="AH155" s="42">
        <f>SUMIF('Expense Detail Old'!$E$4:$E$5179,AG$1&amp;" "&amp;$A155,'Expense Detail Old'!$H$4:$H$5179)</f>
        <v>0</v>
      </c>
      <c r="AI155" s="93">
        <f t="shared" si="370"/>
        <v>0</v>
      </c>
      <c r="AJ155" s="81">
        <v>0</v>
      </c>
      <c r="AK155" s="42">
        <f>SUMIF('Expense Detail Old'!$E$4:$E$5179,AJ$1&amp;" "&amp;$A155,'Expense Detail Old'!$H$4:$H$5179)</f>
        <v>0</v>
      </c>
      <c r="AL155" s="93">
        <f t="shared" si="371"/>
        <v>0</v>
      </c>
      <c r="AM155" s="90">
        <f t="shared" si="372"/>
        <v>0</v>
      </c>
      <c r="AN155" s="93">
        <f t="shared" si="373"/>
        <v>-60</v>
      </c>
      <c r="AO155" s="93">
        <f t="shared" si="374"/>
        <v>-60</v>
      </c>
    </row>
    <row r="156" spans="1:42" ht="16.5" thickBot="1">
      <c r="A156" s="18" t="s">
        <v>365</v>
      </c>
      <c r="B156" s="18" t="s">
        <v>341</v>
      </c>
      <c r="C156" s="141">
        <v>0</v>
      </c>
      <c r="D156" s="102">
        <f>SUMIF('Expense Detail Old'!$E$4:$E$5179,C$1&amp;" "&amp;$A156,'Expense Detail Old'!$H$4:$H$5179)</f>
        <v>3042.05</v>
      </c>
      <c r="E156" s="103">
        <f t="shared" si="360"/>
        <v>3042.05</v>
      </c>
      <c r="F156" s="44">
        <v>0</v>
      </c>
      <c r="G156" s="102">
        <f>SUMIF('Expense Detail Old'!$E$4:$E$5179,F$1&amp;" "&amp;$A156,'Expense Detail Old'!$H$4:$H$5179)</f>
        <v>-2000</v>
      </c>
      <c r="H156" s="93">
        <f t="shared" si="361"/>
        <v>-2000</v>
      </c>
      <c r="I156" s="78">
        <v>0</v>
      </c>
      <c r="J156" s="102">
        <f>SUMIF('Expense Detail Old'!$E$4:$E$5179,I$1&amp;" "&amp;$A156,'Expense Detail Old'!$H$4:$H$5179)</f>
        <v>-8062.51</v>
      </c>
      <c r="K156" s="93">
        <f t="shared" si="362"/>
        <v>-8062.51</v>
      </c>
      <c r="L156" s="78">
        <v>0</v>
      </c>
      <c r="M156" s="102">
        <f>SUMIF('Expense Detail Old'!$E$4:$E$5179,L$1&amp;" "&amp;$A156,'Expense Detail Old'!$H$4:$H$5179)</f>
        <v>1082.8599999999999</v>
      </c>
      <c r="N156" s="93">
        <f t="shared" si="363"/>
        <v>1082.8599999999999</v>
      </c>
      <c r="O156" s="78">
        <v>0</v>
      </c>
      <c r="P156" s="102">
        <f>SUMIF('Expense Detail Old'!$E$4:$E$5179,O$1&amp;" "&amp;$A156,'Expense Detail Old'!$H$4:$H$5179)</f>
        <v>656.81</v>
      </c>
      <c r="Q156" s="93">
        <f t="shared" si="364"/>
        <v>656.81</v>
      </c>
      <c r="R156" s="78">
        <v>0</v>
      </c>
      <c r="S156" s="42">
        <f>SUMIF('Expense Detail Old'!$E$4:$E$5179,R$1&amp;" "&amp;$A156,'Expense Detail Old'!$H$4:$H$5179)</f>
        <v>5000</v>
      </c>
      <c r="T156" s="93">
        <f t="shared" si="365"/>
        <v>5000</v>
      </c>
      <c r="U156" s="78">
        <v>0</v>
      </c>
      <c r="V156" s="42">
        <f>SUMIF('Expense Detail Old'!$E$4:$E$5179,U$1&amp;" "&amp;$A156,'Expense Detail Old'!$H$4:$H$5179)</f>
        <v>2088.35</v>
      </c>
      <c r="W156" s="93">
        <f t="shared" si="366"/>
        <v>2088.35</v>
      </c>
      <c r="X156" s="78">
        <v>0</v>
      </c>
      <c r="Y156" s="42">
        <f>SUMIF('Expense Detail Old'!$E$4:$E$5179,X$1&amp;" "&amp;$A156,'Expense Detail Old'!$H$4:$H$5179)</f>
        <v>-10.61</v>
      </c>
      <c r="Z156" s="93">
        <f t="shared" si="367"/>
        <v>-10.61</v>
      </c>
      <c r="AA156" s="78">
        <v>0</v>
      </c>
      <c r="AB156" s="102">
        <f>SUMIF('Expense Detail Old'!$E$4:$E$5179,AA$1&amp;" "&amp;$A156,'Expense Detail Old'!$H$4:$H$5179)</f>
        <v>0</v>
      </c>
      <c r="AC156" s="93">
        <f t="shared" si="368"/>
        <v>0</v>
      </c>
      <c r="AD156" s="78">
        <v>0</v>
      </c>
      <c r="AE156" s="102">
        <f>SUMIF('Expense Detail Old'!$E$4:$E$5179,AD$1&amp;" "&amp;$A156,'Expense Detail Old'!$H$4:$H$5179)</f>
        <v>0</v>
      </c>
      <c r="AF156" s="93">
        <f t="shared" si="369"/>
        <v>0</v>
      </c>
      <c r="AG156" s="78">
        <v>0</v>
      </c>
      <c r="AH156" s="102">
        <f>SUMIF('Expense Detail Old'!$E$4:$E$5179,AG$1&amp;" "&amp;$A156,'Expense Detail Old'!$H$4:$H$5179)</f>
        <v>0</v>
      </c>
      <c r="AI156" s="93">
        <f t="shared" si="370"/>
        <v>0</v>
      </c>
      <c r="AJ156" s="78">
        <v>0</v>
      </c>
      <c r="AK156" s="102">
        <f>SUMIF('Expense Detail Old'!$E$4:$E$5179,AJ$1&amp;" "&amp;$A156,'Expense Detail Old'!$H$4:$H$5179)</f>
        <v>0</v>
      </c>
      <c r="AL156" s="93">
        <f t="shared" si="371"/>
        <v>0</v>
      </c>
      <c r="AM156" s="90">
        <f t="shared" si="372"/>
        <v>0</v>
      </c>
      <c r="AN156" s="93">
        <f t="shared" si="373"/>
        <v>1796.9499999999991</v>
      </c>
      <c r="AO156" s="93">
        <f t="shared" si="374"/>
        <v>1796.9499999999991</v>
      </c>
    </row>
    <row r="157" spans="1:42" ht="24" thickBot="1">
      <c r="A157" s="110"/>
      <c r="B157" s="43" t="s">
        <v>40</v>
      </c>
      <c r="C157" s="88">
        <f t="shared" ref="C157:AO157" si="375">SUM(C48,C71,C78,C86,C92,C102,C110,C119,C126,C134,C143,C152)</f>
        <v>-961.82899999999972</v>
      </c>
      <c r="D157" s="89">
        <f t="shared" si="375"/>
        <v>-2634.0399999999995</v>
      </c>
      <c r="E157" s="116">
        <f t="shared" si="375"/>
        <v>-1910.0610000000001</v>
      </c>
      <c r="F157" s="88">
        <f t="shared" si="375"/>
        <v>-5534.8639999999996</v>
      </c>
      <c r="G157" s="89">
        <f t="shared" si="375"/>
        <v>-3540.93</v>
      </c>
      <c r="H157" s="116">
        <f t="shared" si="375"/>
        <v>-2139.2359999999999</v>
      </c>
      <c r="I157" s="88">
        <f t="shared" si="375"/>
        <v>-1531.992</v>
      </c>
      <c r="J157" s="89">
        <f t="shared" si="375"/>
        <v>-2344.23</v>
      </c>
      <c r="K157" s="116">
        <f t="shared" si="375"/>
        <v>-821.54799999999977</v>
      </c>
      <c r="L157" s="88">
        <f t="shared" si="375"/>
        <v>3464.123</v>
      </c>
      <c r="M157" s="89">
        <f t="shared" si="375"/>
        <v>-3385.68</v>
      </c>
      <c r="N157" s="116">
        <f t="shared" si="375"/>
        <v>-7155.143</v>
      </c>
      <c r="O157" s="88">
        <f t="shared" si="375"/>
        <v>-1405.05</v>
      </c>
      <c r="P157" s="89">
        <f t="shared" si="375"/>
        <v>-5749.6699999999992</v>
      </c>
      <c r="Q157" s="116">
        <f t="shared" si="375"/>
        <v>-4323.1099999999997</v>
      </c>
      <c r="R157" s="88">
        <f t="shared" si="375"/>
        <v>-1236.6220000000001</v>
      </c>
      <c r="S157" s="89">
        <f t="shared" si="375"/>
        <v>-4196.3974999999991</v>
      </c>
      <c r="T157" s="116">
        <f t="shared" si="375"/>
        <v>-3224.808</v>
      </c>
      <c r="U157" s="88">
        <f t="shared" si="375"/>
        <v>-1352.155</v>
      </c>
      <c r="V157" s="89">
        <f t="shared" si="375"/>
        <v>-342.61999999999995</v>
      </c>
      <c r="W157" s="116">
        <f t="shared" si="375"/>
        <v>920.36500000000001</v>
      </c>
      <c r="X157" s="88">
        <f t="shared" si="375"/>
        <v>-894.26</v>
      </c>
      <c r="Y157" s="89">
        <f t="shared" si="375"/>
        <v>-1074.8600000000001</v>
      </c>
      <c r="Z157" s="116">
        <f t="shared" si="375"/>
        <v>96.399999999999864</v>
      </c>
      <c r="AA157" s="88">
        <f t="shared" si="375"/>
        <v>-1548.26</v>
      </c>
      <c r="AB157" s="89">
        <f t="shared" si="375"/>
        <v>0</v>
      </c>
      <c r="AC157" s="116">
        <f t="shared" si="375"/>
        <v>1825.26</v>
      </c>
      <c r="AD157" s="88">
        <f t="shared" si="375"/>
        <v>-1406.8969999999999</v>
      </c>
      <c r="AE157" s="89">
        <f t="shared" si="375"/>
        <v>0</v>
      </c>
      <c r="AF157" s="116">
        <f t="shared" si="375"/>
        <v>1633.8969999999999</v>
      </c>
      <c r="AG157" s="88">
        <f t="shared" si="375"/>
        <v>-1241.3700000000001</v>
      </c>
      <c r="AH157" s="89">
        <f t="shared" si="375"/>
        <v>0</v>
      </c>
      <c r="AI157" s="116">
        <f t="shared" si="375"/>
        <v>1468.3700000000001</v>
      </c>
      <c r="AJ157" s="88">
        <f t="shared" si="375"/>
        <v>-1549.76</v>
      </c>
      <c r="AK157" s="89">
        <f t="shared" si="375"/>
        <v>0</v>
      </c>
      <c r="AL157" s="116">
        <f t="shared" si="375"/>
        <v>1776.76</v>
      </c>
      <c r="AM157" s="111">
        <f t="shared" si="375"/>
        <v>-9890.1060000000016</v>
      </c>
      <c r="AN157" s="112">
        <f t="shared" si="375"/>
        <v>-22062.577499999999</v>
      </c>
      <c r="AO157" s="113">
        <f t="shared" si="375"/>
        <v>-11852.433999999999</v>
      </c>
    </row>
    <row r="217" spans="3:3">
      <c r="C217" s="1"/>
    </row>
    <row r="218" spans="3:3">
      <c r="C218" s="1"/>
    </row>
    <row r="219" spans="3:3">
      <c r="C219" s="1"/>
    </row>
    <row r="220" spans="3:3">
      <c r="C220" s="1"/>
    </row>
    <row r="221" spans="3:3">
      <c r="C221" s="1"/>
    </row>
    <row r="222" spans="3:3">
      <c r="C222" s="1"/>
    </row>
    <row r="223" spans="3:3">
      <c r="C223" s="1"/>
    </row>
    <row r="224" spans="3:3">
      <c r="C224" s="1"/>
    </row>
    <row r="225" spans="3:8">
      <c r="C225" s="1"/>
    </row>
    <row r="235" spans="3:8">
      <c r="C235" s="1">
        <v>43928</v>
      </c>
      <c r="D235" t="s">
        <v>637</v>
      </c>
      <c r="F235" t="s">
        <v>367</v>
      </c>
      <c r="H235">
        <v>500</v>
      </c>
    </row>
    <row r="391" spans="8:8" s="163" customFormat="1" ht="20.100000000000001" customHeight="1"/>
    <row r="392" spans="8:8" ht="20.100000000000001" customHeight="1"/>
    <row r="393" spans="8:8" s="163" customFormat="1" ht="20.100000000000001" customHeight="1"/>
    <row r="400" spans="8:8">
      <c r="H400">
        <v>-60</v>
      </c>
    </row>
  </sheetData>
  <sheetProtection formatCells="0" formatColumns="0" formatRows="0" insertColumns="0" insertRows="0" insertHyperlinks="0" deleteColumns="0" deleteRows="0" selectLockedCells="1" sort="0" autoFilter="0" pivotTables="0"/>
  <sortState xmlns:xlrd2="http://schemas.microsoft.com/office/spreadsheetml/2017/richdata2" ref="A18:AX34">
    <sortCondition ref="A18:A34"/>
  </sortState>
  <mergeCells count="32">
    <mergeCell ref="A153:B153"/>
    <mergeCell ref="AG1:AI1"/>
    <mergeCell ref="AJ1:AL1"/>
    <mergeCell ref="C1:E1"/>
    <mergeCell ref="F1:H1"/>
    <mergeCell ref="I1:K1"/>
    <mergeCell ref="L1:N1"/>
    <mergeCell ref="O1:Q1"/>
    <mergeCell ref="R1:T1"/>
    <mergeCell ref="A40:B40"/>
    <mergeCell ref="A3:B3"/>
    <mergeCell ref="A111:B111"/>
    <mergeCell ref="A120:B120"/>
    <mergeCell ref="A17:B17"/>
    <mergeCell ref="A36:B36"/>
    <mergeCell ref="A1:A2"/>
    <mergeCell ref="AM1:AO1"/>
    <mergeCell ref="A144:B144"/>
    <mergeCell ref="A135:B135"/>
    <mergeCell ref="A127:B127"/>
    <mergeCell ref="A103:B103"/>
    <mergeCell ref="A87:B87"/>
    <mergeCell ref="A93:B93"/>
    <mergeCell ref="A79:B79"/>
    <mergeCell ref="A72:B72"/>
    <mergeCell ref="A49:B49"/>
    <mergeCell ref="U1:W1"/>
    <mergeCell ref="X1:Z1"/>
    <mergeCell ref="AA1:AC1"/>
    <mergeCell ref="AD1:AF1"/>
    <mergeCell ref="B1:B2"/>
    <mergeCell ref="A39:B39"/>
  </mergeCells>
  <conditionalFormatting sqref="C157">
    <cfRule type="cellIs" dxfId="276" priority="7247" operator="greaterThanOrEqual">
      <formula>0</formula>
    </cfRule>
    <cfRule type="cellIs" dxfId="275" priority="7248" operator="lessThan">
      <formula>0</formula>
    </cfRule>
  </conditionalFormatting>
  <conditionalFormatting sqref="E81">
    <cfRule type="expression" dxfId="274" priority="6843">
      <formula>D81&gt;=C81</formula>
    </cfRule>
  </conditionalFormatting>
  <conditionalFormatting sqref="E81 E128 H128 K128 N128 Q128 T128 W128 Z128 AC128 AF128 AI128 AL128 AO128">
    <cfRule type="expression" dxfId="273" priority="6842" stopIfTrue="1">
      <formula>IF(C81&lt;=0,AND(D81&gt;C81,D81&lt;$AP$6*C81),AND(D81&lt;C81,D81&gt;$AP$6*C81))</formula>
    </cfRule>
  </conditionalFormatting>
  <conditionalFormatting sqref="E81">
    <cfRule type="expression" dxfId="272" priority="6844">
      <formula>D81&lt;C81</formula>
    </cfRule>
  </conditionalFormatting>
  <conditionalFormatting sqref="E128">
    <cfRule type="expression" dxfId="271" priority="6831">
      <formula>D128&gt;=C128</formula>
    </cfRule>
  </conditionalFormatting>
  <conditionalFormatting sqref="E128">
    <cfRule type="expression" dxfId="270" priority="6832">
      <formula>D128&lt;C128</formula>
    </cfRule>
  </conditionalFormatting>
  <conditionalFormatting sqref="E71 E110 E78 E86 E92 E102 E134 E143 E152 E119 E126 AL110 AL78 AL86 AL92 AL102 AL134 AL143 AL152 AL119 AL126 H110 H78 H86 H92 H102 H134 H143 H152 H119 H126 K110 K78 K86 K92 K102 K134 K143 K152 K119 K126 N110 N78 N86 N92 N102 N134 N143 N152 N119 N126 Q110 Q78 Q86 Q92 Q102 Q134 Q143 Q152 Q119 Q126 T110 T78 T86 T92 T102 T134 T143 T152 T119 T126 W110 W78 W86 W92 W102 W134 W143 W152 W119 W126 Z110 Z78 Z86 Z92 Z102 Z134 Z143 Z152 Z119 Z126 AC110 AC78 AC86 AC92 AC102 AC134 AC143 AC152 AC119 AC126 AF110 AF78 AF86 AF92 AF102 AF134 AF143 AF152 AF119 AF126 AI110 AI78 AI86 AI92 AI102 AI134 AI143 AI152 AI119 AI126 AO110 AO78 AO86 AO92 AO102 AO134 AO143 AO152 AO119 AO126">
    <cfRule type="expression" dxfId="269" priority="6807" stopIfTrue="1">
      <formula>IF(C71&lt;=0,AND(D71&gt;C71,D71&lt;$AP$6*C71),AND(D71&lt;C71,D71&gt;$AP$6*C71))</formula>
    </cfRule>
    <cfRule type="expression" dxfId="268" priority="6808">
      <formula>D71&lt;C71</formula>
    </cfRule>
    <cfRule type="expression" dxfId="267" priority="6809">
      <formula>D71&gt;=C71</formula>
    </cfRule>
  </conditionalFormatting>
  <conditionalFormatting sqref="C36">
    <cfRule type="cellIs" dxfId="266" priority="1727" operator="greaterThanOrEqual">
      <formula>0</formula>
    </cfRule>
    <cfRule type="cellIs" dxfId="265" priority="1728" operator="lessThan">
      <formula>0</formula>
    </cfRule>
  </conditionalFormatting>
  <conditionalFormatting sqref="E36">
    <cfRule type="expression" dxfId="264" priority="1724" stopIfTrue="1">
      <formula>IF(C36&lt;=0,AND(D36&gt;C36,D36&lt;$AP$6*C36),AND(D36&lt;C36,D36&gt;$AP$6*C36))</formula>
    </cfRule>
    <cfRule type="expression" dxfId="263" priority="1725">
      <formula>D36&lt;C36</formula>
    </cfRule>
    <cfRule type="expression" dxfId="262" priority="1726">
      <formula>D36&gt;=C36</formula>
    </cfRule>
  </conditionalFormatting>
  <conditionalFormatting sqref="AD36">
    <cfRule type="cellIs" dxfId="261" priority="1574" operator="greaterThanOrEqual">
      <formula>0</formula>
    </cfRule>
    <cfRule type="cellIs" dxfId="260" priority="1575" operator="lessThan">
      <formula>0</formula>
    </cfRule>
  </conditionalFormatting>
  <conditionalFormatting sqref="L36">
    <cfRule type="cellIs" dxfId="259" priority="1658" operator="greaterThanOrEqual">
      <formula>0</formula>
    </cfRule>
    <cfRule type="cellIs" dxfId="258" priority="1659" operator="lessThan">
      <formula>0</formula>
    </cfRule>
  </conditionalFormatting>
  <conditionalFormatting sqref="F36">
    <cfRule type="cellIs" dxfId="257" priority="1686" operator="greaterThanOrEqual">
      <formula>0</formula>
    </cfRule>
    <cfRule type="cellIs" dxfId="256" priority="1687" operator="lessThan">
      <formula>0</formula>
    </cfRule>
  </conditionalFormatting>
  <conditionalFormatting sqref="I36">
    <cfRule type="cellIs" dxfId="255" priority="1672" operator="greaterThanOrEqual">
      <formula>0</formula>
    </cfRule>
    <cfRule type="cellIs" dxfId="254" priority="1673" operator="lessThan">
      <formula>0</formula>
    </cfRule>
  </conditionalFormatting>
  <conditionalFormatting sqref="U36">
    <cfRule type="cellIs" dxfId="253" priority="1616" operator="greaterThanOrEqual">
      <formula>0</formula>
    </cfRule>
    <cfRule type="cellIs" dxfId="252" priority="1617" operator="lessThan">
      <formula>0</formula>
    </cfRule>
  </conditionalFormatting>
  <conditionalFormatting sqref="O36">
    <cfRule type="cellIs" dxfId="251" priority="1644" operator="greaterThanOrEqual">
      <formula>0</formula>
    </cfRule>
    <cfRule type="cellIs" dxfId="250" priority="1645" operator="lessThan">
      <formula>0</formula>
    </cfRule>
  </conditionalFormatting>
  <conditionalFormatting sqref="R36">
    <cfRule type="cellIs" dxfId="249" priority="1630" operator="greaterThanOrEqual">
      <formula>0</formula>
    </cfRule>
    <cfRule type="cellIs" dxfId="248" priority="1631" operator="lessThan">
      <formula>0</formula>
    </cfRule>
  </conditionalFormatting>
  <conditionalFormatting sqref="X36">
    <cfRule type="cellIs" dxfId="247" priority="1602" operator="greaterThanOrEqual">
      <formula>0</formula>
    </cfRule>
    <cfRule type="cellIs" dxfId="246" priority="1603" operator="lessThan">
      <formula>0</formula>
    </cfRule>
  </conditionalFormatting>
  <conditionalFormatting sqref="AA36">
    <cfRule type="cellIs" dxfId="245" priority="1588" operator="greaterThanOrEqual">
      <formula>0</formula>
    </cfRule>
    <cfRule type="cellIs" dxfId="244" priority="1589" operator="lessThan">
      <formula>0</formula>
    </cfRule>
  </conditionalFormatting>
  <conditionalFormatting sqref="AG36">
    <cfRule type="cellIs" dxfId="243" priority="1560" operator="greaterThanOrEqual">
      <formula>0</formula>
    </cfRule>
    <cfRule type="cellIs" dxfId="242" priority="1561" operator="lessThan">
      <formula>0</formula>
    </cfRule>
  </conditionalFormatting>
  <conditionalFormatting sqref="AJ36">
    <cfRule type="cellIs" dxfId="241" priority="1546" operator="greaterThanOrEqual">
      <formula>0</formula>
    </cfRule>
    <cfRule type="cellIs" dxfId="240" priority="1547" operator="lessThan">
      <formula>0</formula>
    </cfRule>
  </conditionalFormatting>
  <conditionalFormatting sqref="D157">
    <cfRule type="cellIs" dxfId="239" priority="1430" operator="greaterThanOrEqual">
      <formula>0</formula>
    </cfRule>
    <cfRule type="cellIs" dxfId="238" priority="1431" operator="lessThan">
      <formula>0</formula>
    </cfRule>
  </conditionalFormatting>
  <conditionalFormatting sqref="E157">
    <cfRule type="cellIs" dxfId="237" priority="1428" operator="greaterThanOrEqual">
      <formula>0</formula>
    </cfRule>
    <cfRule type="cellIs" dxfId="236" priority="1429" operator="lessThan">
      <formula>0</formula>
    </cfRule>
  </conditionalFormatting>
  <conditionalFormatting sqref="AL71">
    <cfRule type="expression" dxfId="235" priority="229" stopIfTrue="1">
      <formula>IF(AJ71&lt;=0,AND(AK71&gt;AJ71,AK71&lt;$AP$6*AJ71),AND(AK71&lt;AJ71,AK71&gt;$AP$6*AJ71))</formula>
    </cfRule>
    <cfRule type="expression" dxfId="234" priority="230">
      <formula>AK71&lt;AJ71</formula>
    </cfRule>
    <cfRule type="expression" dxfId="233" priority="231">
      <formula>AK71&gt;=AJ71</formula>
    </cfRule>
  </conditionalFormatting>
  <conditionalFormatting sqref="AF157">
    <cfRule type="cellIs" dxfId="232" priority="72" operator="greaterThanOrEqual">
      <formula>0</formula>
    </cfRule>
    <cfRule type="cellIs" dxfId="231" priority="73" operator="lessThan">
      <formula>0</formula>
    </cfRule>
  </conditionalFormatting>
  <conditionalFormatting sqref="AC157">
    <cfRule type="cellIs" dxfId="230" priority="78" operator="greaterThanOrEqual">
      <formula>0</formula>
    </cfRule>
    <cfRule type="cellIs" dxfId="229" priority="79" operator="lessThan">
      <formula>0</formula>
    </cfRule>
  </conditionalFormatting>
  <conditionalFormatting sqref="AN157">
    <cfRule type="cellIs" dxfId="228" priority="128" operator="greaterThanOrEqual">
      <formula>0</formula>
    </cfRule>
    <cfRule type="cellIs" dxfId="227" priority="129" operator="lessThan">
      <formula>0</formula>
    </cfRule>
  </conditionalFormatting>
  <conditionalFormatting sqref="AO157">
    <cfRule type="cellIs" dxfId="226" priority="126" operator="greaterThanOrEqual">
      <formula>0</formula>
    </cfRule>
    <cfRule type="cellIs" dxfId="225" priority="127" operator="lessThan">
      <formula>0</formula>
    </cfRule>
  </conditionalFormatting>
  <conditionalFormatting sqref="AD157">
    <cfRule type="cellIs" dxfId="224" priority="76" operator="greaterThanOrEqual">
      <formula>0</formula>
    </cfRule>
    <cfRule type="cellIs" dxfId="223" priority="77" operator="lessThan">
      <formula>0</formula>
    </cfRule>
  </conditionalFormatting>
  <conditionalFormatting sqref="AM157">
    <cfRule type="cellIs" dxfId="222" priority="1300" operator="greaterThanOrEqual">
      <formula>0</formula>
    </cfRule>
    <cfRule type="cellIs" dxfId="221" priority="1301" operator="lessThan">
      <formula>0</formula>
    </cfRule>
  </conditionalFormatting>
  <conditionalFormatting sqref="H81">
    <cfRule type="expression" dxfId="220" priority="806">
      <formula>G81&gt;=F81</formula>
    </cfRule>
  </conditionalFormatting>
  <conditionalFormatting sqref="H81">
    <cfRule type="expression" dxfId="219" priority="805" stopIfTrue="1">
      <formula>IF(F81&lt;=0,AND(G81&gt;F81,G81&lt;$AP$6*F81),AND(G81&lt;F81,G81&gt;$AP$6*F81))</formula>
    </cfRule>
  </conditionalFormatting>
  <conditionalFormatting sqref="H81">
    <cfRule type="expression" dxfId="218" priority="807">
      <formula>G81&lt;F81</formula>
    </cfRule>
  </conditionalFormatting>
  <conditionalFormatting sqref="H128">
    <cfRule type="expression" dxfId="217" priority="803">
      <formula>G128&gt;=F128</formula>
    </cfRule>
  </conditionalFormatting>
  <conditionalFormatting sqref="H128">
    <cfRule type="expression" dxfId="216" priority="804">
      <formula>G128&lt;F128</formula>
    </cfRule>
  </conditionalFormatting>
  <conditionalFormatting sqref="H71">
    <cfRule type="expression" dxfId="215" priority="799" stopIfTrue="1">
      <formula>IF(F71&lt;=0,AND(G71&gt;F71,G71&lt;$AP$6*F71),AND(G71&lt;F71,G71&gt;$AP$6*F71))</formula>
    </cfRule>
    <cfRule type="expression" dxfId="214" priority="800">
      <formula>G71&lt;F71</formula>
    </cfRule>
    <cfRule type="expression" dxfId="213" priority="801">
      <formula>G71&gt;=F71</formula>
    </cfRule>
  </conditionalFormatting>
  <conditionalFormatting sqref="H36">
    <cfRule type="expression" dxfId="212" priority="790" stopIfTrue="1">
      <formula>IF(F36&lt;=0,AND(G36&gt;F36,G36&lt;$AP$6*F36),AND(G36&lt;F36,G36&gt;$AP$6*F36))</formula>
    </cfRule>
    <cfRule type="expression" dxfId="211" priority="791">
      <formula>G36&lt;F36</formula>
    </cfRule>
    <cfRule type="expression" dxfId="210" priority="792">
      <formula>G36&gt;=F36</formula>
    </cfRule>
  </conditionalFormatting>
  <conditionalFormatting sqref="K81">
    <cfRule type="expression" dxfId="209" priority="749">
      <formula>J81&gt;=I81</formula>
    </cfRule>
  </conditionalFormatting>
  <conditionalFormatting sqref="K81">
    <cfRule type="expression" dxfId="208" priority="748" stopIfTrue="1">
      <formula>IF(I81&lt;=0,AND(J81&gt;I81,J81&lt;$AP$6*I81),AND(J81&lt;I81,J81&gt;$AP$6*I81))</formula>
    </cfRule>
  </conditionalFormatting>
  <conditionalFormatting sqref="K81">
    <cfRule type="expression" dxfId="207" priority="750">
      <formula>J81&lt;I81</formula>
    </cfRule>
  </conditionalFormatting>
  <conditionalFormatting sqref="K128">
    <cfRule type="expression" dxfId="206" priority="746">
      <formula>J128&gt;=I128</formula>
    </cfRule>
  </conditionalFormatting>
  <conditionalFormatting sqref="K128">
    <cfRule type="expression" dxfId="205" priority="747">
      <formula>J128&lt;I128</formula>
    </cfRule>
  </conditionalFormatting>
  <conditionalFormatting sqref="K71">
    <cfRule type="expression" dxfId="204" priority="742" stopIfTrue="1">
      <formula>IF(I71&lt;=0,AND(J71&gt;I71,J71&lt;$AP$6*I71),AND(J71&lt;I71,J71&gt;$AP$6*I71))</formula>
    </cfRule>
    <cfRule type="expression" dxfId="203" priority="743">
      <formula>J71&lt;I71</formula>
    </cfRule>
    <cfRule type="expression" dxfId="202" priority="744">
      <formula>J71&gt;=I71</formula>
    </cfRule>
  </conditionalFormatting>
  <conditionalFormatting sqref="K36">
    <cfRule type="expression" dxfId="201" priority="733" stopIfTrue="1">
      <formula>IF(I36&lt;=0,AND(J36&gt;I36,J36&lt;$AP$6*I36),AND(J36&lt;I36,J36&gt;$AP$6*I36))</formula>
    </cfRule>
    <cfRule type="expression" dxfId="200" priority="734">
      <formula>J36&lt;I36</formula>
    </cfRule>
    <cfRule type="expression" dxfId="199" priority="735">
      <formula>J36&gt;=I36</formula>
    </cfRule>
  </conditionalFormatting>
  <conditionalFormatting sqref="N81">
    <cfRule type="expression" dxfId="198" priority="692">
      <formula>M81&gt;=L81</formula>
    </cfRule>
  </conditionalFormatting>
  <conditionalFormatting sqref="N81">
    <cfRule type="expression" dxfId="197" priority="691" stopIfTrue="1">
      <formula>IF(L81&lt;=0,AND(M81&gt;L81,M81&lt;$AP$6*L81),AND(M81&lt;L81,M81&gt;$AP$6*L81))</formula>
    </cfRule>
  </conditionalFormatting>
  <conditionalFormatting sqref="N81">
    <cfRule type="expression" dxfId="196" priority="693">
      <formula>M81&lt;L81</formula>
    </cfRule>
  </conditionalFormatting>
  <conditionalFormatting sqref="N128">
    <cfRule type="expression" dxfId="195" priority="689">
      <formula>M128&gt;=L128</formula>
    </cfRule>
  </conditionalFormatting>
  <conditionalFormatting sqref="N128">
    <cfRule type="expression" dxfId="194" priority="690">
      <formula>M128&lt;L128</formula>
    </cfRule>
  </conditionalFormatting>
  <conditionalFormatting sqref="N71">
    <cfRule type="expression" dxfId="193" priority="685" stopIfTrue="1">
      <formula>IF(L71&lt;=0,AND(M71&gt;L71,M71&lt;$AP$6*L71),AND(M71&lt;L71,M71&gt;$AP$6*L71))</formula>
    </cfRule>
    <cfRule type="expression" dxfId="192" priority="686">
      <formula>M71&lt;L71</formula>
    </cfRule>
    <cfRule type="expression" dxfId="191" priority="687">
      <formula>M71&gt;=L71</formula>
    </cfRule>
  </conditionalFormatting>
  <conditionalFormatting sqref="N36">
    <cfRule type="expression" dxfId="190" priority="676" stopIfTrue="1">
      <formula>IF(L36&lt;=0,AND(M36&gt;L36,M36&lt;$AP$6*L36),AND(M36&lt;L36,M36&gt;$AP$6*L36))</formula>
    </cfRule>
    <cfRule type="expression" dxfId="189" priority="677">
      <formula>M36&lt;L36</formula>
    </cfRule>
    <cfRule type="expression" dxfId="188" priority="678">
      <formula>M36&gt;=L36</formula>
    </cfRule>
  </conditionalFormatting>
  <conditionalFormatting sqref="Q81">
    <cfRule type="expression" dxfId="187" priority="635">
      <formula>P81&gt;=O81</formula>
    </cfRule>
  </conditionalFormatting>
  <conditionalFormatting sqref="Q81">
    <cfRule type="expression" dxfId="186" priority="634" stopIfTrue="1">
      <formula>IF(O81&lt;=0,AND(P81&gt;O81,P81&lt;$AP$6*O81),AND(P81&lt;O81,P81&gt;$AP$6*O81))</formula>
    </cfRule>
  </conditionalFormatting>
  <conditionalFormatting sqref="Q81">
    <cfRule type="expression" dxfId="185" priority="636">
      <formula>P81&lt;O81</formula>
    </cfRule>
  </conditionalFormatting>
  <conditionalFormatting sqref="Q128">
    <cfRule type="expression" dxfId="184" priority="632">
      <formula>P128&gt;=O128</formula>
    </cfRule>
  </conditionalFormatting>
  <conditionalFormatting sqref="Q128">
    <cfRule type="expression" dxfId="183" priority="633">
      <formula>P128&lt;O128</formula>
    </cfRule>
  </conditionalFormatting>
  <conditionalFormatting sqref="Q71">
    <cfRule type="expression" dxfId="182" priority="628" stopIfTrue="1">
      <formula>IF(O71&lt;=0,AND(P71&gt;O71,P71&lt;$AP$6*O71),AND(P71&lt;O71,P71&gt;$AP$6*O71))</formula>
    </cfRule>
    <cfRule type="expression" dxfId="181" priority="629">
      <formula>P71&lt;O71</formula>
    </cfRule>
    <cfRule type="expression" dxfId="180" priority="630">
      <formula>P71&gt;=O71</formula>
    </cfRule>
  </conditionalFormatting>
  <conditionalFormatting sqref="Q36">
    <cfRule type="expression" dxfId="179" priority="619" stopIfTrue="1">
      <formula>IF(O36&lt;=0,AND(P36&gt;O36,P36&lt;$AP$6*O36),AND(P36&lt;O36,P36&gt;$AP$6*O36))</formula>
    </cfRule>
    <cfRule type="expression" dxfId="178" priority="620">
      <formula>P36&lt;O36</formula>
    </cfRule>
    <cfRule type="expression" dxfId="177" priority="621">
      <formula>P36&gt;=O36</formula>
    </cfRule>
  </conditionalFormatting>
  <conditionalFormatting sqref="T81">
    <cfRule type="expression" dxfId="176" priority="578">
      <formula>S81&gt;=R81</formula>
    </cfRule>
  </conditionalFormatting>
  <conditionalFormatting sqref="T81">
    <cfRule type="expression" dxfId="175" priority="577" stopIfTrue="1">
      <formula>IF(R81&lt;=0,AND(S81&gt;R81,S81&lt;$AP$6*R81),AND(S81&lt;R81,S81&gt;$AP$6*R81))</formula>
    </cfRule>
  </conditionalFormatting>
  <conditionalFormatting sqref="T81">
    <cfRule type="expression" dxfId="174" priority="579">
      <formula>S81&lt;R81</formula>
    </cfRule>
  </conditionalFormatting>
  <conditionalFormatting sqref="T128">
    <cfRule type="expression" dxfId="173" priority="575">
      <formula>S128&gt;=R128</formula>
    </cfRule>
  </conditionalFormatting>
  <conditionalFormatting sqref="T128">
    <cfRule type="expression" dxfId="172" priority="576">
      <formula>S128&lt;R128</formula>
    </cfRule>
  </conditionalFormatting>
  <conditionalFormatting sqref="T71">
    <cfRule type="expression" dxfId="171" priority="571" stopIfTrue="1">
      <formula>IF(R71&lt;=0,AND(S71&gt;R71,S71&lt;$AP$6*R71),AND(S71&lt;R71,S71&gt;$AP$6*R71))</formula>
    </cfRule>
    <cfRule type="expression" dxfId="170" priority="572">
      <formula>S71&lt;R71</formula>
    </cfRule>
    <cfRule type="expression" dxfId="169" priority="573">
      <formula>S71&gt;=R71</formula>
    </cfRule>
  </conditionalFormatting>
  <conditionalFormatting sqref="T36">
    <cfRule type="expression" dxfId="168" priority="562" stopIfTrue="1">
      <formula>IF(R36&lt;=0,AND(S36&gt;R36,S36&lt;$AP$6*R36),AND(S36&lt;R36,S36&gt;$AP$6*R36))</formula>
    </cfRule>
    <cfRule type="expression" dxfId="167" priority="563">
      <formula>S36&lt;R36</formula>
    </cfRule>
    <cfRule type="expression" dxfId="166" priority="564">
      <formula>S36&gt;=R36</formula>
    </cfRule>
  </conditionalFormatting>
  <conditionalFormatting sqref="W81">
    <cfRule type="expression" dxfId="165" priority="521">
      <formula>V81&gt;=U81</formula>
    </cfRule>
  </conditionalFormatting>
  <conditionalFormatting sqref="W81">
    <cfRule type="expression" dxfId="164" priority="520" stopIfTrue="1">
      <formula>IF(U81&lt;=0,AND(V81&gt;U81,V81&lt;$AP$6*U81),AND(V81&lt;U81,V81&gt;$AP$6*U81))</formula>
    </cfRule>
  </conditionalFormatting>
  <conditionalFormatting sqref="W81">
    <cfRule type="expression" dxfId="163" priority="522">
      <formula>V81&lt;U81</formula>
    </cfRule>
  </conditionalFormatting>
  <conditionalFormatting sqref="W128">
    <cfRule type="expression" dxfId="162" priority="518">
      <formula>V128&gt;=U128</formula>
    </cfRule>
  </conditionalFormatting>
  <conditionalFormatting sqref="W128">
    <cfRule type="expression" dxfId="161" priority="519">
      <formula>V128&lt;U128</formula>
    </cfRule>
  </conditionalFormatting>
  <conditionalFormatting sqref="W71">
    <cfRule type="expression" dxfId="160" priority="514" stopIfTrue="1">
      <formula>IF(U71&lt;=0,AND(V71&gt;U71,V71&lt;$AP$6*U71),AND(V71&lt;U71,V71&gt;$AP$6*U71))</formula>
    </cfRule>
    <cfRule type="expression" dxfId="159" priority="515">
      <formula>V71&lt;U71</formula>
    </cfRule>
    <cfRule type="expression" dxfId="158" priority="516">
      <formula>V71&gt;=U71</formula>
    </cfRule>
  </conditionalFormatting>
  <conditionalFormatting sqref="W36">
    <cfRule type="expression" dxfId="157" priority="505" stopIfTrue="1">
      <formula>IF(U36&lt;=0,AND(V36&gt;U36,V36&lt;$AP$6*U36),AND(V36&lt;U36,V36&gt;$AP$6*U36))</formula>
    </cfRule>
    <cfRule type="expression" dxfId="156" priority="506">
      <formula>V36&lt;U36</formula>
    </cfRule>
    <cfRule type="expression" dxfId="155" priority="507">
      <formula>V36&gt;=U36</formula>
    </cfRule>
  </conditionalFormatting>
  <conditionalFormatting sqref="Z81">
    <cfRule type="expression" dxfId="154" priority="464">
      <formula>Y81&gt;=X81</formula>
    </cfRule>
  </conditionalFormatting>
  <conditionalFormatting sqref="Z81">
    <cfRule type="expression" dxfId="153" priority="463" stopIfTrue="1">
      <formula>IF(X81&lt;=0,AND(Y81&gt;X81,Y81&lt;$AP$6*X81),AND(Y81&lt;X81,Y81&gt;$AP$6*X81))</formula>
    </cfRule>
  </conditionalFormatting>
  <conditionalFormatting sqref="Z81">
    <cfRule type="expression" dxfId="152" priority="465">
      <formula>Y81&lt;X81</formula>
    </cfRule>
  </conditionalFormatting>
  <conditionalFormatting sqref="Z128">
    <cfRule type="expression" dxfId="151" priority="461">
      <formula>Y128&gt;=X128</formula>
    </cfRule>
  </conditionalFormatting>
  <conditionalFormatting sqref="Z128">
    <cfRule type="expression" dxfId="150" priority="462">
      <formula>Y128&lt;X128</formula>
    </cfRule>
  </conditionalFormatting>
  <conditionalFormatting sqref="Z71">
    <cfRule type="expression" dxfId="149" priority="457" stopIfTrue="1">
      <formula>IF(X71&lt;=0,AND(Y71&gt;X71,Y71&lt;$AP$6*X71),AND(Y71&lt;X71,Y71&gt;$AP$6*X71))</formula>
    </cfRule>
    <cfRule type="expression" dxfId="148" priority="458">
      <formula>Y71&lt;X71</formula>
    </cfRule>
    <cfRule type="expression" dxfId="147" priority="459">
      <formula>Y71&gt;=X71</formula>
    </cfRule>
  </conditionalFormatting>
  <conditionalFormatting sqref="Z36">
    <cfRule type="expression" dxfId="146" priority="448" stopIfTrue="1">
      <formula>IF(X36&lt;=0,AND(Y36&gt;X36,Y36&lt;$AP$6*X36),AND(Y36&lt;X36,Y36&gt;$AP$6*X36))</formula>
    </cfRule>
    <cfRule type="expression" dxfId="145" priority="449">
      <formula>Y36&lt;X36</formula>
    </cfRule>
    <cfRule type="expression" dxfId="144" priority="450">
      <formula>Y36&gt;=X36</formula>
    </cfRule>
  </conditionalFormatting>
  <conditionalFormatting sqref="AC81">
    <cfRule type="expression" dxfId="143" priority="407">
      <formula>AB81&gt;=AA81</formula>
    </cfRule>
  </conditionalFormatting>
  <conditionalFormatting sqref="AC81">
    <cfRule type="expression" dxfId="142" priority="406" stopIfTrue="1">
      <formula>IF(AA81&lt;=0,AND(AB81&gt;AA81,AB81&lt;$AP$6*AA81),AND(AB81&lt;AA81,AB81&gt;$AP$6*AA81))</formula>
    </cfRule>
  </conditionalFormatting>
  <conditionalFormatting sqref="AC81">
    <cfRule type="expression" dxfId="141" priority="408">
      <formula>AB81&lt;AA81</formula>
    </cfRule>
  </conditionalFormatting>
  <conditionalFormatting sqref="AC128">
    <cfRule type="expression" dxfId="140" priority="404">
      <formula>AB128&gt;=AA128</formula>
    </cfRule>
  </conditionalFormatting>
  <conditionalFormatting sqref="AC128">
    <cfRule type="expression" dxfId="139" priority="405">
      <formula>AB128&lt;AA128</formula>
    </cfRule>
  </conditionalFormatting>
  <conditionalFormatting sqref="AC71">
    <cfRule type="expression" dxfId="138" priority="400" stopIfTrue="1">
      <formula>IF(AA71&lt;=0,AND(AB71&gt;AA71,AB71&lt;$AP$6*AA71),AND(AB71&lt;AA71,AB71&gt;$AP$6*AA71))</formula>
    </cfRule>
    <cfRule type="expression" dxfId="137" priority="401">
      <formula>AB71&lt;AA71</formula>
    </cfRule>
    <cfRule type="expression" dxfId="136" priority="402">
      <formula>AB71&gt;=AA71</formula>
    </cfRule>
  </conditionalFormatting>
  <conditionalFormatting sqref="AC36">
    <cfRule type="expression" dxfId="135" priority="391" stopIfTrue="1">
      <formula>IF(AA36&lt;=0,AND(AB36&gt;AA36,AB36&lt;$AP$6*AA36),AND(AB36&lt;AA36,AB36&gt;$AP$6*AA36))</formula>
    </cfRule>
    <cfRule type="expression" dxfId="134" priority="392">
      <formula>AB36&lt;AA36</formula>
    </cfRule>
    <cfRule type="expression" dxfId="133" priority="393">
      <formula>AB36&gt;=AA36</formula>
    </cfRule>
  </conditionalFormatting>
  <conditionalFormatting sqref="AF81">
    <cfRule type="expression" dxfId="132" priority="350">
      <formula>AE81&gt;=AD81</formula>
    </cfRule>
  </conditionalFormatting>
  <conditionalFormatting sqref="AF81">
    <cfRule type="expression" dxfId="131" priority="349" stopIfTrue="1">
      <formula>IF(AD81&lt;=0,AND(AE81&gt;AD81,AE81&lt;$AP$6*AD81),AND(AE81&lt;AD81,AE81&gt;$AP$6*AD81))</formula>
    </cfRule>
  </conditionalFormatting>
  <conditionalFormatting sqref="AF81">
    <cfRule type="expression" dxfId="130" priority="351">
      <formula>AE81&lt;AD81</formula>
    </cfRule>
  </conditionalFormatting>
  <conditionalFormatting sqref="AF128">
    <cfRule type="expression" dxfId="129" priority="347">
      <formula>AE128&gt;=AD128</formula>
    </cfRule>
  </conditionalFormatting>
  <conditionalFormatting sqref="AF128">
    <cfRule type="expression" dxfId="128" priority="348">
      <formula>AE128&lt;AD128</formula>
    </cfRule>
  </conditionalFormatting>
  <conditionalFormatting sqref="AF71">
    <cfRule type="expression" dxfId="127" priority="343" stopIfTrue="1">
      <formula>IF(AD71&lt;=0,AND(AE71&gt;AD71,AE71&lt;$AP$6*AD71),AND(AE71&lt;AD71,AE71&gt;$AP$6*AD71))</formula>
    </cfRule>
    <cfRule type="expression" dxfId="126" priority="344">
      <formula>AE71&lt;AD71</formula>
    </cfRule>
    <cfRule type="expression" dxfId="125" priority="345">
      <formula>AE71&gt;=AD71</formula>
    </cfRule>
  </conditionalFormatting>
  <conditionalFormatting sqref="AF36">
    <cfRule type="expression" dxfId="124" priority="334" stopIfTrue="1">
      <formula>IF(AD36&lt;=0,AND(AE36&gt;AD36,AE36&lt;$AP$6*AD36),AND(AE36&lt;AD36,AE36&gt;$AP$6*AD36))</formula>
    </cfRule>
    <cfRule type="expression" dxfId="123" priority="335">
      <formula>AE36&lt;AD36</formula>
    </cfRule>
    <cfRule type="expression" dxfId="122" priority="336">
      <formula>AE36&gt;=AD36</formula>
    </cfRule>
  </conditionalFormatting>
  <conditionalFormatting sqref="AI81">
    <cfRule type="expression" dxfId="121" priority="293">
      <formula>AH81&gt;=AG81</formula>
    </cfRule>
  </conditionalFormatting>
  <conditionalFormatting sqref="AI81">
    <cfRule type="expression" dxfId="120" priority="292" stopIfTrue="1">
      <formula>IF(AG81&lt;=0,AND(AH81&gt;AG81,AH81&lt;$AP$6*AG81),AND(AH81&lt;AG81,AH81&gt;$AP$6*AG81))</formula>
    </cfRule>
  </conditionalFormatting>
  <conditionalFormatting sqref="AI81">
    <cfRule type="expression" dxfId="119" priority="294">
      <formula>AH81&lt;AG81</formula>
    </cfRule>
  </conditionalFormatting>
  <conditionalFormatting sqref="AI128">
    <cfRule type="expression" dxfId="118" priority="290">
      <formula>AH128&gt;=AG128</formula>
    </cfRule>
  </conditionalFormatting>
  <conditionalFormatting sqref="AI128">
    <cfRule type="expression" dxfId="117" priority="291">
      <formula>AH128&lt;AG128</formula>
    </cfRule>
  </conditionalFormatting>
  <conditionalFormatting sqref="AI71">
    <cfRule type="expression" dxfId="116" priority="286" stopIfTrue="1">
      <formula>IF(AG71&lt;=0,AND(AH71&gt;AG71,AH71&lt;$AP$6*AG71),AND(AH71&lt;AG71,AH71&gt;$AP$6*AG71))</formula>
    </cfRule>
    <cfRule type="expression" dxfId="115" priority="287">
      <formula>AH71&lt;AG71</formula>
    </cfRule>
    <cfRule type="expression" dxfId="114" priority="288">
      <formula>AH71&gt;=AG71</formula>
    </cfRule>
  </conditionalFormatting>
  <conditionalFormatting sqref="AI36">
    <cfRule type="expression" dxfId="113" priority="277" stopIfTrue="1">
      <formula>IF(AG36&lt;=0,AND(AH36&gt;AG36,AH36&lt;$AP$6*AG36),AND(AH36&lt;AG36,AH36&gt;$AP$6*AG36))</formula>
    </cfRule>
    <cfRule type="expression" dxfId="112" priority="278">
      <formula>AH36&lt;AG36</formula>
    </cfRule>
    <cfRule type="expression" dxfId="111" priority="279">
      <formula>AH36&gt;=AG36</formula>
    </cfRule>
  </conditionalFormatting>
  <conditionalFormatting sqref="AL81">
    <cfRule type="expression" dxfId="110" priority="236">
      <formula>AK81&gt;=AJ81</formula>
    </cfRule>
  </conditionalFormatting>
  <conditionalFormatting sqref="AL81">
    <cfRule type="expression" dxfId="109" priority="235" stopIfTrue="1">
      <formula>IF(AJ81&lt;=0,AND(AK81&gt;AJ81,AK81&lt;$AP$6*AJ81),AND(AK81&lt;AJ81,AK81&gt;$AP$6*AJ81))</formula>
    </cfRule>
  </conditionalFormatting>
  <conditionalFormatting sqref="AL81">
    <cfRule type="expression" dxfId="108" priority="237">
      <formula>AK81&lt;AJ81</formula>
    </cfRule>
  </conditionalFormatting>
  <conditionalFormatting sqref="AL128">
    <cfRule type="expression" dxfId="107" priority="233">
      <formula>AK128&gt;=AJ128</formula>
    </cfRule>
  </conditionalFormatting>
  <conditionalFormatting sqref="AL128">
    <cfRule type="expression" dxfId="106" priority="234">
      <formula>AK128&lt;AJ128</formula>
    </cfRule>
  </conditionalFormatting>
  <conditionalFormatting sqref="AL36">
    <cfRule type="expression" dxfId="105" priority="220" stopIfTrue="1">
      <formula>IF(AJ36&lt;=0,AND(AK36&gt;AJ36,AK36&lt;$AP$6*AJ36),AND(AK36&lt;AJ36,AK36&gt;$AP$6*AJ36))</formula>
    </cfRule>
    <cfRule type="expression" dxfId="104" priority="221">
      <formula>AK36&lt;AJ36</formula>
    </cfRule>
    <cfRule type="expression" dxfId="103" priority="222">
      <formula>AK36&gt;=AJ36</formula>
    </cfRule>
  </conditionalFormatting>
  <conditionalFormatting sqref="AO81">
    <cfRule type="expression" dxfId="102" priority="179">
      <formula>AN81&gt;=AM81</formula>
    </cfRule>
  </conditionalFormatting>
  <conditionalFormatting sqref="AO81">
    <cfRule type="expression" dxfId="101" priority="178" stopIfTrue="1">
      <formula>IF(AM81&lt;=0,AND(AN81&gt;AM81,AN81&lt;$AP$6*AM81),AND(AN81&lt;AM81,AN81&gt;$AP$6*AM81))</formula>
    </cfRule>
  </conditionalFormatting>
  <conditionalFormatting sqref="AO81">
    <cfRule type="expression" dxfId="100" priority="180">
      <formula>AN81&lt;AM81</formula>
    </cfRule>
  </conditionalFormatting>
  <conditionalFormatting sqref="AO128">
    <cfRule type="expression" dxfId="99" priority="176">
      <formula>AN128&gt;=AM128</formula>
    </cfRule>
  </conditionalFormatting>
  <conditionalFormatting sqref="AO128">
    <cfRule type="expression" dxfId="98" priority="177">
      <formula>AN128&lt;AM128</formula>
    </cfRule>
  </conditionalFormatting>
  <conditionalFormatting sqref="AO71">
    <cfRule type="expression" dxfId="97" priority="172" stopIfTrue="1">
      <formula>IF(AM71&lt;=0,AND(AN71&gt;AM71,AN71&lt;$AP$6*AM71),AND(AN71&lt;AM71,AN71&gt;$AP$6*AM71))</formula>
    </cfRule>
    <cfRule type="expression" dxfId="96" priority="173">
      <formula>AN71&lt;AM71</formula>
    </cfRule>
    <cfRule type="expression" dxfId="95" priority="174">
      <formula>AN71&gt;=AM71</formula>
    </cfRule>
  </conditionalFormatting>
  <conditionalFormatting sqref="AL157">
    <cfRule type="cellIs" dxfId="94" priority="60" operator="greaterThanOrEqual">
      <formula>0</formula>
    </cfRule>
    <cfRule type="cellIs" dxfId="93" priority="61" operator="lessThan">
      <formula>0</formula>
    </cfRule>
  </conditionalFormatting>
  <conditionalFormatting sqref="F157">
    <cfRule type="cellIs" dxfId="92" priority="124" operator="greaterThanOrEqual">
      <formula>0</formula>
    </cfRule>
    <cfRule type="cellIs" dxfId="91" priority="125" operator="lessThan">
      <formula>0</formula>
    </cfRule>
  </conditionalFormatting>
  <conditionalFormatting sqref="H157">
    <cfRule type="cellIs" dxfId="90" priority="120" operator="greaterThanOrEqual">
      <formula>0</formula>
    </cfRule>
    <cfRule type="cellIs" dxfId="89" priority="121" operator="lessThan">
      <formula>0</formula>
    </cfRule>
  </conditionalFormatting>
  <conditionalFormatting sqref="I157">
    <cfRule type="cellIs" dxfId="88" priority="118" operator="greaterThanOrEqual">
      <formula>0</formula>
    </cfRule>
    <cfRule type="cellIs" dxfId="87" priority="119" operator="lessThan">
      <formula>0</formula>
    </cfRule>
  </conditionalFormatting>
  <conditionalFormatting sqref="Q157">
    <cfRule type="cellIs" dxfId="86" priority="102" operator="greaterThanOrEqual">
      <formula>0</formula>
    </cfRule>
    <cfRule type="cellIs" dxfId="85" priority="103" operator="lessThan">
      <formula>0</formula>
    </cfRule>
  </conditionalFormatting>
  <conditionalFormatting sqref="K157">
    <cfRule type="cellIs" dxfId="84" priority="114" operator="greaterThanOrEqual">
      <formula>0</formula>
    </cfRule>
    <cfRule type="cellIs" dxfId="83" priority="115" operator="lessThan">
      <formula>0</formula>
    </cfRule>
  </conditionalFormatting>
  <conditionalFormatting sqref="L157">
    <cfRule type="cellIs" dxfId="82" priority="112" operator="greaterThanOrEqual">
      <formula>0</formula>
    </cfRule>
    <cfRule type="cellIs" dxfId="81" priority="113" operator="lessThan">
      <formula>0</formula>
    </cfRule>
  </conditionalFormatting>
  <conditionalFormatting sqref="S157">
    <cfRule type="cellIs" dxfId="80" priority="98" operator="greaterThanOrEqual">
      <formula>0</formula>
    </cfRule>
    <cfRule type="cellIs" dxfId="79" priority="99" operator="lessThan">
      <formula>0</formula>
    </cfRule>
  </conditionalFormatting>
  <conditionalFormatting sqref="N157">
    <cfRule type="cellIs" dxfId="78" priority="108" operator="greaterThanOrEqual">
      <formula>0</formula>
    </cfRule>
    <cfRule type="cellIs" dxfId="77" priority="109" operator="lessThan">
      <formula>0</formula>
    </cfRule>
  </conditionalFormatting>
  <conditionalFormatting sqref="O157">
    <cfRule type="cellIs" dxfId="76" priority="106" operator="greaterThanOrEqual">
      <formula>0</formula>
    </cfRule>
    <cfRule type="cellIs" dxfId="75" priority="107" operator="lessThan">
      <formula>0</formula>
    </cfRule>
  </conditionalFormatting>
  <conditionalFormatting sqref="U157">
    <cfRule type="cellIs" dxfId="74" priority="94" operator="greaterThanOrEqual">
      <formula>0</formula>
    </cfRule>
    <cfRule type="cellIs" dxfId="73" priority="95" operator="lessThan">
      <formula>0</formula>
    </cfRule>
  </conditionalFormatting>
  <conditionalFormatting sqref="R157">
    <cfRule type="cellIs" dxfId="72" priority="100" operator="greaterThanOrEqual">
      <formula>0</formula>
    </cfRule>
    <cfRule type="cellIs" dxfId="71" priority="101" operator="lessThan">
      <formula>0</formula>
    </cfRule>
  </conditionalFormatting>
  <conditionalFormatting sqref="T157">
    <cfRule type="cellIs" dxfId="70" priority="96" operator="greaterThanOrEqual">
      <formula>0</formula>
    </cfRule>
    <cfRule type="cellIs" dxfId="69" priority="97" operator="lessThan">
      <formula>0</formula>
    </cfRule>
  </conditionalFormatting>
  <conditionalFormatting sqref="V157">
    <cfRule type="cellIs" dxfId="68" priority="92" operator="greaterThanOrEqual">
      <formula>0</formula>
    </cfRule>
    <cfRule type="cellIs" dxfId="67" priority="93" operator="lessThan">
      <formula>0</formula>
    </cfRule>
  </conditionalFormatting>
  <conditionalFormatting sqref="W157">
    <cfRule type="cellIs" dxfId="66" priority="90" operator="greaterThanOrEqual">
      <formula>0</formula>
    </cfRule>
    <cfRule type="cellIs" dxfId="65" priority="91" operator="lessThan">
      <formula>0</formula>
    </cfRule>
  </conditionalFormatting>
  <conditionalFormatting sqref="X157">
    <cfRule type="cellIs" dxfId="64" priority="88" operator="greaterThanOrEqual">
      <formula>0</formula>
    </cfRule>
    <cfRule type="cellIs" dxfId="63" priority="89" operator="lessThan">
      <formula>0</formula>
    </cfRule>
  </conditionalFormatting>
  <conditionalFormatting sqref="Y157">
    <cfRule type="cellIs" dxfId="62" priority="86" operator="greaterThanOrEqual">
      <formula>0</formula>
    </cfRule>
    <cfRule type="cellIs" dxfId="61" priority="87" operator="lessThan">
      <formula>0</formula>
    </cfRule>
  </conditionalFormatting>
  <conditionalFormatting sqref="Z157">
    <cfRule type="cellIs" dxfId="60" priority="84" operator="greaterThanOrEqual">
      <formula>0</formula>
    </cfRule>
    <cfRule type="cellIs" dxfId="59" priority="85" operator="lessThan">
      <formula>0</formula>
    </cfRule>
  </conditionalFormatting>
  <conditionalFormatting sqref="AA157">
    <cfRule type="cellIs" dxfId="58" priority="82" operator="greaterThanOrEqual">
      <formula>0</formula>
    </cfRule>
    <cfRule type="cellIs" dxfId="57" priority="83" operator="lessThan">
      <formula>0</formula>
    </cfRule>
  </conditionalFormatting>
  <conditionalFormatting sqref="AG157">
    <cfRule type="cellIs" dxfId="56" priority="70" operator="greaterThanOrEqual">
      <formula>0</formula>
    </cfRule>
    <cfRule type="cellIs" dxfId="55" priority="71" operator="lessThan">
      <formula>0</formula>
    </cfRule>
  </conditionalFormatting>
  <conditionalFormatting sqref="AJ157">
    <cfRule type="cellIs" dxfId="54" priority="64" operator="greaterThanOrEqual">
      <formula>0</formula>
    </cfRule>
    <cfRule type="cellIs" dxfId="53" priority="65" operator="lessThan">
      <formula>0</formula>
    </cfRule>
  </conditionalFormatting>
  <conditionalFormatting sqref="AI157">
    <cfRule type="cellIs" dxfId="52" priority="66" operator="greaterThanOrEqual">
      <formula>0</formula>
    </cfRule>
    <cfRule type="cellIs" dxfId="51" priority="67" operator="lessThan">
      <formula>0</formula>
    </cfRule>
  </conditionalFormatting>
  <conditionalFormatting sqref="AM36">
    <cfRule type="cellIs" dxfId="50" priority="58" operator="greaterThanOrEqual">
      <formula>0</formula>
    </cfRule>
    <cfRule type="cellIs" dxfId="49" priority="59" operator="lessThan">
      <formula>0</formula>
    </cfRule>
  </conditionalFormatting>
  <conditionalFormatting sqref="AO36">
    <cfRule type="expression" dxfId="48" priority="55" stopIfTrue="1">
      <formula>IF(AM36&lt;=0,AND(AN36&gt;AM36,AN36&lt;$AP$6*AM36),AND(AN36&lt;AM36,AN36&gt;$AP$6*AM36))</formula>
    </cfRule>
    <cfRule type="expression" dxfId="47" priority="56">
      <formula>AN36&lt;AM36</formula>
    </cfRule>
    <cfRule type="expression" dxfId="46" priority="57">
      <formula>AN36&gt;=AM36</formula>
    </cfRule>
  </conditionalFormatting>
  <conditionalFormatting sqref="AK157">
    <cfRule type="cellIs" dxfId="45" priority="34" operator="greaterThanOrEqual">
      <formula>0</formula>
    </cfRule>
    <cfRule type="cellIs" dxfId="44" priority="35" operator="lessThan">
      <formula>0</formula>
    </cfRule>
  </conditionalFormatting>
  <conditionalFormatting sqref="G157">
    <cfRule type="cellIs" dxfId="43" priority="48" operator="greaterThanOrEqual">
      <formula>0</formula>
    </cfRule>
    <cfRule type="cellIs" dxfId="42" priority="49" operator="lessThan">
      <formula>0</formula>
    </cfRule>
  </conditionalFormatting>
  <conditionalFormatting sqref="J157">
    <cfRule type="cellIs" dxfId="41" priority="46" operator="greaterThanOrEqual">
      <formula>0</formula>
    </cfRule>
    <cfRule type="cellIs" dxfId="40" priority="47" operator="lessThan">
      <formula>0</formula>
    </cfRule>
  </conditionalFormatting>
  <conditionalFormatting sqref="M157">
    <cfRule type="cellIs" dxfId="39" priority="44" operator="greaterThanOrEqual">
      <formula>0</formula>
    </cfRule>
    <cfRule type="cellIs" dxfId="38" priority="45" operator="lessThan">
      <formula>0</formula>
    </cfRule>
  </conditionalFormatting>
  <conditionalFormatting sqref="P157">
    <cfRule type="cellIs" dxfId="37" priority="42" operator="greaterThanOrEqual">
      <formula>0</formula>
    </cfRule>
    <cfRule type="cellIs" dxfId="36" priority="43" operator="lessThan">
      <formula>0</formula>
    </cfRule>
  </conditionalFormatting>
  <conditionalFormatting sqref="AB157">
    <cfRule type="cellIs" dxfId="35" priority="40" operator="greaterThanOrEqual">
      <formula>0</formula>
    </cfRule>
    <cfRule type="cellIs" dxfId="34" priority="41" operator="lessThan">
      <formula>0</formula>
    </cfRule>
  </conditionalFormatting>
  <conditionalFormatting sqref="AE157">
    <cfRule type="cellIs" dxfId="33" priority="38" operator="greaterThanOrEqual">
      <formula>0</formula>
    </cfRule>
    <cfRule type="cellIs" dxfId="32" priority="39" operator="lessThan">
      <formula>0</formula>
    </cfRule>
  </conditionalFormatting>
  <conditionalFormatting sqref="AH157">
    <cfRule type="cellIs" dxfId="31" priority="36" operator="greaterThanOrEqual">
      <formula>0</formula>
    </cfRule>
    <cfRule type="cellIs" dxfId="30" priority="37" operator="lessThan">
      <formula>0</formula>
    </cfRule>
  </conditionalFormatting>
  <conditionalFormatting sqref="E16 H16 K16 N16 Q16 T16 W16 Z16 AC16 AF16 AI16 AL16 AO16 E35 E48 H35 H48 K35 K48 N35 N48 Q35 Q48 T35 T48 W35 W48 Z35 Z48 AC35 AC48 AF35 AF48 AI35 AI48 AL35 AL48 AO35 AO48:AP48">
    <cfRule type="expression" dxfId="29" priority="9544" stopIfTrue="1">
      <formula>IF(C$1=$AP$9,IF(C16&lt;=0,AND(D16&gt;C16,D16&lt;$AP$6*C16),AND(D16&lt;C16,D16&gt;$AP$6*C16)))</formula>
    </cfRule>
    <cfRule type="expression" dxfId="28" priority="9545">
      <formula>D16&lt;C16</formula>
    </cfRule>
    <cfRule type="expression" dxfId="27" priority="9546">
      <formula>D16&gt;=C16</formula>
    </cfRule>
  </conditionalFormatting>
  <conditionalFormatting sqref="E15 E12:E13 H15 H12:H13 K15 K12:K13 N15 N12:N13 Q15 Q12:Q13 T15 T12:T13 W15 W12:W13 Z15 Z12:Z13 AC15 AC12:AC13 AF15 AF12:AF13 AI15 AI12:AI13 AL15 AL12:AL13 AO15 AO12:AO13 H26 K26 N26 Q26 T26 W26 Z26 AC26 AF26 AI26 AL26 AO26 E26 E29:E31 H29:H31 K29:K31 N29:N31 Q29:Q31 T29:T31 W29:W31 Z29:Z31 AC29:AC31 AF29:AF31 AI29:AI31 AL29:AL31 AO29:AO31 E34 H34 K34 N34 Q34 T34 W34 Z34 AC34 AF34 AI34 AL34 AO34 E73:E77 E80 E82:E85 E88:E91 E94:E101 E104:E106 E112:E118 E121:E125 E136:E137 H136:H137 K136:K137 N136:N137 Q136:Q137 T136:T137 W136:W137 Z136:Z137 AC136:AC137 AF136:AF137 AI136:AI137 AL136:AL137 AO136:AO137 H73:H77 H80 H82:H85 H88:H91 H94:H101 H104:H106 H112:H118 H121:H125 K73:K77 K80 K82:K85 K88:K91 K94:K101 K104:K106 K112:K118 K121:K125 N73:N77 N80 N82:N85 N88:N91 N94:N101 N104:N106 N112:N118 N121:N125 Q73:Q77 Q80 Q82:Q85 Q88:Q91 Q94:Q101 Q104:Q106 Q112:Q118 Q121:Q125 T73:T77 T80 T82:T85 T88:T91 T94:T101 T104:T106 T112:T118 T121:T125 W73:W77 W80 W82:W85 W88:W91 W94:W101 W104:W106 W112:W118 W121:W125 Z73:Z77 Z80 Z82:Z85 Z88:Z91 Z94:Z101 Z104:Z106 Z112:Z118 Z121:Z125 AC73:AC77 AC80 AC82:AC85 AC88:AC91 AC94:AC101 AC104:AC106 AC112:AC118 AC121:AC125 AF73:AF77 AF80 AF82:AF85 AF88:AF91 AF94:AF101 AF104:AF106 AF112:AF118 AF121:AF125 AI73:AI77 AI80 AI82:AI85 AI88:AI91 AI94:AI101 AI104:AI106 AI112:AI118 AI121:AI125 AL73:AL77 AL80 AL82:AL85 AL88:AL91 AL94:AL101 AL104:AL106 AL112:AL118 AL121:AL125 AO73:AO77 AO80 AO82:AO85 AO88:AO91 AO94:AO101 AO104:AO106 AO112:AO118 AO121:AO125 H145:H150 K145:K150 N145:N150 Q145:Q150 T145:T150 W145:W150 Z145:Z150 AC145:AC150 AF145:AF150 AI145:AI150 AL145:AL150 AO145:AO150 E154:E156 H154:H156 K154:K156 N154:N156 Q154:Q156 T154:T156 W154:W156 Z154:Z156 AC154:AC156 AF154:AF156 AI154:AI156 AL154:AL156 AO154:AO156 AO108:AO109 AL108:AL109 AI108:AI109 AF108:AF109 AC108:AC109 Z108:Z109 W108:W109 T108:T109 Q108:Q109 N108:N109 K108:K109 H108:H109 E108:E109 E145:E150 E129:E133 H129:H133 K129:K133 N129:N133 Q129:Q133 T129:T133 W129:W133 Z129:Z133 AC129:AC133 AF129:AF133 AI129:AI133 AL129:AL133 AO129:AO133 AO139:AO142 AL139:AL142 AI139:AI142 AF139:AF142 AC139:AC142 Z139:Z142 W139:W142 T139:T142 Q139:Q142 N139:N142 K139:K142 H139:H142 E139:E142">
    <cfRule type="expression" dxfId="26" priority="9661">
      <formula>D12&gt;=C12</formula>
    </cfRule>
    <cfRule type="expression" dxfId="25" priority="9662" stopIfTrue="1">
      <formula>IF(C$1=$AP$9,IF(C12&lt;=0,AND(D12&gt;C12,D12&lt;$AP$6*C12),AND(D12&lt;C12,D12&gt;$AP$6*C12)))</formula>
    </cfRule>
    <cfRule type="expression" dxfId="24" priority="9663">
      <formula>D12&lt;C12</formula>
    </cfRule>
  </conditionalFormatting>
  <conditionalFormatting sqref="E14 AR14 H14 H5:H11 K14 K5:K11 N14 N5:N11 Q14 Q5:Q11 T14 T5:T11 W14 W5:W11 Z14 Z5:Z11 AC14 AC5:AC11 AF14 AF5:AF11 AI14 AI5:AI11 AL14 AL5:AL11 AO14 AO5:AO11 E18:E25 H18:H25 K18:K25 N18:N25 Q18:Q25 T18:T25 W18:W25 Z18:Z25 AC18:AC25 AF18:AF25 AI18:AI25 AL18:AL25 AO18:AO25 E28 E41:E47 E33 E55:E70 H41:H47 H33 H55:H70 K41:K47 K55:K70 N41:N47 N33 N55:N70 Q41:Q47 Q33 Q55:Q70 T41:T47 T33 T55:T70 W41:W47 W33 W55:W70 Z41:Z47 Z33 Z55:Z70 AC41:AC47 AC33 AC55:AC70 AF41:AF47 AF33 AF55:AF70 AI41:AI47 AI33 AI55:AI70 AL41:AL47 AL33 AL55:AL70 AO41:AO47 AO33 AO55:AO70 K33 H27:H28 K27:K28 N27:N28 Q27:Q28 T27:T28 W27:W28 Z27:Z28 AC27:AC28 AF27:AF28 AI27:AI28 AL27:AL28 AO27:AO28 E5:E11 H151 K151 N151 Q151 T151 W151 Z151 AC151 AF151 AI151 AL151 AO151 E151 H107 K107 N107 Q107 T107 W107 Z107 AC107 AF107 AI107 AL107 AO107 E107">
    <cfRule type="expression" dxfId="23" priority="10321" stopIfTrue="1">
      <formula>IF(C$1=$AP$9,IF(C5&lt;=0,AND(D5&gt;C5,D5&lt;$AP$6*C5),AND(D5&lt;C5,D5&gt;$AP$6*C5)))</formula>
    </cfRule>
    <cfRule type="expression" dxfId="22" priority="10322">
      <formula>D5&gt;=C5</formula>
    </cfRule>
    <cfRule type="expression" dxfId="21" priority="10323">
      <formula>D5&lt;C5</formula>
    </cfRule>
  </conditionalFormatting>
  <conditionalFormatting sqref="E27">
    <cfRule type="expression" dxfId="20" priority="28" stopIfTrue="1">
      <formula>IF(C$1=$AP$9,IF(C27&lt;=0,AND(D27&gt;C27,D27&lt;$AP$6*C27),AND(D27&lt;C27,D27&gt;$AP$6*C27)))</formula>
    </cfRule>
    <cfRule type="expression" dxfId="19" priority="29">
      <formula>D27&gt;=C27</formula>
    </cfRule>
    <cfRule type="expression" dxfId="18" priority="30">
      <formula>D27&lt;C27</formula>
    </cfRule>
  </conditionalFormatting>
  <conditionalFormatting sqref="H54 K54 N54 Q54 T54 W54 Z54 AC54 AF54 AI54 AL54 AO54 E54">
    <cfRule type="expression" dxfId="17" priority="16" stopIfTrue="1">
      <formula>IF(C$1=$AP$9,IF(C54&lt;=0,AND(D54&gt;C54,D54&lt;$AP$6*C54),AND(D54&lt;C54,D54&gt;$AP$6*C54)))</formula>
    </cfRule>
    <cfRule type="expression" dxfId="16" priority="17">
      <formula>D54&gt;=C54</formula>
    </cfRule>
    <cfRule type="expression" dxfId="15" priority="18">
      <formula>D54&lt;C54</formula>
    </cfRule>
  </conditionalFormatting>
  <conditionalFormatting sqref="E32 H32 K32 N32 Q32 T32 W32 Z32 AC32 AF32 AI32 AL32 AO32">
    <cfRule type="expression" dxfId="14" priority="10">
      <formula>D32&gt;=C32</formula>
    </cfRule>
    <cfRule type="expression" dxfId="13" priority="11" stopIfTrue="1">
      <formula>IF(C$1=$AP$9,IF(C32&lt;=0,AND(D32&gt;C32,D32&lt;$AP$6*C32),AND(D32&lt;C32,D32&gt;$AP$6*C32)))</formula>
    </cfRule>
    <cfRule type="expression" dxfId="12" priority="12">
      <formula>D32&lt;C32</formula>
    </cfRule>
  </conditionalFormatting>
  <conditionalFormatting sqref="AO138 AL138 AI138 AF138 AC138 Z138 W138 T138 Q138 N138 K138 H138 E138">
    <cfRule type="expression" dxfId="11" priority="7">
      <formula>D138&gt;=C138</formula>
    </cfRule>
    <cfRule type="expression" dxfId="10" priority="8" stopIfTrue="1">
      <formula>IF(C$1=$AP$9,IF(C138&lt;=0,AND(D138&gt;C138,D138&lt;$AP$6*C138),AND(D138&lt;C138,D138&gt;$AP$6*C138)))</formula>
    </cfRule>
    <cfRule type="expression" dxfId="9" priority="9">
      <formula>D138&lt;C138</formula>
    </cfRule>
  </conditionalFormatting>
  <conditionalFormatting sqref="E51:E53 H51:H53 K51:K53 N51:N53 Q51:Q53 T51:T53 W51:W53 Z51:Z53 AC51:AC53 AF51:AF53 AI51:AI53 AL51:AL53 AO51:AO53">
    <cfRule type="expression" dxfId="8" priority="4" stopIfTrue="1">
      <formula>IF(C$1=$AP$9,IF(C51&lt;=0,AND(D51&gt;C51,D51&lt;$AP$6*C51),AND(D51&lt;C51,D51&gt;$AP$6*C51)))</formula>
    </cfRule>
    <cfRule type="expression" dxfId="7" priority="5">
      <formula>D51&gt;=C51</formula>
    </cfRule>
    <cfRule type="expression" dxfId="6" priority="6">
      <formula>D51&lt;C51</formula>
    </cfRule>
  </conditionalFormatting>
  <conditionalFormatting sqref="E50 H50 K50 N50 Q50 T50 W50 Z50 AC50 AF50 AI50 AL50 AO50">
    <cfRule type="expression" dxfId="5" priority="1" stopIfTrue="1">
      <formula>IF(C$1=$AP$9,IF(C50&lt;=0,AND(D50&gt;C50,D50&lt;$AP$6*C50),AND(D50&lt;C50,D50&gt;$AP$6*C50)))</formula>
    </cfRule>
    <cfRule type="expression" dxfId="4" priority="2">
      <formula>D50&gt;=C50</formula>
    </cfRule>
    <cfRule type="expression" dxfId="3" priority="3">
      <formula>D50&lt;C50</formula>
    </cfRule>
  </conditionalFormatting>
  <pageMargins left="0.7" right="0.7" top="0.75" bottom="0.75" header="0.3" footer="0.3"/>
  <pageSetup orientation="portrait" horizontalDpi="300" verticalDpi="300" r:id="rId1"/>
  <ignoredErrors>
    <ignoredError sqref="D102 E60" unlockedFormula="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3283B-0768-4D79-A40E-8343446DFEB3}">
  <sheetPr codeName="Sheet11">
    <pageSetUpPr fitToPage="1"/>
  </sheetPr>
  <dimension ref="A1:L1583"/>
  <sheetViews>
    <sheetView workbookViewId="0">
      <pane xSplit="5" ySplit="4" topLeftCell="F5" activePane="bottomRight" state="frozenSplit"/>
      <selection pane="topRight" activeCell="U33" sqref="U33"/>
      <selection pane="bottomLeft" activeCell="A222" sqref="A222:H222"/>
      <selection pane="bottomRight" activeCell="D4" sqref="D4:F17"/>
    </sheetView>
  </sheetViews>
  <sheetFormatPr defaultColWidth="10.875" defaultRowHeight="15.75" outlineLevelRow="1"/>
  <cols>
    <col min="1" max="1" width="14.625" style="149" bestFit="1" customWidth="1"/>
    <col min="2" max="2" width="14.625" style="149" customWidth="1"/>
    <col min="3" max="3" width="9" style="149" bestFit="1" customWidth="1"/>
    <col min="4" max="4" width="12.625" style="180" bestFit="1" customWidth="1"/>
    <col min="5" max="5" width="31" style="149" customWidth="1"/>
    <col min="6" max="6" width="34.875" style="149" customWidth="1"/>
    <col min="7" max="7" width="31.625" style="149" customWidth="1"/>
    <col min="8" max="8" width="28" style="149" customWidth="1"/>
    <col min="9" max="9" width="11.125" style="149" customWidth="1"/>
    <col min="10" max="10" width="13.125" style="149" customWidth="1"/>
    <col min="11" max="11" width="9.875" style="178" customWidth="1"/>
    <col min="12" max="12" width="14.375" style="178" customWidth="1"/>
    <col min="13" max="16384" width="10.875" style="4"/>
  </cols>
  <sheetData>
    <row r="1" spans="1:12" s="55" customFormat="1">
      <c r="A1" s="164" t="s">
        <v>29</v>
      </c>
      <c r="B1" s="60" t="s">
        <v>1039</v>
      </c>
      <c r="C1" s="164" t="s">
        <v>41</v>
      </c>
      <c r="D1" s="179" t="s">
        <v>0</v>
      </c>
      <c r="E1" s="164" t="s">
        <v>1</v>
      </c>
      <c r="F1" s="164" t="s">
        <v>268</v>
      </c>
      <c r="G1" s="164" t="s">
        <v>6</v>
      </c>
      <c r="H1" s="164" t="s">
        <v>7</v>
      </c>
      <c r="I1" s="164" t="s">
        <v>5</v>
      </c>
      <c r="J1" s="164" t="s">
        <v>221</v>
      </c>
      <c r="K1" s="164" t="s">
        <v>293</v>
      </c>
      <c r="L1" s="164" t="s">
        <v>969</v>
      </c>
    </row>
    <row r="2" spans="1:12">
      <c r="A2" s="4"/>
      <c r="B2" s="4"/>
      <c r="C2" s="4"/>
      <c r="D2" s="4"/>
      <c r="E2" s="4"/>
      <c r="F2" s="4"/>
      <c r="G2" s="4"/>
      <c r="H2" s="4"/>
      <c r="I2" s="4"/>
      <c r="J2" s="4"/>
      <c r="K2" s="4"/>
      <c r="L2" s="4"/>
    </row>
    <row r="3" spans="1:12">
      <c r="A3" s="4"/>
      <c r="B3" s="4"/>
      <c r="C3" s="4"/>
      <c r="D3" s="4"/>
      <c r="E3" s="4"/>
      <c r="F3" s="4"/>
      <c r="G3" s="4"/>
      <c r="H3" s="4"/>
      <c r="I3" s="4"/>
      <c r="J3" s="4"/>
      <c r="K3" s="4"/>
      <c r="L3" s="4"/>
    </row>
    <row r="4" spans="1:12">
      <c r="A4" s="4"/>
      <c r="B4" s="4"/>
      <c r="C4" s="4"/>
      <c r="D4" s="4"/>
      <c r="E4" s="4"/>
      <c r="F4" s="4"/>
      <c r="G4" s="4"/>
      <c r="H4" s="4"/>
      <c r="I4" s="4"/>
      <c r="J4" s="4"/>
      <c r="K4" s="4"/>
      <c r="L4" s="4"/>
    </row>
    <row r="5" spans="1:12">
      <c r="A5" s="4"/>
      <c r="B5" s="4"/>
      <c r="C5" s="4"/>
      <c r="D5" s="4"/>
      <c r="E5" s="4"/>
      <c r="F5" s="4"/>
      <c r="G5" s="4"/>
      <c r="H5" s="4"/>
      <c r="I5" s="4"/>
      <c r="J5" s="4"/>
      <c r="K5" s="4"/>
      <c r="L5" s="4"/>
    </row>
    <row r="6" spans="1:12">
      <c r="A6" s="4"/>
      <c r="B6" s="4"/>
      <c r="C6" s="4"/>
      <c r="D6" s="4"/>
      <c r="E6" s="4"/>
      <c r="F6" s="4"/>
      <c r="G6" s="4"/>
      <c r="H6" s="4"/>
      <c r="I6" s="4"/>
      <c r="J6" s="4"/>
      <c r="K6" s="4"/>
      <c r="L6" s="4"/>
    </row>
    <row r="7" spans="1:12">
      <c r="A7" s="4"/>
      <c r="B7" s="4"/>
      <c r="C7" s="4"/>
      <c r="D7" s="4"/>
      <c r="E7" s="4"/>
      <c r="F7" s="4"/>
      <c r="G7" s="4"/>
      <c r="H7" s="4"/>
      <c r="I7" s="4"/>
      <c r="J7" s="4"/>
      <c r="K7" s="4"/>
      <c r="L7" s="4"/>
    </row>
    <row r="8" spans="1:12">
      <c r="A8" s="4"/>
      <c r="B8" s="4"/>
      <c r="C8" s="4"/>
      <c r="D8" s="4"/>
      <c r="E8" s="4"/>
      <c r="F8" s="4"/>
      <c r="G8" s="4"/>
      <c r="H8" s="4"/>
      <c r="I8" s="4"/>
      <c r="J8" s="4"/>
      <c r="K8" s="4"/>
      <c r="L8" s="4"/>
    </row>
    <row r="9" spans="1:12">
      <c r="A9" s="4"/>
      <c r="B9" s="4"/>
      <c r="C9" s="4"/>
      <c r="D9" s="4"/>
      <c r="E9" s="4"/>
      <c r="F9" s="4"/>
      <c r="G9" s="4"/>
      <c r="H9" s="4"/>
      <c r="I9" s="4"/>
      <c r="J9" s="4"/>
      <c r="K9" s="4"/>
      <c r="L9" s="4"/>
    </row>
    <row r="10" spans="1:12">
      <c r="A10" s="4"/>
      <c r="B10" s="4"/>
      <c r="C10" s="4"/>
      <c r="D10" s="4"/>
      <c r="E10" s="4"/>
      <c r="F10" s="4"/>
      <c r="G10" s="4"/>
      <c r="H10" s="4"/>
      <c r="I10" s="4"/>
      <c r="J10" s="4"/>
      <c r="K10" s="4"/>
      <c r="L10" s="4"/>
    </row>
    <row r="11" spans="1:12">
      <c r="A11" s="4"/>
      <c r="B11" s="4"/>
      <c r="C11" s="4"/>
      <c r="D11" s="4"/>
      <c r="E11" s="4"/>
      <c r="F11" s="4"/>
      <c r="G11" s="4"/>
      <c r="H11" s="4"/>
      <c r="I11" s="4"/>
      <c r="J11" s="4"/>
      <c r="K11" s="4"/>
      <c r="L11" s="4"/>
    </row>
    <row r="12" spans="1:12">
      <c r="A12" s="4"/>
      <c r="B12" s="4"/>
      <c r="C12" s="4"/>
      <c r="D12" s="4"/>
      <c r="E12" s="4"/>
      <c r="F12" s="4"/>
      <c r="G12" s="4"/>
      <c r="H12" s="4"/>
      <c r="I12" s="4"/>
      <c r="J12" s="4"/>
      <c r="K12" s="4"/>
      <c r="L12" s="4"/>
    </row>
    <row r="13" spans="1:12">
      <c r="A13" s="4"/>
      <c r="B13" s="4"/>
      <c r="C13" s="4"/>
      <c r="D13" s="4"/>
      <c r="E13" s="4"/>
      <c r="F13" s="4"/>
      <c r="G13" s="4"/>
      <c r="H13" s="4"/>
      <c r="I13" s="4"/>
      <c r="J13" s="4"/>
      <c r="K13" s="4"/>
      <c r="L13" s="4"/>
    </row>
    <row r="14" spans="1:12">
      <c r="A14" s="4"/>
      <c r="B14" s="4"/>
      <c r="C14" s="4"/>
      <c r="D14" s="4"/>
      <c r="E14" s="4"/>
      <c r="F14" s="4"/>
      <c r="G14" s="4"/>
      <c r="H14" s="4"/>
      <c r="I14" s="4"/>
      <c r="J14" s="4"/>
      <c r="K14" s="4"/>
      <c r="L14" s="4"/>
    </row>
    <row r="15" spans="1:12">
      <c r="A15" s="4"/>
      <c r="B15" s="4"/>
      <c r="C15" s="4"/>
      <c r="D15" s="4"/>
      <c r="E15" s="4"/>
      <c r="F15" s="4"/>
      <c r="G15" s="4"/>
      <c r="H15" s="4"/>
      <c r="I15" s="4"/>
      <c r="J15" s="4"/>
      <c r="K15" s="4"/>
      <c r="L15" s="4"/>
    </row>
    <row r="16" spans="1:12">
      <c r="A16" s="4"/>
      <c r="B16" s="4"/>
      <c r="C16" s="4"/>
      <c r="D16" s="4"/>
      <c r="E16" s="4"/>
      <c r="F16" s="4"/>
      <c r="G16" s="4"/>
      <c r="H16" s="4"/>
      <c r="I16" s="4"/>
      <c r="J16" s="4"/>
      <c r="K16" s="4"/>
      <c r="L16" s="4"/>
    </row>
    <row r="17" spans="1:12">
      <c r="A17" s="4"/>
      <c r="B17" s="4"/>
      <c r="C17" s="4"/>
      <c r="D17" s="4"/>
      <c r="E17" s="4"/>
      <c r="F17" s="4"/>
      <c r="G17" s="4"/>
      <c r="H17" s="4"/>
      <c r="I17" s="4"/>
      <c r="J17" s="4"/>
      <c r="K17" s="4"/>
      <c r="L17" s="4"/>
    </row>
    <row r="18" spans="1:12">
      <c r="A18" s="4"/>
      <c r="B18" s="4"/>
      <c r="C18" s="4"/>
      <c r="D18" s="4"/>
      <c r="E18" s="4"/>
      <c r="F18" s="4"/>
      <c r="G18" s="4"/>
      <c r="H18" s="4"/>
      <c r="I18" s="4"/>
      <c r="J18" s="4"/>
      <c r="K18" s="4"/>
      <c r="L18" s="4"/>
    </row>
    <row r="19" spans="1:12">
      <c r="A19" s="4"/>
      <c r="B19" s="4"/>
      <c r="C19" s="4"/>
      <c r="D19" s="4"/>
      <c r="E19" s="4"/>
      <c r="F19" s="4"/>
      <c r="G19" s="4"/>
      <c r="H19" s="4"/>
      <c r="I19" s="4"/>
      <c r="J19" s="4"/>
      <c r="K19" s="4"/>
      <c r="L19" s="4"/>
    </row>
    <row r="20" spans="1:12">
      <c r="A20" s="4"/>
      <c r="B20" s="4"/>
      <c r="C20" s="4"/>
      <c r="D20" s="4"/>
      <c r="E20" s="4"/>
      <c r="F20" s="4"/>
      <c r="G20" s="4"/>
      <c r="H20" s="4"/>
      <c r="I20" s="4"/>
      <c r="J20" s="4"/>
      <c r="K20" s="4"/>
      <c r="L20" s="4"/>
    </row>
    <row r="21" spans="1:12">
      <c r="A21" s="4"/>
      <c r="B21" s="4"/>
      <c r="C21" s="4"/>
      <c r="D21" s="4"/>
      <c r="E21" s="4"/>
      <c r="F21" s="4"/>
      <c r="G21" s="4"/>
      <c r="H21" s="4"/>
      <c r="I21" s="4"/>
      <c r="J21" s="4"/>
      <c r="K21" s="4"/>
      <c r="L21" s="4"/>
    </row>
    <row r="22" spans="1:12">
      <c r="A22" s="4"/>
      <c r="B22" s="4"/>
      <c r="C22" s="4"/>
      <c r="D22" s="4"/>
      <c r="E22" s="4"/>
      <c r="F22" s="4"/>
      <c r="G22" s="4"/>
      <c r="H22" s="4"/>
      <c r="I22" s="4"/>
      <c r="J22" s="4"/>
      <c r="K22" s="4"/>
      <c r="L22" s="4"/>
    </row>
    <row r="23" spans="1:12">
      <c r="A23" s="4"/>
      <c r="B23" s="4"/>
      <c r="C23" s="4"/>
      <c r="D23" s="4"/>
      <c r="E23" s="4"/>
      <c r="F23" s="4"/>
      <c r="G23" s="4"/>
      <c r="H23" s="4"/>
      <c r="I23" s="4"/>
      <c r="J23" s="4"/>
      <c r="K23" s="4"/>
      <c r="L23" s="4"/>
    </row>
    <row r="24" spans="1:12">
      <c r="A24" s="4"/>
      <c r="B24" s="4"/>
      <c r="C24" s="4"/>
      <c r="D24" s="4"/>
      <c r="E24" s="4"/>
      <c r="F24" s="4"/>
      <c r="G24" s="4"/>
      <c r="H24" s="4"/>
      <c r="I24" s="4"/>
      <c r="J24" s="4"/>
      <c r="K24" s="4"/>
      <c r="L24" s="4"/>
    </row>
    <row r="25" spans="1:12">
      <c r="A25" s="4"/>
      <c r="B25" s="4"/>
      <c r="C25" s="4"/>
      <c r="D25" s="4"/>
      <c r="E25" s="4"/>
      <c r="F25" s="4"/>
      <c r="G25" s="4"/>
      <c r="H25" s="4"/>
      <c r="I25" s="4"/>
      <c r="J25" s="4"/>
      <c r="K25" s="4"/>
      <c r="L25" s="4"/>
    </row>
    <row r="26" spans="1:12">
      <c r="A26" s="4"/>
      <c r="B26" s="4"/>
      <c r="C26" s="4"/>
      <c r="D26" s="4"/>
      <c r="E26" s="4"/>
      <c r="F26" s="4"/>
      <c r="G26" s="4"/>
      <c r="H26" s="4"/>
      <c r="I26" s="4"/>
      <c r="J26" s="4"/>
      <c r="K26" s="4"/>
      <c r="L26" s="4"/>
    </row>
    <row r="27" spans="1:12">
      <c r="A27" s="4"/>
      <c r="B27" s="4"/>
      <c r="C27" s="4"/>
      <c r="D27" s="4"/>
      <c r="E27" s="4"/>
      <c r="F27" s="4"/>
      <c r="G27" s="4"/>
      <c r="H27" s="4"/>
      <c r="I27" s="4"/>
      <c r="J27" s="4"/>
      <c r="K27" s="4"/>
      <c r="L27" s="4"/>
    </row>
    <row r="28" spans="1:12">
      <c r="A28" s="4"/>
      <c r="B28" s="4"/>
      <c r="C28" s="4"/>
      <c r="D28" s="4"/>
      <c r="E28" s="4"/>
      <c r="F28" s="4"/>
      <c r="G28" s="4"/>
      <c r="H28" s="4"/>
      <c r="I28" s="4"/>
      <c r="J28" s="4"/>
      <c r="K28" s="4"/>
      <c r="L28" s="4"/>
    </row>
    <row r="29" spans="1:12">
      <c r="A29" s="4"/>
      <c r="B29" s="4"/>
      <c r="C29" s="4"/>
      <c r="D29" s="4"/>
      <c r="E29" s="4"/>
      <c r="F29" s="4"/>
      <c r="G29" s="4"/>
      <c r="H29" s="4"/>
      <c r="I29" s="4"/>
      <c r="J29" s="4"/>
      <c r="K29" s="4"/>
      <c r="L29" s="4"/>
    </row>
    <row r="30" spans="1:12">
      <c r="A30" s="4"/>
      <c r="B30" s="4"/>
      <c r="C30" s="4"/>
      <c r="D30" s="4"/>
      <c r="E30" s="4"/>
      <c r="F30" s="4"/>
      <c r="G30" s="4"/>
      <c r="H30" s="4"/>
      <c r="I30" s="4"/>
      <c r="J30" s="4"/>
      <c r="K30" s="4"/>
      <c r="L30" s="4"/>
    </row>
    <row r="31" spans="1:12">
      <c r="A31" s="4"/>
      <c r="B31" s="4"/>
      <c r="C31" s="4"/>
      <c r="D31" s="4"/>
      <c r="E31" s="4"/>
      <c r="F31" s="4"/>
      <c r="G31" s="4"/>
      <c r="H31" s="4"/>
      <c r="I31" s="4"/>
      <c r="J31" s="4"/>
      <c r="K31" s="4"/>
      <c r="L31" s="4"/>
    </row>
    <row r="32" spans="1:12">
      <c r="A32" s="4"/>
      <c r="B32" s="4"/>
      <c r="C32" s="4"/>
      <c r="D32" s="4"/>
      <c r="E32" s="4"/>
      <c r="F32" s="4"/>
      <c r="G32" s="4"/>
      <c r="H32" s="4"/>
      <c r="I32" s="4"/>
      <c r="J32" s="4"/>
      <c r="K32" s="4"/>
      <c r="L32" s="4"/>
    </row>
    <row r="33" spans="1:12">
      <c r="A33" s="4"/>
      <c r="B33" s="4"/>
      <c r="C33" s="4"/>
      <c r="D33" s="4"/>
      <c r="E33" s="4"/>
      <c r="F33" s="4"/>
      <c r="G33" s="4"/>
      <c r="H33" s="4"/>
      <c r="I33" s="4"/>
      <c r="J33" s="4"/>
      <c r="K33" s="4"/>
      <c r="L33" s="4"/>
    </row>
    <row r="34" spans="1:12">
      <c r="A34" s="4"/>
      <c r="B34" s="4"/>
      <c r="C34" s="4"/>
      <c r="D34" s="4"/>
      <c r="E34" s="4"/>
      <c r="F34" s="4"/>
      <c r="G34" s="4"/>
      <c r="H34" s="4"/>
      <c r="I34" s="4"/>
      <c r="J34" s="4"/>
      <c r="K34" s="4"/>
      <c r="L34" s="4"/>
    </row>
    <row r="35" spans="1:12">
      <c r="A35" s="4"/>
      <c r="B35" s="4"/>
      <c r="C35" s="4"/>
      <c r="D35" s="4"/>
      <c r="E35" s="4"/>
      <c r="F35" s="4"/>
      <c r="G35" s="4"/>
      <c r="H35" s="4"/>
      <c r="I35" s="4"/>
      <c r="J35" s="4"/>
      <c r="K35" s="4"/>
      <c r="L35" s="4"/>
    </row>
    <row r="36" spans="1:12">
      <c r="A36" s="4"/>
      <c r="B36" s="4"/>
      <c r="C36" s="4"/>
      <c r="D36" s="4"/>
      <c r="E36" s="4"/>
      <c r="F36" s="4"/>
      <c r="G36" s="4"/>
      <c r="H36" s="4"/>
      <c r="I36" s="4"/>
      <c r="J36" s="4"/>
      <c r="K36" s="4"/>
      <c r="L36" s="4"/>
    </row>
    <row r="37" spans="1:12">
      <c r="A37" s="4"/>
      <c r="B37" s="4"/>
      <c r="C37" s="4"/>
      <c r="D37" s="4"/>
      <c r="E37" s="4"/>
      <c r="F37" s="4"/>
      <c r="G37" s="4"/>
      <c r="H37" s="4"/>
      <c r="I37" s="4"/>
      <c r="J37" s="4"/>
      <c r="K37" s="4"/>
      <c r="L37" s="4"/>
    </row>
    <row r="38" spans="1:12">
      <c r="A38" s="4"/>
      <c r="B38" s="4"/>
      <c r="C38" s="4"/>
      <c r="D38" s="4"/>
      <c r="E38" s="4"/>
      <c r="F38" s="4"/>
      <c r="G38" s="4"/>
      <c r="H38" s="4"/>
      <c r="I38" s="4"/>
      <c r="J38" s="4"/>
      <c r="K38" s="4"/>
      <c r="L38" s="4"/>
    </row>
    <row r="39" spans="1:12">
      <c r="A39" s="4"/>
      <c r="B39" s="4"/>
      <c r="C39" s="4"/>
      <c r="D39" s="4"/>
      <c r="E39" s="4"/>
      <c r="F39" s="4"/>
      <c r="G39" s="4"/>
      <c r="H39" s="4"/>
      <c r="I39" s="4"/>
      <c r="J39" s="4"/>
      <c r="K39" s="4"/>
      <c r="L39" s="4"/>
    </row>
    <row r="40" spans="1:12">
      <c r="A40" s="4"/>
      <c r="B40" s="4"/>
      <c r="C40" s="4"/>
      <c r="D40" s="4"/>
      <c r="E40" s="4"/>
      <c r="F40" s="4"/>
      <c r="G40" s="4"/>
      <c r="H40" s="4"/>
      <c r="I40" s="4"/>
      <c r="J40" s="4"/>
      <c r="K40" s="4"/>
      <c r="L40" s="4"/>
    </row>
    <row r="41" spans="1:12">
      <c r="A41" s="4"/>
      <c r="B41" s="4"/>
      <c r="C41" s="4"/>
      <c r="D41" s="4"/>
      <c r="E41" s="4"/>
      <c r="F41" s="4"/>
      <c r="G41" s="4"/>
      <c r="H41" s="4"/>
      <c r="I41" s="4"/>
      <c r="J41" s="4"/>
      <c r="K41" s="4"/>
      <c r="L41" s="4"/>
    </row>
    <row r="42" spans="1:12">
      <c r="A42" s="4"/>
      <c r="B42" s="4"/>
      <c r="C42" s="4"/>
      <c r="D42" s="4"/>
      <c r="E42" s="4"/>
      <c r="F42" s="4"/>
      <c r="G42" s="4"/>
      <c r="H42" s="4"/>
      <c r="I42" s="4"/>
      <c r="J42" s="4"/>
      <c r="K42" s="4"/>
      <c r="L42" s="4"/>
    </row>
    <row r="43" spans="1:12">
      <c r="A43" s="4"/>
      <c r="B43" s="4"/>
      <c r="C43" s="4"/>
      <c r="D43" s="4"/>
      <c r="E43" s="4"/>
      <c r="F43" s="4"/>
      <c r="G43" s="4"/>
      <c r="H43" s="4"/>
      <c r="I43" s="4"/>
      <c r="J43" s="4"/>
      <c r="K43" s="4"/>
      <c r="L43" s="4"/>
    </row>
    <row r="44" spans="1:12">
      <c r="A44" s="4"/>
      <c r="B44" s="4"/>
      <c r="C44" s="4"/>
      <c r="D44" s="4"/>
      <c r="E44" s="4"/>
      <c r="F44" s="4"/>
      <c r="G44" s="4"/>
      <c r="H44" s="4"/>
      <c r="I44" s="4"/>
      <c r="J44" s="4"/>
      <c r="K44" s="4"/>
      <c r="L44" s="4"/>
    </row>
    <row r="45" spans="1:12">
      <c r="A45" s="4"/>
      <c r="B45" s="4"/>
      <c r="C45" s="4"/>
      <c r="D45" s="4"/>
      <c r="E45" s="4"/>
      <c r="F45" s="4"/>
      <c r="G45" s="4"/>
      <c r="H45" s="4"/>
      <c r="I45" s="4"/>
      <c r="J45" s="4"/>
      <c r="K45" s="4"/>
      <c r="L45" s="4"/>
    </row>
    <row r="46" spans="1:12">
      <c r="A46" s="4"/>
      <c r="B46" s="4"/>
      <c r="C46" s="4"/>
      <c r="D46" s="4"/>
      <c r="E46" s="4"/>
      <c r="F46" s="4"/>
      <c r="G46" s="4"/>
      <c r="H46" s="4"/>
      <c r="I46" s="4"/>
      <c r="J46" s="4"/>
      <c r="K46" s="4"/>
      <c r="L46" s="4"/>
    </row>
    <row r="47" spans="1:12">
      <c r="A47" s="4"/>
      <c r="B47" s="4"/>
      <c r="C47" s="4"/>
      <c r="D47" s="4"/>
      <c r="E47" s="4"/>
      <c r="F47" s="4"/>
      <c r="G47" s="4"/>
      <c r="H47" s="4"/>
      <c r="I47" s="4"/>
      <c r="J47" s="4"/>
      <c r="K47" s="4"/>
      <c r="L47" s="4"/>
    </row>
    <row r="48" spans="1:12">
      <c r="A48" s="4"/>
      <c r="B48" s="4"/>
      <c r="C48" s="4"/>
      <c r="D48" s="4"/>
      <c r="E48" s="4"/>
      <c r="F48" s="4"/>
      <c r="G48" s="4"/>
      <c r="H48" s="4"/>
      <c r="I48" s="4"/>
      <c r="J48" s="4"/>
      <c r="K48" s="4"/>
      <c r="L48" s="4"/>
    </row>
    <row r="49" spans="1:12">
      <c r="A49" s="4"/>
      <c r="B49" s="4"/>
      <c r="C49" s="4"/>
      <c r="D49" s="4"/>
      <c r="E49" s="4"/>
      <c r="F49" s="4"/>
      <c r="G49" s="4"/>
      <c r="H49" s="4"/>
      <c r="I49" s="4"/>
      <c r="J49" s="4"/>
      <c r="K49" s="4"/>
      <c r="L49" s="4"/>
    </row>
    <row r="50" spans="1:12">
      <c r="A50" s="4"/>
      <c r="B50" s="4"/>
      <c r="C50" s="4"/>
      <c r="D50" s="4"/>
      <c r="E50" s="4"/>
      <c r="F50" s="4"/>
      <c r="G50" s="4"/>
      <c r="H50" s="4"/>
      <c r="I50" s="4"/>
      <c r="J50" s="4"/>
      <c r="K50" s="4"/>
      <c r="L50" s="4"/>
    </row>
    <row r="51" spans="1:12">
      <c r="A51" s="4"/>
      <c r="B51" s="4"/>
      <c r="C51" s="4"/>
      <c r="D51" s="4"/>
      <c r="E51" s="4"/>
      <c r="F51" s="4"/>
      <c r="G51" s="4"/>
      <c r="H51" s="4"/>
      <c r="I51" s="4"/>
      <c r="J51" s="4"/>
      <c r="K51" s="4"/>
      <c r="L51" s="4"/>
    </row>
    <row r="52" spans="1:12">
      <c r="A52" s="4"/>
      <c r="B52" s="4"/>
      <c r="C52" s="4"/>
      <c r="D52" s="4"/>
      <c r="E52" s="4"/>
      <c r="F52" s="4"/>
      <c r="G52" s="4"/>
      <c r="H52" s="4"/>
      <c r="I52" s="4"/>
      <c r="J52" s="4"/>
      <c r="K52" s="4"/>
      <c r="L52" s="4"/>
    </row>
    <row r="53" spans="1:12">
      <c r="A53" s="4"/>
      <c r="B53" s="4"/>
      <c r="C53" s="4"/>
      <c r="D53" s="4"/>
      <c r="E53" s="4"/>
      <c r="F53" s="4"/>
      <c r="G53" s="4"/>
      <c r="H53" s="4"/>
      <c r="I53" s="4"/>
      <c r="J53" s="4"/>
      <c r="K53" s="4"/>
      <c r="L53" s="4"/>
    </row>
    <row r="54" spans="1:12">
      <c r="A54" s="4"/>
      <c r="B54" s="4"/>
      <c r="C54" s="4"/>
      <c r="D54" s="4"/>
      <c r="E54" s="4"/>
      <c r="F54" s="4"/>
      <c r="G54" s="4"/>
      <c r="H54" s="4"/>
      <c r="I54" s="4"/>
      <c r="J54" s="4"/>
      <c r="K54" s="4"/>
      <c r="L54" s="4"/>
    </row>
    <row r="55" spans="1:12">
      <c r="A55" s="4"/>
      <c r="B55" s="4"/>
      <c r="C55" s="4"/>
      <c r="D55" s="4"/>
      <c r="E55" s="4"/>
      <c r="F55" s="4"/>
      <c r="G55" s="4"/>
      <c r="H55" s="4"/>
      <c r="I55" s="4"/>
      <c r="J55" s="4"/>
      <c r="K55" s="4"/>
      <c r="L55" s="4"/>
    </row>
    <row r="56" spans="1:12">
      <c r="A56" s="4"/>
      <c r="B56" s="4"/>
      <c r="C56" s="4"/>
      <c r="D56" s="4"/>
      <c r="E56" s="4"/>
      <c r="F56" s="4"/>
      <c r="G56" s="4"/>
      <c r="H56" s="4"/>
      <c r="I56" s="4"/>
      <c r="J56" s="4"/>
      <c r="K56" s="4"/>
      <c r="L56" s="4"/>
    </row>
    <row r="57" spans="1:12">
      <c r="A57" s="4"/>
      <c r="B57" s="4"/>
      <c r="C57" s="4"/>
      <c r="D57" s="4"/>
      <c r="E57" s="4"/>
      <c r="F57" s="4"/>
      <c r="G57" s="4"/>
      <c r="H57" s="4"/>
      <c r="I57" s="4"/>
      <c r="J57" s="4"/>
      <c r="K57" s="4"/>
      <c r="L57" s="4"/>
    </row>
    <row r="58" spans="1:12">
      <c r="A58" s="4"/>
      <c r="B58" s="4"/>
      <c r="C58" s="4"/>
      <c r="D58" s="4"/>
      <c r="E58" s="4"/>
      <c r="F58" s="4"/>
      <c r="G58" s="4"/>
      <c r="H58" s="4"/>
      <c r="I58" s="4"/>
      <c r="J58" s="4"/>
      <c r="K58" s="4"/>
      <c r="L58" s="4"/>
    </row>
    <row r="59" spans="1:12">
      <c r="A59" s="4"/>
      <c r="B59" s="4"/>
      <c r="C59" s="4"/>
      <c r="D59" s="4"/>
      <c r="E59" s="4"/>
      <c r="F59" s="4"/>
      <c r="G59" s="4"/>
      <c r="H59" s="4"/>
      <c r="I59" s="4"/>
      <c r="J59" s="4"/>
      <c r="K59" s="4"/>
      <c r="L59" s="4"/>
    </row>
    <row r="60" spans="1:12">
      <c r="A60" s="4"/>
      <c r="B60" s="4"/>
      <c r="C60" s="4"/>
      <c r="D60" s="4"/>
      <c r="E60" s="4"/>
      <c r="F60" s="4"/>
      <c r="G60" s="4"/>
      <c r="H60" s="4"/>
      <c r="I60" s="4"/>
      <c r="J60" s="4"/>
      <c r="K60" s="4"/>
      <c r="L60" s="4"/>
    </row>
    <row r="61" spans="1:12">
      <c r="A61" s="4"/>
      <c r="B61" s="4"/>
      <c r="C61" s="4"/>
      <c r="D61" s="4"/>
      <c r="E61" s="4"/>
      <c r="F61" s="4"/>
      <c r="G61" s="4"/>
      <c r="H61" s="4"/>
      <c r="I61" s="4"/>
      <c r="J61" s="4"/>
      <c r="K61" s="4"/>
      <c r="L61" s="4"/>
    </row>
    <row r="62" spans="1:12">
      <c r="A62" s="4"/>
      <c r="B62" s="4"/>
      <c r="C62" s="4"/>
      <c r="D62" s="4"/>
      <c r="E62" s="4"/>
      <c r="F62" s="4"/>
      <c r="G62" s="4"/>
      <c r="H62" s="4"/>
      <c r="I62" s="4"/>
      <c r="J62" s="4"/>
      <c r="K62" s="4"/>
      <c r="L62" s="4"/>
    </row>
    <row r="63" spans="1:12">
      <c r="A63" s="4"/>
      <c r="B63" s="4"/>
      <c r="C63" s="4"/>
      <c r="D63" s="4"/>
      <c r="E63" s="4"/>
      <c r="F63" s="4"/>
      <c r="G63" s="4"/>
      <c r="H63" s="4"/>
      <c r="I63" s="4"/>
      <c r="J63" s="4"/>
      <c r="K63" s="4"/>
      <c r="L63" s="4"/>
    </row>
    <row r="64" spans="1:12">
      <c r="A64" s="4"/>
      <c r="B64" s="4"/>
      <c r="C64" s="4"/>
      <c r="D64" s="4"/>
      <c r="E64" s="4"/>
      <c r="F64" s="4"/>
      <c r="G64" s="4"/>
      <c r="H64" s="4"/>
      <c r="I64" s="4"/>
      <c r="J64" s="4"/>
      <c r="K64" s="4"/>
      <c r="L64" s="4"/>
    </row>
    <row r="65" spans="1:12">
      <c r="A65" s="4"/>
      <c r="B65" s="4"/>
      <c r="C65" s="4"/>
      <c r="D65" s="4"/>
      <c r="E65" s="4"/>
      <c r="F65" s="4"/>
      <c r="G65" s="4"/>
      <c r="H65" s="4"/>
      <c r="I65" s="4"/>
      <c r="J65" s="4"/>
      <c r="K65" s="4"/>
      <c r="L65" s="4"/>
    </row>
    <row r="66" spans="1:12">
      <c r="A66" s="4"/>
      <c r="B66" s="4"/>
      <c r="C66" s="4"/>
      <c r="D66" s="4"/>
      <c r="E66" s="4"/>
      <c r="F66" s="4"/>
      <c r="G66" s="4"/>
      <c r="H66" s="4"/>
      <c r="I66" s="4"/>
      <c r="J66" s="4"/>
      <c r="K66" s="4"/>
      <c r="L66" s="4"/>
    </row>
    <row r="67" spans="1:12">
      <c r="A67" s="4"/>
      <c r="B67" s="4"/>
      <c r="C67" s="4"/>
      <c r="D67" s="4"/>
      <c r="E67" s="4"/>
      <c r="F67" s="4"/>
      <c r="G67" s="4"/>
      <c r="H67" s="4"/>
      <c r="I67" s="4"/>
      <c r="J67" s="4"/>
      <c r="K67" s="4"/>
      <c r="L67" s="4"/>
    </row>
    <row r="68" spans="1:12">
      <c r="A68" s="4"/>
      <c r="B68" s="4"/>
      <c r="C68" s="4"/>
      <c r="D68" s="4"/>
      <c r="E68" s="4"/>
      <c r="F68" s="4"/>
      <c r="G68" s="4"/>
      <c r="H68" s="4"/>
      <c r="I68" s="4"/>
      <c r="J68" s="4"/>
      <c r="K68" s="4"/>
      <c r="L68" s="4"/>
    </row>
    <row r="69" spans="1:12">
      <c r="A69" s="4"/>
      <c r="B69" s="4"/>
      <c r="C69" s="4"/>
      <c r="D69" s="4"/>
      <c r="E69" s="4"/>
      <c r="F69" s="4"/>
      <c r="G69" s="4"/>
      <c r="H69" s="4"/>
      <c r="I69" s="4"/>
      <c r="J69" s="4"/>
      <c r="K69" s="4"/>
      <c r="L69" s="4"/>
    </row>
    <row r="70" spans="1:12">
      <c r="A70" s="4"/>
      <c r="B70" s="4"/>
      <c r="C70" s="4"/>
      <c r="D70" s="4"/>
      <c r="E70" s="4"/>
      <c r="F70" s="4"/>
      <c r="G70" s="4"/>
      <c r="H70" s="4"/>
      <c r="I70" s="4"/>
      <c r="J70" s="4"/>
      <c r="K70" s="4"/>
      <c r="L70" s="4"/>
    </row>
    <row r="71" spans="1:12">
      <c r="A71" s="4"/>
      <c r="B71" s="4"/>
      <c r="C71" s="4"/>
      <c r="D71" s="4"/>
      <c r="E71" s="4"/>
      <c r="F71" s="4"/>
      <c r="G71" s="4"/>
      <c r="H71" s="4"/>
      <c r="I71" s="4"/>
      <c r="J71" s="4"/>
      <c r="K71" s="4"/>
      <c r="L71" s="4"/>
    </row>
    <row r="72" spans="1:12">
      <c r="A72" s="4"/>
      <c r="B72" s="4"/>
      <c r="C72" s="4"/>
      <c r="D72" s="4"/>
      <c r="E72" s="4"/>
      <c r="F72" s="4"/>
      <c r="G72" s="4"/>
      <c r="H72" s="4"/>
      <c r="I72" s="4"/>
      <c r="J72" s="4"/>
      <c r="K72" s="4"/>
      <c r="L72" s="4"/>
    </row>
    <row r="73" spans="1:12">
      <c r="A73" s="4"/>
      <c r="B73" s="4"/>
      <c r="C73" s="4"/>
      <c r="D73" s="4"/>
      <c r="E73" s="4"/>
      <c r="F73" s="4"/>
      <c r="G73" s="4"/>
      <c r="H73" s="4"/>
      <c r="I73" s="4"/>
      <c r="J73" s="4"/>
      <c r="K73" s="4"/>
      <c r="L73" s="4"/>
    </row>
    <row r="74" spans="1:12">
      <c r="A74" s="4"/>
      <c r="B74" s="4"/>
      <c r="C74" s="4"/>
      <c r="D74" s="4"/>
      <c r="E74" s="4"/>
      <c r="F74" s="4"/>
      <c r="G74" s="4"/>
      <c r="H74" s="4"/>
      <c r="I74" s="4"/>
      <c r="J74" s="4"/>
      <c r="K74" s="4"/>
      <c r="L74" s="4"/>
    </row>
    <row r="75" spans="1:12">
      <c r="A75" s="4"/>
      <c r="B75" s="4"/>
      <c r="C75" s="4"/>
      <c r="D75" s="4"/>
      <c r="E75" s="4"/>
      <c r="F75" s="4"/>
      <c r="G75" s="4"/>
      <c r="H75" s="4"/>
      <c r="I75" s="4"/>
      <c r="J75" s="4"/>
      <c r="K75" s="4"/>
      <c r="L75" s="4"/>
    </row>
    <row r="76" spans="1:12">
      <c r="A76" s="4"/>
      <c r="B76" s="4"/>
      <c r="C76" s="4"/>
      <c r="D76" s="4"/>
      <c r="E76" s="4"/>
      <c r="F76" s="4"/>
      <c r="G76" s="4"/>
      <c r="H76" s="4"/>
      <c r="I76" s="4"/>
      <c r="J76" s="4"/>
      <c r="K76" s="4"/>
      <c r="L76" s="4"/>
    </row>
    <row r="77" spans="1:12">
      <c r="A77" s="4"/>
      <c r="B77" s="4"/>
      <c r="C77" s="4"/>
      <c r="D77" s="4"/>
      <c r="E77" s="4"/>
      <c r="F77" s="4"/>
      <c r="G77" s="4"/>
      <c r="H77" s="4"/>
      <c r="I77" s="4"/>
      <c r="J77" s="4"/>
      <c r="K77" s="4"/>
      <c r="L77" s="4"/>
    </row>
    <row r="78" spans="1:12">
      <c r="A78" s="4"/>
      <c r="B78" s="4"/>
      <c r="C78" s="4"/>
      <c r="D78" s="4"/>
      <c r="E78" s="4"/>
      <c r="F78" s="4"/>
      <c r="G78" s="4"/>
      <c r="H78" s="4"/>
      <c r="I78" s="4"/>
      <c r="J78" s="4"/>
      <c r="K78" s="4"/>
      <c r="L78" s="4"/>
    </row>
    <row r="79" spans="1:12">
      <c r="A79" s="4"/>
      <c r="B79" s="4"/>
      <c r="C79" s="4"/>
      <c r="D79" s="4"/>
      <c r="E79" s="4"/>
      <c r="F79" s="4"/>
      <c r="G79" s="4"/>
      <c r="H79" s="4"/>
      <c r="I79" s="4"/>
      <c r="J79" s="4"/>
      <c r="K79" s="4"/>
      <c r="L79" s="4"/>
    </row>
    <row r="80" spans="1:12">
      <c r="A80" s="4"/>
      <c r="B80" s="4"/>
      <c r="C80" s="4"/>
      <c r="D80" s="4"/>
      <c r="E80" s="4"/>
      <c r="F80" s="4"/>
      <c r="G80" s="4"/>
      <c r="H80" s="4"/>
      <c r="I80" s="4"/>
      <c r="J80" s="4"/>
      <c r="K80" s="4"/>
      <c r="L80" s="4"/>
    </row>
    <row r="81" spans="1:12">
      <c r="A81" s="4"/>
      <c r="B81" s="4"/>
      <c r="C81" s="4"/>
      <c r="D81" s="4"/>
      <c r="E81" s="4"/>
      <c r="F81" s="4"/>
      <c r="G81" s="4"/>
      <c r="H81" s="4"/>
      <c r="I81" s="4"/>
      <c r="J81" s="4"/>
      <c r="K81" s="4"/>
      <c r="L81" s="4"/>
    </row>
    <row r="82" spans="1:12">
      <c r="A82" s="4"/>
      <c r="B82" s="4"/>
      <c r="C82" s="4"/>
      <c r="D82" s="4"/>
      <c r="E82" s="4"/>
      <c r="F82" s="4"/>
      <c r="G82" s="4"/>
      <c r="H82" s="4"/>
      <c r="I82" s="4"/>
      <c r="J82" s="4"/>
      <c r="K82" s="4"/>
      <c r="L82" s="4"/>
    </row>
    <row r="83" spans="1:12">
      <c r="A83" s="4"/>
      <c r="B83" s="4"/>
      <c r="C83" s="4"/>
      <c r="D83" s="4"/>
      <c r="E83" s="4"/>
      <c r="F83" s="4"/>
      <c r="G83" s="4"/>
      <c r="H83" s="4"/>
      <c r="I83" s="4"/>
      <c r="J83" s="4"/>
      <c r="K83" s="4"/>
      <c r="L83" s="4"/>
    </row>
    <row r="84" spans="1:12">
      <c r="A84" s="4"/>
      <c r="B84" s="4"/>
      <c r="C84" s="4"/>
      <c r="D84" s="4"/>
      <c r="E84" s="4"/>
      <c r="F84" s="4"/>
      <c r="G84" s="4"/>
      <c r="H84" s="4"/>
      <c r="I84" s="4"/>
      <c r="J84" s="4"/>
      <c r="K84" s="4"/>
      <c r="L84" s="4"/>
    </row>
    <row r="85" spans="1:12">
      <c r="A85" s="4"/>
      <c r="B85" s="4"/>
      <c r="C85" s="4"/>
      <c r="D85" s="4"/>
      <c r="E85" s="4"/>
      <c r="F85" s="4"/>
      <c r="G85" s="4"/>
      <c r="H85" s="4"/>
      <c r="I85" s="4"/>
      <c r="J85" s="4"/>
      <c r="K85" s="4"/>
      <c r="L85" s="4"/>
    </row>
    <row r="86" spans="1:12">
      <c r="A86" s="4"/>
      <c r="B86" s="4"/>
      <c r="C86" s="4"/>
      <c r="D86" s="4"/>
      <c r="E86" s="4"/>
      <c r="F86" s="4"/>
      <c r="G86" s="4"/>
      <c r="H86" s="4"/>
      <c r="I86" s="4"/>
      <c r="J86" s="4"/>
      <c r="K86" s="4"/>
      <c r="L86" s="4"/>
    </row>
    <row r="87" spans="1:12">
      <c r="A87" s="4"/>
      <c r="B87" s="4"/>
      <c r="C87" s="4"/>
      <c r="D87" s="4"/>
      <c r="E87" s="4"/>
      <c r="F87" s="4"/>
      <c r="G87" s="4"/>
      <c r="H87" s="4"/>
      <c r="I87" s="4"/>
      <c r="J87" s="4"/>
      <c r="K87" s="4"/>
      <c r="L87" s="4"/>
    </row>
    <row r="88" spans="1:12">
      <c r="A88" s="4"/>
      <c r="B88" s="4"/>
      <c r="C88" s="4"/>
      <c r="D88" s="4"/>
      <c r="E88" s="4"/>
      <c r="F88" s="4"/>
      <c r="G88" s="4"/>
      <c r="H88" s="4"/>
      <c r="I88" s="4"/>
      <c r="J88" s="4"/>
      <c r="K88" s="4"/>
      <c r="L88" s="4"/>
    </row>
    <row r="89" spans="1:12">
      <c r="A89" s="4"/>
      <c r="B89" s="4"/>
      <c r="C89" s="4"/>
      <c r="D89" s="4"/>
      <c r="E89" s="4"/>
      <c r="F89" s="4"/>
      <c r="G89" s="4"/>
      <c r="H89" s="4"/>
      <c r="I89" s="4"/>
      <c r="J89" s="4"/>
      <c r="K89" s="4"/>
      <c r="L89" s="4"/>
    </row>
    <row r="90" spans="1:12">
      <c r="A90" s="4"/>
      <c r="B90" s="4"/>
      <c r="C90" s="4"/>
      <c r="D90" s="4"/>
      <c r="E90" s="4"/>
      <c r="F90" s="4"/>
      <c r="G90" s="4"/>
      <c r="H90" s="4"/>
      <c r="I90" s="4"/>
      <c r="J90" s="4"/>
      <c r="K90" s="4"/>
      <c r="L90" s="4"/>
    </row>
    <row r="91" spans="1:12">
      <c r="A91" s="4"/>
      <c r="B91" s="4"/>
      <c r="C91" s="4"/>
      <c r="D91" s="4"/>
      <c r="E91" s="4"/>
      <c r="F91" s="4"/>
      <c r="G91" s="4"/>
      <c r="H91" s="4"/>
      <c r="I91" s="4"/>
      <c r="J91" s="4"/>
      <c r="K91" s="4"/>
      <c r="L91" s="4"/>
    </row>
    <row r="92" spans="1:12">
      <c r="A92" s="4"/>
      <c r="B92" s="4"/>
      <c r="C92" s="4"/>
      <c r="D92" s="4"/>
      <c r="E92" s="4"/>
      <c r="F92" s="4"/>
      <c r="G92" s="4"/>
      <c r="H92" s="4"/>
      <c r="I92" s="4"/>
      <c r="J92" s="4"/>
      <c r="K92" s="4"/>
      <c r="L92" s="4"/>
    </row>
    <row r="93" spans="1:12">
      <c r="A93" s="4"/>
      <c r="B93" s="4"/>
      <c r="C93" s="4"/>
      <c r="D93" s="4"/>
      <c r="E93" s="4"/>
      <c r="F93" s="4"/>
      <c r="G93" s="4"/>
      <c r="H93" s="4"/>
      <c r="I93" s="4"/>
      <c r="J93" s="4"/>
      <c r="K93" s="4"/>
      <c r="L93" s="4"/>
    </row>
    <row r="94" spans="1:12">
      <c r="A94" s="4"/>
      <c r="B94" s="4"/>
      <c r="C94" s="4"/>
      <c r="D94" s="4"/>
      <c r="E94" s="4"/>
      <c r="F94" s="4"/>
      <c r="G94" s="4"/>
      <c r="H94" s="4"/>
      <c r="I94" s="4"/>
      <c r="J94" s="4"/>
      <c r="K94" s="4"/>
      <c r="L94" s="4"/>
    </row>
    <row r="95" spans="1:12">
      <c r="A95" s="4"/>
      <c r="B95" s="4"/>
      <c r="C95" s="4"/>
      <c r="D95" s="4"/>
      <c r="E95" s="4"/>
      <c r="F95" s="4"/>
      <c r="G95" s="4"/>
      <c r="H95" s="4"/>
      <c r="I95" s="4"/>
      <c r="J95" s="4"/>
      <c r="K95" s="4"/>
      <c r="L95" s="4"/>
    </row>
    <row r="96" spans="1:12">
      <c r="A96" s="4"/>
      <c r="B96" s="4"/>
      <c r="C96" s="4"/>
      <c r="D96" s="4"/>
      <c r="E96" s="4"/>
      <c r="F96" s="4"/>
      <c r="G96" s="4"/>
      <c r="H96" s="4"/>
      <c r="I96" s="4"/>
      <c r="J96" s="4"/>
      <c r="K96" s="4"/>
      <c r="L96" s="4"/>
    </row>
    <row r="97" spans="1:12">
      <c r="A97" s="4"/>
      <c r="B97" s="4"/>
      <c r="C97" s="4"/>
      <c r="D97" s="4"/>
      <c r="E97" s="4"/>
      <c r="F97" s="4"/>
      <c r="G97" s="4"/>
      <c r="H97" s="4"/>
      <c r="I97" s="4"/>
      <c r="J97" s="4"/>
      <c r="K97" s="4"/>
      <c r="L97" s="4"/>
    </row>
    <row r="98" spans="1:12">
      <c r="A98" s="4"/>
      <c r="B98" s="4"/>
      <c r="C98" s="4"/>
      <c r="D98" s="4"/>
      <c r="E98" s="4"/>
      <c r="F98" s="4"/>
      <c r="G98" s="4"/>
      <c r="H98" s="4"/>
      <c r="I98" s="4"/>
      <c r="J98" s="4"/>
      <c r="K98" s="4"/>
      <c r="L98" s="4"/>
    </row>
    <row r="99" spans="1:12">
      <c r="A99" s="4"/>
      <c r="B99" s="4"/>
      <c r="C99" s="4"/>
      <c r="D99" s="4"/>
      <c r="E99" s="4"/>
      <c r="F99" s="4"/>
      <c r="G99" s="4"/>
      <c r="H99" s="4"/>
      <c r="I99" s="4"/>
      <c r="J99" s="4"/>
      <c r="K99" s="4"/>
      <c r="L99" s="4"/>
    </row>
    <row r="100" spans="1:12">
      <c r="A100" s="4"/>
      <c r="B100" s="4"/>
      <c r="C100" s="4"/>
      <c r="D100" s="4"/>
      <c r="E100" s="4"/>
      <c r="F100" s="4"/>
      <c r="G100" s="4"/>
      <c r="H100" s="4"/>
      <c r="I100" s="4"/>
      <c r="J100" s="4"/>
      <c r="K100" s="4"/>
      <c r="L100" s="4"/>
    </row>
    <row r="101" spans="1:12">
      <c r="A101" s="4"/>
      <c r="B101" s="4"/>
      <c r="C101" s="4"/>
      <c r="D101" s="4"/>
      <c r="E101" s="4"/>
      <c r="F101" s="4"/>
      <c r="G101" s="4"/>
      <c r="H101" s="4"/>
      <c r="I101" s="4"/>
      <c r="J101" s="4"/>
      <c r="K101" s="4"/>
      <c r="L101" s="4"/>
    </row>
    <row r="102" spans="1:12">
      <c r="A102" s="4"/>
      <c r="B102" s="4"/>
      <c r="C102" s="4"/>
      <c r="D102" s="4"/>
      <c r="E102" s="4"/>
      <c r="F102" s="4"/>
      <c r="G102" s="4"/>
      <c r="H102" s="4"/>
      <c r="I102" s="4"/>
      <c r="J102" s="4"/>
      <c r="K102" s="4"/>
      <c r="L102" s="4"/>
    </row>
    <row r="103" spans="1:12">
      <c r="A103" s="4"/>
      <c r="B103" s="4"/>
      <c r="C103" s="4"/>
      <c r="D103" s="4"/>
      <c r="E103" s="4"/>
      <c r="F103" s="4"/>
      <c r="G103" s="4"/>
      <c r="H103" s="4"/>
      <c r="I103" s="4"/>
      <c r="J103" s="4"/>
      <c r="K103" s="4"/>
      <c r="L103" s="4"/>
    </row>
    <row r="104" spans="1:12">
      <c r="A104" s="4"/>
      <c r="B104" s="4"/>
      <c r="C104" s="4"/>
      <c r="D104" s="4"/>
      <c r="E104" s="4"/>
      <c r="F104" s="4"/>
      <c r="G104" s="4"/>
      <c r="H104" s="4"/>
      <c r="I104" s="4"/>
      <c r="J104" s="4"/>
      <c r="K104" s="4"/>
      <c r="L104" s="4"/>
    </row>
    <row r="105" spans="1:12">
      <c r="A105" s="4"/>
      <c r="B105" s="4"/>
      <c r="C105" s="4"/>
      <c r="D105" s="4"/>
      <c r="E105" s="4"/>
      <c r="F105" s="4"/>
      <c r="G105" s="4"/>
      <c r="H105" s="4"/>
      <c r="I105" s="4"/>
      <c r="J105" s="4"/>
      <c r="K105" s="4"/>
      <c r="L105" s="4"/>
    </row>
    <row r="106" spans="1:12">
      <c r="A106" s="4"/>
      <c r="B106" s="4"/>
      <c r="C106" s="4"/>
      <c r="D106" s="4"/>
      <c r="E106" s="4"/>
      <c r="F106" s="4"/>
      <c r="G106" s="4"/>
      <c r="H106" s="4"/>
      <c r="I106" s="4"/>
      <c r="J106" s="4"/>
      <c r="K106" s="4"/>
      <c r="L106" s="4"/>
    </row>
    <row r="107" spans="1:12">
      <c r="A107" s="4"/>
      <c r="B107" s="4"/>
      <c r="C107" s="4"/>
      <c r="D107" s="4"/>
      <c r="E107" s="4"/>
      <c r="F107" s="4"/>
      <c r="G107" s="4"/>
      <c r="H107" s="4"/>
      <c r="I107" s="4"/>
      <c r="J107" s="4"/>
      <c r="K107" s="4"/>
      <c r="L107" s="4"/>
    </row>
    <row r="108" spans="1:12">
      <c r="A108" s="4"/>
      <c r="B108" s="4"/>
      <c r="C108" s="4"/>
      <c r="D108" s="4"/>
      <c r="E108" s="4"/>
      <c r="F108" s="4"/>
      <c r="G108" s="4"/>
      <c r="H108" s="4"/>
      <c r="I108" s="4"/>
      <c r="J108" s="4"/>
      <c r="K108" s="4"/>
      <c r="L108" s="4"/>
    </row>
    <row r="109" spans="1:12">
      <c r="A109" s="4"/>
      <c r="B109" s="4"/>
      <c r="C109" s="4"/>
      <c r="D109" s="4"/>
      <c r="E109" s="4"/>
      <c r="F109" s="4"/>
      <c r="G109" s="4"/>
      <c r="H109" s="4"/>
      <c r="I109" s="4"/>
      <c r="J109" s="4"/>
      <c r="K109" s="4"/>
      <c r="L109" s="4"/>
    </row>
    <row r="110" spans="1:12">
      <c r="A110" s="4"/>
      <c r="B110" s="4"/>
      <c r="C110" s="4"/>
      <c r="D110" s="4"/>
      <c r="E110" s="4"/>
      <c r="F110" s="4"/>
      <c r="G110" s="4"/>
      <c r="H110" s="4"/>
      <c r="I110" s="4"/>
      <c r="J110" s="4"/>
      <c r="K110" s="4"/>
      <c r="L110" s="4"/>
    </row>
    <row r="111" spans="1:12">
      <c r="A111" s="4"/>
      <c r="B111" s="4"/>
      <c r="C111" s="4"/>
      <c r="D111" s="4"/>
      <c r="E111" s="4"/>
      <c r="F111" s="4"/>
      <c r="G111" s="4"/>
      <c r="H111" s="4"/>
      <c r="I111" s="4"/>
      <c r="J111" s="4"/>
      <c r="K111" s="4"/>
      <c r="L111" s="4"/>
    </row>
    <row r="112" spans="1:12">
      <c r="A112" s="4"/>
      <c r="B112" s="4"/>
      <c r="C112" s="4"/>
      <c r="D112" s="4"/>
      <c r="E112" s="4"/>
      <c r="F112" s="4"/>
      <c r="G112" s="4"/>
      <c r="H112" s="4"/>
      <c r="I112" s="4"/>
      <c r="J112" s="4"/>
      <c r="K112" s="4"/>
      <c r="L112" s="4"/>
    </row>
    <row r="113" spans="1:12">
      <c r="A113" s="4"/>
      <c r="B113" s="4"/>
      <c r="C113" s="4"/>
      <c r="D113" s="4"/>
      <c r="E113" s="4"/>
      <c r="F113" s="4"/>
      <c r="G113" s="4"/>
      <c r="H113" s="4"/>
      <c r="I113" s="4"/>
      <c r="J113" s="4"/>
      <c r="K113" s="4"/>
      <c r="L113" s="4"/>
    </row>
    <row r="114" spans="1:12">
      <c r="A114" s="4"/>
      <c r="B114" s="4"/>
      <c r="C114" s="4"/>
      <c r="D114" s="4"/>
      <c r="E114" s="4"/>
      <c r="F114" s="4"/>
      <c r="G114" s="4"/>
      <c r="H114" s="4"/>
      <c r="I114" s="4"/>
      <c r="J114" s="4"/>
      <c r="K114" s="4"/>
      <c r="L114" s="4"/>
    </row>
    <row r="115" spans="1:12">
      <c r="A115" s="4"/>
      <c r="B115" s="4"/>
      <c r="C115" s="4"/>
      <c r="D115" s="4"/>
      <c r="E115" s="4"/>
      <c r="F115" s="4"/>
      <c r="G115" s="4"/>
      <c r="H115" s="4"/>
      <c r="I115" s="4"/>
      <c r="J115" s="4"/>
      <c r="K115" s="4"/>
      <c r="L115" s="4"/>
    </row>
    <row r="116" spans="1:12">
      <c r="A116" s="4"/>
      <c r="B116" s="4"/>
      <c r="C116" s="4"/>
      <c r="D116" s="4"/>
      <c r="E116" s="4"/>
      <c r="F116" s="4"/>
      <c r="G116" s="4"/>
      <c r="H116" s="4"/>
      <c r="I116" s="4"/>
      <c r="J116" s="4"/>
      <c r="K116" s="4"/>
      <c r="L116" s="4"/>
    </row>
    <row r="117" spans="1:12">
      <c r="A117" s="4"/>
      <c r="B117" s="4"/>
      <c r="C117" s="4"/>
      <c r="D117" s="4"/>
      <c r="E117" s="4"/>
      <c r="F117" s="4"/>
      <c r="G117" s="4"/>
      <c r="H117" s="4"/>
      <c r="I117" s="4"/>
      <c r="J117" s="4"/>
      <c r="K117" s="4"/>
      <c r="L117" s="4"/>
    </row>
    <row r="118" spans="1:12">
      <c r="A118" s="4"/>
      <c r="B118" s="4"/>
      <c r="C118" s="4"/>
      <c r="D118" s="4"/>
      <c r="E118" s="4"/>
      <c r="F118" s="4"/>
      <c r="G118" s="4"/>
      <c r="H118" s="4"/>
      <c r="I118" s="4"/>
      <c r="J118" s="4"/>
      <c r="K118" s="4"/>
      <c r="L118" s="4"/>
    </row>
    <row r="119" spans="1:12">
      <c r="A119" s="4"/>
      <c r="B119" s="4"/>
      <c r="C119" s="4"/>
      <c r="D119" s="4"/>
      <c r="E119" s="4"/>
      <c r="F119" s="4"/>
      <c r="G119" s="4"/>
      <c r="H119" s="4"/>
      <c r="I119" s="4"/>
      <c r="J119" s="4"/>
      <c r="K119" s="4"/>
      <c r="L119" s="4"/>
    </row>
    <row r="120" spans="1:12">
      <c r="A120" s="4"/>
      <c r="B120" s="4"/>
      <c r="C120" s="4"/>
      <c r="D120" s="4"/>
      <c r="E120" s="4"/>
      <c r="F120" s="4"/>
      <c r="G120" s="4"/>
      <c r="H120" s="4"/>
      <c r="I120" s="4"/>
      <c r="J120" s="4"/>
      <c r="K120" s="4"/>
      <c r="L120" s="4"/>
    </row>
    <row r="121" spans="1:12">
      <c r="A121" s="4"/>
      <c r="B121" s="4"/>
      <c r="C121" s="4"/>
      <c r="D121" s="4"/>
      <c r="E121" s="4"/>
      <c r="F121" s="4"/>
      <c r="G121" s="4"/>
      <c r="H121" s="4"/>
      <c r="I121" s="4"/>
      <c r="J121" s="4"/>
      <c r="K121" s="4"/>
      <c r="L121" s="4"/>
    </row>
    <row r="122" spans="1:12">
      <c r="A122" s="4"/>
      <c r="B122" s="4"/>
      <c r="C122" s="4"/>
      <c r="D122" s="4"/>
      <c r="E122" s="4"/>
      <c r="F122" s="4"/>
      <c r="G122" s="4"/>
      <c r="H122" s="4"/>
      <c r="I122" s="4"/>
      <c r="J122" s="4"/>
      <c r="K122" s="4"/>
      <c r="L122" s="4"/>
    </row>
    <row r="123" spans="1:12">
      <c r="A123" s="4"/>
      <c r="B123" s="4"/>
      <c r="C123" s="4"/>
      <c r="D123" s="4"/>
      <c r="E123" s="4"/>
      <c r="F123" s="4"/>
      <c r="G123" s="4"/>
      <c r="H123" s="4"/>
      <c r="I123" s="4"/>
      <c r="J123" s="4"/>
      <c r="K123" s="4"/>
      <c r="L123" s="4"/>
    </row>
    <row r="124" spans="1:12">
      <c r="A124" s="4"/>
      <c r="B124" s="4"/>
      <c r="C124" s="4"/>
      <c r="D124" s="4"/>
      <c r="E124" s="4"/>
      <c r="F124" s="4"/>
      <c r="G124" s="4"/>
      <c r="H124" s="4"/>
      <c r="I124" s="4"/>
      <c r="J124" s="4"/>
      <c r="K124" s="4"/>
      <c r="L124" s="4"/>
    </row>
    <row r="125" spans="1:12">
      <c r="A125" s="4"/>
      <c r="B125" s="4"/>
      <c r="C125" s="4"/>
      <c r="D125" s="4"/>
      <c r="E125" s="4"/>
      <c r="F125" s="4"/>
      <c r="G125" s="4"/>
      <c r="H125" s="4"/>
      <c r="I125" s="4"/>
      <c r="J125" s="4"/>
      <c r="K125" s="4"/>
      <c r="L125" s="4"/>
    </row>
    <row r="126" spans="1:12">
      <c r="A126" s="4"/>
      <c r="B126" s="4"/>
      <c r="C126" s="4"/>
      <c r="D126" s="4"/>
      <c r="E126" s="4"/>
      <c r="F126" s="4"/>
      <c r="G126" s="4"/>
      <c r="H126" s="4"/>
      <c r="I126" s="4"/>
      <c r="J126" s="4"/>
      <c r="K126" s="4"/>
      <c r="L126" s="4"/>
    </row>
    <row r="127" spans="1:12">
      <c r="A127" s="4"/>
      <c r="B127" s="4"/>
      <c r="C127" s="4"/>
      <c r="D127" s="4"/>
      <c r="E127" s="4"/>
      <c r="F127" s="4"/>
      <c r="G127" s="4"/>
      <c r="H127" s="4"/>
      <c r="I127" s="4"/>
      <c r="J127" s="4"/>
      <c r="K127" s="4"/>
      <c r="L127" s="4"/>
    </row>
    <row r="128" spans="1:12">
      <c r="A128" s="4"/>
      <c r="B128" s="4"/>
      <c r="C128" s="4"/>
      <c r="D128" s="4"/>
      <c r="E128" s="4"/>
      <c r="F128" s="4"/>
      <c r="G128" s="4"/>
      <c r="H128" s="4"/>
      <c r="I128" s="4"/>
      <c r="J128" s="4"/>
      <c r="K128" s="4"/>
      <c r="L128" s="4"/>
    </row>
    <row r="129" spans="1:12">
      <c r="A129" s="4"/>
      <c r="B129" s="4"/>
      <c r="C129" s="4"/>
      <c r="D129" s="4"/>
      <c r="E129" s="4"/>
      <c r="F129" s="4"/>
      <c r="G129" s="4"/>
      <c r="H129" s="4"/>
      <c r="I129" s="4"/>
      <c r="J129" s="4"/>
      <c r="K129" s="4"/>
      <c r="L129" s="4"/>
    </row>
    <row r="130" spans="1:12">
      <c r="A130" s="4"/>
      <c r="B130" s="4"/>
      <c r="C130" s="4"/>
      <c r="D130" s="4"/>
      <c r="E130" s="4"/>
      <c r="F130" s="4"/>
      <c r="G130" s="4"/>
      <c r="H130" s="4"/>
      <c r="I130" s="4"/>
      <c r="J130" s="4"/>
      <c r="K130" s="4"/>
      <c r="L130" s="4"/>
    </row>
    <row r="131" spans="1:12">
      <c r="A131" s="4"/>
      <c r="B131" s="4"/>
      <c r="C131" s="4"/>
      <c r="D131" s="4"/>
      <c r="E131" s="4"/>
      <c r="F131" s="4"/>
      <c r="G131" s="4"/>
      <c r="H131" s="4"/>
      <c r="I131" s="4"/>
      <c r="J131" s="4"/>
      <c r="K131" s="4"/>
      <c r="L131" s="4"/>
    </row>
    <row r="132" spans="1:12">
      <c r="A132" s="4"/>
      <c r="B132" s="4"/>
      <c r="C132" s="4"/>
      <c r="D132" s="4"/>
      <c r="E132" s="4"/>
      <c r="F132" s="4"/>
      <c r="G132" s="4"/>
      <c r="H132" s="4"/>
      <c r="I132" s="4"/>
      <c r="J132" s="4"/>
      <c r="K132" s="4"/>
      <c r="L132" s="4"/>
    </row>
    <row r="133" spans="1:12">
      <c r="A133" s="4"/>
      <c r="B133" s="4"/>
      <c r="C133" s="4"/>
      <c r="D133" s="4"/>
      <c r="E133" s="4"/>
      <c r="F133" s="4"/>
      <c r="G133" s="4"/>
      <c r="H133" s="4"/>
      <c r="I133" s="4"/>
      <c r="J133" s="4"/>
      <c r="K133" s="4"/>
      <c r="L133" s="4"/>
    </row>
    <row r="134" spans="1:12">
      <c r="A134" s="4"/>
      <c r="B134" s="4"/>
      <c r="C134" s="4"/>
      <c r="D134" s="4"/>
      <c r="E134" s="4"/>
      <c r="F134" s="4"/>
      <c r="G134" s="4"/>
      <c r="H134" s="4"/>
      <c r="I134" s="4"/>
      <c r="J134" s="4"/>
      <c r="K134" s="4"/>
      <c r="L134" s="4"/>
    </row>
    <row r="135" spans="1:12">
      <c r="A135" s="4"/>
      <c r="B135" s="4"/>
      <c r="C135" s="4"/>
      <c r="D135" s="4"/>
      <c r="E135" s="4"/>
      <c r="F135" s="4"/>
      <c r="G135" s="4"/>
      <c r="H135" s="4"/>
      <c r="I135" s="4"/>
      <c r="J135" s="4"/>
      <c r="K135" s="4"/>
      <c r="L135" s="4"/>
    </row>
    <row r="136" spans="1:12">
      <c r="A136" s="4"/>
      <c r="B136" s="4"/>
      <c r="C136" s="4"/>
      <c r="D136" s="4"/>
      <c r="E136" s="4"/>
      <c r="F136" s="4"/>
      <c r="G136" s="4"/>
      <c r="H136" s="4"/>
      <c r="I136" s="4"/>
      <c r="J136" s="4"/>
      <c r="K136" s="4"/>
      <c r="L136" s="4"/>
    </row>
    <row r="137" spans="1:12">
      <c r="A137" s="4"/>
      <c r="B137" s="4"/>
      <c r="C137" s="4"/>
      <c r="D137" s="4"/>
      <c r="E137" s="4"/>
      <c r="F137" s="4"/>
      <c r="G137" s="4"/>
      <c r="H137" s="4"/>
      <c r="I137" s="4"/>
      <c r="J137" s="4"/>
      <c r="K137" s="4"/>
      <c r="L137" s="4"/>
    </row>
    <row r="138" spans="1:12">
      <c r="A138" s="4"/>
      <c r="B138" s="4"/>
      <c r="C138" s="4"/>
      <c r="D138" s="4"/>
      <c r="E138" s="4"/>
      <c r="F138" s="4"/>
      <c r="G138" s="4"/>
      <c r="H138" s="4"/>
      <c r="I138" s="4"/>
      <c r="J138" s="4"/>
      <c r="K138" s="4"/>
      <c r="L138" s="4"/>
    </row>
    <row r="139" spans="1:12">
      <c r="A139" s="4"/>
      <c r="B139" s="4"/>
      <c r="C139" s="4"/>
      <c r="D139" s="4"/>
      <c r="E139" s="4"/>
      <c r="F139" s="4"/>
      <c r="G139" s="4"/>
      <c r="H139" s="4"/>
      <c r="I139" s="4"/>
      <c r="J139" s="4"/>
      <c r="K139" s="4"/>
      <c r="L139" s="4"/>
    </row>
    <row r="140" spans="1:12">
      <c r="A140" s="4"/>
      <c r="B140" s="4"/>
      <c r="C140" s="4"/>
      <c r="D140" s="4"/>
      <c r="E140" s="4"/>
      <c r="F140" s="4"/>
      <c r="G140" s="4"/>
      <c r="H140" s="4"/>
      <c r="I140" s="4"/>
      <c r="J140" s="4"/>
      <c r="K140" s="4"/>
      <c r="L140" s="4"/>
    </row>
    <row r="141" spans="1:12">
      <c r="A141" s="4"/>
      <c r="B141" s="4"/>
      <c r="C141" s="4"/>
      <c r="D141" s="4"/>
      <c r="E141" s="4"/>
      <c r="F141" s="4"/>
      <c r="G141" s="4"/>
      <c r="H141" s="4"/>
      <c r="I141" s="4"/>
      <c r="J141" s="4"/>
      <c r="K141" s="4"/>
      <c r="L141" s="4"/>
    </row>
    <row r="142" spans="1:12">
      <c r="A142" s="4"/>
      <c r="B142" s="4"/>
      <c r="C142" s="4"/>
      <c r="D142" s="4"/>
      <c r="E142" s="4"/>
      <c r="F142" s="4"/>
      <c r="G142" s="4"/>
      <c r="H142" s="4"/>
      <c r="I142" s="4"/>
      <c r="J142" s="4"/>
      <c r="K142" s="4"/>
      <c r="L142" s="4"/>
    </row>
    <row r="143" spans="1:12">
      <c r="A143" s="4"/>
      <c r="B143" s="4"/>
      <c r="C143" s="4"/>
      <c r="D143" s="4"/>
      <c r="E143" s="4"/>
      <c r="F143" s="4"/>
      <c r="G143" s="4"/>
      <c r="H143" s="4"/>
      <c r="I143" s="4"/>
      <c r="J143" s="4"/>
      <c r="K143" s="4"/>
      <c r="L143" s="4"/>
    </row>
    <row r="144" spans="1:12">
      <c r="A144" s="4"/>
      <c r="B144" s="4"/>
      <c r="C144" s="4"/>
      <c r="D144" s="4"/>
      <c r="E144" s="4"/>
      <c r="F144" s="4"/>
      <c r="G144" s="4"/>
      <c r="H144" s="4"/>
      <c r="I144" s="4"/>
      <c r="J144" s="4"/>
      <c r="K144" s="4"/>
      <c r="L144" s="4"/>
    </row>
    <row r="145" spans="1:12">
      <c r="A145" s="4"/>
      <c r="B145" s="4"/>
      <c r="C145" s="4"/>
      <c r="D145" s="4"/>
      <c r="E145" s="4"/>
      <c r="F145" s="4"/>
      <c r="G145" s="4"/>
      <c r="H145" s="4"/>
      <c r="I145" s="4"/>
      <c r="J145" s="4"/>
      <c r="K145" s="4"/>
      <c r="L145" s="4"/>
    </row>
    <row r="146" spans="1:12">
      <c r="A146" s="4"/>
      <c r="B146" s="4"/>
      <c r="C146" s="4"/>
      <c r="D146" s="4"/>
      <c r="E146" s="4"/>
      <c r="F146" s="4"/>
      <c r="G146" s="4"/>
      <c r="H146" s="4"/>
      <c r="I146" s="4"/>
      <c r="J146" s="4"/>
      <c r="K146" s="4"/>
      <c r="L146" s="4"/>
    </row>
    <row r="147" spans="1:12">
      <c r="A147" s="4"/>
      <c r="B147" s="4"/>
      <c r="C147" s="4"/>
      <c r="D147" s="4"/>
      <c r="E147" s="4"/>
      <c r="F147" s="4"/>
      <c r="G147" s="4"/>
      <c r="H147" s="4"/>
      <c r="I147" s="4"/>
      <c r="J147" s="4"/>
      <c r="K147" s="4"/>
      <c r="L147" s="4"/>
    </row>
    <row r="148" spans="1:12">
      <c r="A148" s="4"/>
      <c r="B148" s="4"/>
      <c r="C148" s="4"/>
      <c r="D148" s="4"/>
      <c r="E148" s="4"/>
      <c r="F148" s="4"/>
      <c r="G148" s="4"/>
      <c r="H148" s="4"/>
      <c r="I148" s="4"/>
      <c r="J148" s="4"/>
      <c r="K148" s="4"/>
      <c r="L148" s="4"/>
    </row>
    <row r="149" spans="1:12">
      <c r="A149" s="4"/>
      <c r="B149" s="4"/>
      <c r="C149" s="4"/>
      <c r="D149" s="4"/>
      <c r="E149" s="4"/>
      <c r="F149" s="4"/>
      <c r="G149" s="4"/>
      <c r="H149" s="4"/>
      <c r="I149" s="4"/>
      <c r="J149" s="4"/>
      <c r="K149" s="4"/>
      <c r="L149" s="4"/>
    </row>
    <row r="150" spans="1:12">
      <c r="A150" s="4"/>
      <c r="B150" s="4"/>
      <c r="C150" s="4"/>
      <c r="D150" s="4"/>
      <c r="E150" s="4"/>
      <c r="F150" s="4"/>
      <c r="G150" s="4"/>
      <c r="H150" s="4"/>
      <c r="I150" s="4"/>
      <c r="J150" s="4"/>
      <c r="K150" s="4"/>
      <c r="L150" s="4"/>
    </row>
    <row r="151" spans="1:12">
      <c r="A151" s="4"/>
      <c r="B151" s="4"/>
      <c r="C151" s="4"/>
      <c r="D151" s="4"/>
      <c r="E151" s="4"/>
      <c r="F151" s="4"/>
      <c r="G151" s="4"/>
      <c r="H151" s="4"/>
      <c r="I151" s="4"/>
      <c r="J151" s="4"/>
      <c r="K151" s="4"/>
      <c r="L151" s="4"/>
    </row>
    <row r="152" spans="1:12">
      <c r="A152" s="4"/>
      <c r="B152" s="4"/>
      <c r="C152" s="4"/>
      <c r="D152" s="4"/>
      <c r="E152" s="4"/>
      <c r="F152" s="4"/>
      <c r="G152" s="4"/>
      <c r="H152" s="4"/>
      <c r="I152" s="4"/>
      <c r="J152" s="4"/>
      <c r="K152" s="4"/>
      <c r="L152" s="4"/>
    </row>
    <row r="153" spans="1:12">
      <c r="A153" s="4"/>
      <c r="B153" s="4"/>
      <c r="C153" s="4"/>
      <c r="D153" s="4"/>
      <c r="E153" s="4"/>
      <c r="F153" s="4"/>
      <c r="G153" s="4"/>
      <c r="H153" s="4"/>
      <c r="I153" s="4"/>
      <c r="J153" s="4"/>
      <c r="K153" s="4"/>
      <c r="L153" s="4"/>
    </row>
    <row r="154" spans="1:12">
      <c r="A154" s="4"/>
      <c r="B154" s="4"/>
      <c r="C154" s="4"/>
      <c r="D154" s="4"/>
      <c r="E154" s="4"/>
      <c r="F154" s="4"/>
      <c r="G154" s="4"/>
      <c r="H154" s="4"/>
      <c r="I154" s="4"/>
      <c r="J154" s="4"/>
      <c r="K154" s="4"/>
      <c r="L154" s="4"/>
    </row>
    <row r="155" spans="1:12">
      <c r="A155" s="4"/>
      <c r="B155" s="4"/>
      <c r="C155" s="4"/>
      <c r="D155" s="4"/>
      <c r="E155" s="4"/>
      <c r="F155" s="4"/>
      <c r="G155" s="4"/>
      <c r="H155" s="4"/>
      <c r="I155" s="4"/>
      <c r="J155" s="4"/>
      <c r="K155" s="4"/>
      <c r="L155" s="4"/>
    </row>
    <row r="156" spans="1:12">
      <c r="A156" s="4"/>
      <c r="B156" s="4"/>
      <c r="C156" s="4"/>
      <c r="D156" s="4"/>
      <c r="E156" s="4"/>
      <c r="F156" s="4"/>
      <c r="G156" s="4"/>
      <c r="H156" s="4"/>
      <c r="I156" s="4"/>
      <c r="J156" s="4"/>
      <c r="K156" s="4"/>
      <c r="L156" s="4"/>
    </row>
    <row r="157" spans="1:12">
      <c r="A157" s="4"/>
      <c r="B157" s="4"/>
      <c r="C157" s="4"/>
      <c r="D157" s="4"/>
      <c r="E157" s="4"/>
      <c r="F157" s="4"/>
      <c r="G157" s="4"/>
      <c r="H157" s="4"/>
      <c r="I157" s="4"/>
      <c r="J157" s="4"/>
      <c r="K157" s="4"/>
      <c r="L157" s="4"/>
    </row>
    <row r="158" spans="1:12">
      <c r="A158" s="4"/>
      <c r="B158" s="4"/>
      <c r="C158" s="4"/>
      <c r="D158" s="4"/>
      <c r="E158" s="4"/>
      <c r="F158" s="4"/>
      <c r="G158" s="4"/>
      <c r="H158" s="4"/>
      <c r="I158" s="4"/>
      <c r="J158" s="4"/>
      <c r="K158" s="4"/>
      <c r="L158" s="4"/>
    </row>
    <row r="159" spans="1:12">
      <c r="A159" s="4"/>
      <c r="B159" s="4"/>
      <c r="C159" s="4"/>
      <c r="D159" s="4"/>
      <c r="E159" s="4"/>
      <c r="F159" s="4"/>
      <c r="G159" s="4"/>
      <c r="H159" s="4"/>
      <c r="I159" s="4"/>
      <c r="J159" s="4"/>
      <c r="K159" s="4"/>
      <c r="L159" s="4"/>
    </row>
    <row r="160" spans="1:12">
      <c r="A160" s="4"/>
      <c r="B160" s="4"/>
      <c r="C160" s="4"/>
      <c r="D160" s="4"/>
      <c r="E160" s="4"/>
      <c r="F160" s="4"/>
      <c r="G160" s="4"/>
      <c r="H160" s="4"/>
      <c r="I160" s="4"/>
      <c r="J160" s="4"/>
      <c r="K160" s="4"/>
      <c r="L160" s="4"/>
    </row>
    <row r="161" spans="1:12">
      <c r="A161" s="4"/>
      <c r="B161" s="4"/>
      <c r="C161" s="4"/>
      <c r="D161" s="4"/>
      <c r="E161" s="4"/>
      <c r="F161" s="4"/>
      <c r="G161" s="4"/>
      <c r="H161" s="4"/>
      <c r="I161" s="4"/>
      <c r="J161" s="4"/>
      <c r="K161" s="4"/>
      <c r="L161" s="4"/>
    </row>
    <row r="162" spans="1:12">
      <c r="A162" s="4"/>
      <c r="B162" s="4"/>
      <c r="C162" s="4"/>
      <c r="D162" s="4"/>
      <c r="E162" s="4"/>
      <c r="F162" s="4"/>
      <c r="G162" s="4"/>
      <c r="H162" s="4"/>
      <c r="I162" s="4"/>
      <c r="J162" s="4"/>
      <c r="K162" s="4"/>
      <c r="L162" s="4"/>
    </row>
    <row r="163" spans="1:12">
      <c r="A163" s="4"/>
      <c r="B163" s="4"/>
      <c r="C163" s="4"/>
      <c r="D163" s="4"/>
      <c r="E163" s="4"/>
      <c r="F163" s="4"/>
      <c r="G163" s="4"/>
      <c r="H163" s="4"/>
      <c r="I163" s="4"/>
      <c r="J163" s="4"/>
      <c r="K163" s="4"/>
      <c r="L163" s="4"/>
    </row>
    <row r="164" spans="1:12">
      <c r="A164" s="4"/>
      <c r="B164" s="4"/>
      <c r="C164" s="4"/>
      <c r="D164" s="4"/>
      <c r="E164" s="4"/>
      <c r="F164" s="4"/>
      <c r="G164" s="4"/>
      <c r="H164" s="4"/>
      <c r="I164" s="4"/>
      <c r="J164" s="4"/>
      <c r="K164" s="4"/>
      <c r="L164" s="4"/>
    </row>
    <row r="165" spans="1:12">
      <c r="A165" s="4"/>
      <c r="B165" s="4"/>
      <c r="C165" s="4"/>
      <c r="D165" s="4"/>
      <c r="E165" s="4"/>
      <c r="F165" s="4"/>
      <c r="G165" s="4"/>
      <c r="H165" s="4"/>
      <c r="I165" s="4"/>
      <c r="J165" s="4"/>
      <c r="K165" s="4"/>
      <c r="L165" s="4"/>
    </row>
    <row r="166" spans="1:12">
      <c r="A166" s="4"/>
      <c r="B166" s="4"/>
      <c r="C166" s="4"/>
      <c r="D166" s="4"/>
      <c r="E166" s="4"/>
      <c r="F166" s="4"/>
      <c r="G166" s="4"/>
      <c r="H166" s="4"/>
      <c r="I166" s="4"/>
      <c r="J166" s="4"/>
      <c r="K166" s="4"/>
      <c r="L166" s="4"/>
    </row>
    <row r="167" spans="1:12">
      <c r="A167" s="4"/>
      <c r="B167" s="4"/>
      <c r="C167" s="4"/>
      <c r="D167" s="4"/>
      <c r="E167" s="4"/>
      <c r="F167" s="4"/>
      <c r="G167" s="4"/>
      <c r="H167" s="4"/>
      <c r="I167" s="4"/>
      <c r="J167" s="4"/>
      <c r="K167" s="4"/>
      <c r="L167" s="4"/>
    </row>
    <row r="168" spans="1:12">
      <c r="A168" s="4"/>
      <c r="B168" s="4"/>
      <c r="C168" s="4"/>
      <c r="D168" s="4"/>
      <c r="E168" s="4"/>
      <c r="F168" s="4"/>
      <c r="G168" s="4"/>
      <c r="H168" s="4"/>
      <c r="I168" s="4"/>
      <c r="J168" s="4"/>
      <c r="K168" s="4"/>
      <c r="L168" s="4"/>
    </row>
    <row r="169" spans="1:12">
      <c r="A169" s="4"/>
      <c r="B169" s="4"/>
      <c r="C169" s="4"/>
      <c r="D169" s="4"/>
      <c r="E169" s="4"/>
      <c r="F169" s="4"/>
      <c r="G169" s="4"/>
      <c r="H169" s="4"/>
      <c r="I169" s="4"/>
      <c r="J169" s="4"/>
      <c r="K169" s="4"/>
      <c r="L169" s="4"/>
    </row>
    <row r="170" spans="1:12">
      <c r="A170" s="4"/>
      <c r="B170" s="4"/>
      <c r="C170" s="4"/>
      <c r="D170" s="4"/>
      <c r="E170" s="4"/>
      <c r="F170" s="4"/>
      <c r="G170" s="4"/>
      <c r="H170" s="4"/>
      <c r="I170" s="4"/>
      <c r="J170" s="4"/>
      <c r="K170" s="4"/>
      <c r="L170" s="4"/>
    </row>
    <row r="171" spans="1:12">
      <c r="A171" s="4"/>
      <c r="B171" s="4"/>
      <c r="C171" s="4"/>
      <c r="D171" s="4"/>
      <c r="E171" s="4"/>
      <c r="F171" s="4"/>
      <c r="G171" s="4"/>
      <c r="H171" s="4"/>
      <c r="I171" s="4"/>
      <c r="J171" s="4"/>
      <c r="K171" s="4"/>
      <c r="L171" s="4"/>
    </row>
    <row r="172" spans="1:12">
      <c r="A172" s="4"/>
      <c r="B172" s="4"/>
      <c r="C172" s="4"/>
      <c r="D172" s="4"/>
      <c r="E172" s="4"/>
      <c r="F172" s="4"/>
      <c r="G172" s="4"/>
      <c r="H172" s="4"/>
      <c r="I172" s="4"/>
      <c r="J172" s="4"/>
      <c r="K172" s="4"/>
      <c r="L172" s="4"/>
    </row>
    <row r="173" spans="1:12">
      <c r="A173" s="4"/>
      <c r="B173" s="4"/>
      <c r="C173" s="4"/>
      <c r="D173" s="4"/>
      <c r="E173" s="4"/>
      <c r="F173" s="4"/>
      <c r="G173" s="4"/>
      <c r="H173" s="4"/>
      <c r="I173" s="4"/>
      <c r="J173" s="4"/>
      <c r="K173" s="4"/>
      <c r="L173" s="4"/>
    </row>
    <row r="174" spans="1:12">
      <c r="A174" s="4"/>
      <c r="B174" s="4"/>
      <c r="C174" s="4"/>
      <c r="D174" s="4"/>
      <c r="E174" s="4"/>
      <c r="F174" s="4"/>
      <c r="G174" s="4"/>
      <c r="H174" s="4"/>
      <c r="I174" s="4"/>
      <c r="J174" s="4"/>
      <c r="K174" s="4"/>
      <c r="L174" s="4"/>
    </row>
    <row r="175" spans="1:12">
      <c r="A175" s="4"/>
      <c r="B175" s="4"/>
      <c r="C175" s="4"/>
      <c r="D175" s="4"/>
      <c r="E175" s="4"/>
      <c r="F175" s="4"/>
      <c r="G175" s="4"/>
      <c r="H175" s="4"/>
      <c r="I175" s="4"/>
      <c r="J175" s="4"/>
      <c r="K175" s="4"/>
      <c r="L175" s="4"/>
    </row>
    <row r="176" spans="1:12">
      <c r="A176" s="4"/>
      <c r="B176" s="4"/>
      <c r="C176" s="4"/>
      <c r="D176" s="4"/>
      <c r="E176" s="4"/>
      <c r="F176" s="4"/>
      <c r="G176" s="4"/>
      <c r="H176" s="4"/>
      <c r="I176" s="4"/>
      <c r="J176" s="4"/>
      <c r="K176" s="4"/>
      <c r="L176" s="4"/>
    </row>
    <row r="177" spans="1:12">
      <c r="A177" s="4"/>
      <c r="B177" s="4"/>
      <c r="C177" s="4"/>
      <c r="D177" s="4"/>
      <c r="E177" s="4"/>
      <c r="F177" s="4"/>
      <c r="G177" s="4"/>
      <c r="H177" s="4"/>
      <c r="I177" s="4"/>
      <c r="J177" s="4"/>
      <c r="K177" s="4"/>
      <c r="L177" s="4"/>
    </row>
    <row r="178" spans="1:12">
      <c r="A178" s="4"/>
      <c r="B178" s="4"/>
      <c r="C178" s="4"/>
      <c r="D178" s="4"/>
      <c r="E178" s="4"/>
      <c r="F178" s="4"/>
      <c r="G178" s="4"/>
      <c r="H178" s="4"/>
      <c r="I178" s="4"/>
      <c r="J178" s="4"/>
      <c r="K178" s="4"/>
      <c r="L178" s="4"/>
    </row>
    <row r="179" spans="1:12">
      <c r="A179" s="4"/>
      <c r="B179" s="4"/>
      <c r="C179" s="4"/>
      <c r="D179" s="4"/>
      <c r="E179" s="4"/>
      <c r="F179" s="4"/>
      <c r="G179" s="4"/>
      <c r="H179" s="4"/>
      <c r="I179" s="4"/>
      <c r="J179" s="4"/>
      <c r="K179" s="4"/>
      <c r="L179" s="4"/>
    </row>
    <row r="180" spans="1:12">
      <c r="A180" s="4"/>
      <c r="B180" s="4"/>
      <c r="C180" s="4"/>
      <c r="D180" s="4"/>
      <c r="E180" s="4"/>
      <c r="F180" s="4"/>
      <c r="G180" s="4"/>
      <c r="H180" s="4"/>
      <c r="I180" s="4"/>
      <c r="J180" s="4"/>
      <c r="K180" s="4"/>
      <c r="L180" s="4"/>
    </row>
    <row r="181" spans="1:12">
      <c r="A181" s="4"/>
      <c r="B181" s="4"/>
      <c r="C181" s="4"/>
      <c r="D181" s="4"/>
      <c r="E181" s="4"/>
      <c r="F181" s="4"/>
      <c r="G181" s="4"/>
      <c r="H181" s="4"/>
      <c r="I181" s="4"/>
      <c r="J181" s="4"/>
      <c r="K181" s="4"/>
      <c r="L181" s="4"/>
    </row>
    <row r="182" spans="1:12">
      <c r="A182" s="4"/>
      <c r="B182" s="4"/>
      <c r="C182" s="4"/>
      <c r="D182" s="4"/>
      <c r="E182" s="4"/>
      <c r="F182" s="4"/>
      <c r="G182" s="4"/>
      <c r="H182" s="4"/>
      <c r="I182" s="4"/>
      <c r="J182" s="4"/>
      <c r="K182" s="4"/>
      <c r="L182" s="4"/>
    </row>
    <row r="183" spans="1:12">
      <c r="A183" s="4"/>
      <c r="B183" s="4"/>
      <c r="C183" s="4"/>
      <c r="D183" s="4"/>
      <c r="E183" s="4"/>
      <c r="F183" s="4"/>
      <c r="G183" s="4"/>
      <c r="H183" s="4"/>
      <c r="I183" s="4"/>
      <c r="J183" s="4"/>
      <c r="K183" s="4"/>
      <c r="L183" s="4"/>
    </row>
    <row r="184" spans="1:12">
      <c r="A184" s="4"/>
      <c r="B184" s="4"/>
      <c r="C184" s="4"/>
      <c r="D184" s="4"/>
      <c r="E184" s="4"/>
      <c r="F184" s="4"/>
      <c r="G184" s="4"/>
      <c r="H184" s="4"/>
      <c r="I184" s="4"/>
      <c r="J184" s="4"/>
      <c r="K184" s="4"/>
      <c r="L184" s="4"/>
    </row>
    <row r="185" spans="1:12">
      <c r="A185" s="4"/>
      <c r="B185" s="4"/>
      <c r="C185" s="4"/>
      <c r="D185" s="4"/>
      <c r="E185" s="4"/>
      <c r="F185" s="4"/>
      <c r="G185" s="4"/>
      <c r="H185" s="4"/>
      <c r="I185" s="4"/>
      <c r="J185" s="4"/>
      <c r="K185" s="4"/>
      <c r="L185" s="4"/>
    </row>
    <row r="186" spans="1:12">
      <c r="A186" s="4"/>
      <c r="B186" s="4"/>
      <c r="C186" s="4"/>
      <c r="D186" s="4"/>
      <c r="E186" s="4"/>
      <c r="F186" s="4"/>
      <c r="G186" s="4"/>
      <c r="H186" s="4"/>
      <c r="I186" s="4"/>
      <c r="J186" s="4"/>
      <c r="K186" s="4"/>
      <c r="L186" s="4"/>
    </row>
    <row r="187" spans="1:12">
      <c r="A187" s="4"/>
      <c r="B187" s="4"/>
      <c r="C187" s="4"/>
      <c r="D187" s="4"/>
      <c r="E187" s="4"/>
      <c r="F187" s="4"/>
      <c r="G187" s="4"/>
      <c r="H187" s="4"/>
      <c r="I187" s="4"/>
      <c r="J187" s="4"/>
      <c r="K187" s="4"/>
      <c r="L187" s="4"/>
    </row>
    <row r="188" spans="1:12">
      <c r="A188" s="4"/>
      <c r="B188" s="4"/>
      <c r="C188" s="4"/>
      <c r="D188" s="4"/>
      <c r="E188" s="4"/>
      <c r="F188" s="4"/>
      <c r="G188" s="4"/>
      <c r="H188" s="4"/>
      <c r="I188" s="4"/>
      <c r="J188" s="4"/>
      <c r="K188" s="4"/>
      <c r="L188" s="4"/>
    </row>
    <row r="189" spans="1:12">
      <c r="A189" s="4"/>
      <c r="B189" s="4"/>
      <c r="C189" s="4"/>
      <c r="D189" s="4"/>
      <c r="E189" s="4"/>
      <c r="F189" s="4"/>
      <c r="G189" s="4"/>
      <c r="H189" s="4"/>
      <c r="I189" s="4"/>
      <c r="J189" s="4"/>
      <c r="K189" s="4"/>
      <c r="L189" s="4"/>
    </row>
    <row r="190" spans="1:12">
      <c r="A190" s="4"/>
      <c r="B190" s="4"/>
      <c r="C190" s="4"/>
      <c r="D190" s="4"/>
      <c r="E190" s="4"/>
      <c r="F190" s="4"/>
      <c r="G190" s="4"/>
      <c r="H190" s="4"/>
      <c r="I190" s="4"/>
      <c r="J190" s="4"/>
      <c r="K190" s="4"/>
      <c r="L190" s="4"/>
    </row>
    <row r="191" spans="1:12">
      <c r="A191" s="4"/>
      <c r="B191" s="4"/>
      <c r="C191" s="4"/>
      <c r="D191" s="4"/>
      <c r="E191" s="4"/>
      <c r="F191" s="4"/>
      <c r="G191" s="4"/>
      <c r="H191" s="4"/>
      <c r="I191" s="4"/>
      <c r="J191" s="4"/>
      <c r="K191" s="4"/>
      <c r="L191" s="4"/>
    </row>
    <row r="192" spans="1:12">
      <c r="A192" s="4"/>
      <c r="B192" s="4"/>
      <c r="C192" s="4"/>
      <c r="D192" s="4"/>
      <c r="E192" s="4"/>
      <c r="F192" s="4"/>
      <c r="G192" s="4"/>
      <c r="H192" s="4"/>
      <c r="I192" s="4"/>
      <c r="J192" s="4"/>
      <c r="K192" s="4"/>
      <c r="L192" s="4"/>
    </row>
    <row r="193" spans="1:12">
      <c r="A193" s="4"/>
      <c r="B193" s="4"/>
      <c r="C193" s="4"/>
      <c r="D193" s="4"/>
      <c r="E193" s="4"/>
      <c r="F193" s="4"/>
      <c r="G193" s="4"/>
      <c r="H193" s="4"/>
      <c r="I193" s="4"/>
      <c r="J193" s="4"/>
      <c r="K193" s="4"/>
      <c r="L193" s="4"/>
    </row>
    <row r="194" spans="1:12">
      <c r="A194" s="4"/>
      <c r="B194" s="4"/>
      <c r="C194" s="4"/>
      <c r="D194" s="4"/>
      <c r="E194" s="4"/>
      <c r="F194" s="4"/>
      <c r="G194" s="4"/>
      <c r="H194" s="4"/>
      <c r="I194" s="4"/>
      <c r="J194" s="4"/>
      <c r="K194" s="4"/>
      <c r="L194" s="4"/>
    </row>
    <row r="195" spans="1:12">
      <c r="A195" s="4"/>
      <c r="B195" s="4"/>
      <c r="C195" s="4"/>
      <c r="D195" s="4"/>
      <c r="E195" s="4"/>
      <c r="F195" s="4"/>
      <c r="G195" s="4"/>
      <c r="H195" s="4"/>
      <c r="I195" s="4"/>
      <c r="J195" s="4"/>
      <c r="K195" s="4"/>
      <c r="L195" s="4"/>
    </row>
    <row r="196" spans="1:12">
      <c r="A196" s="4"/>
      <c r="B196" s="4"/>
      <c r="C196" s="4"/>
      <c r="D196" s="4"/>
      <c r="E196" s="4"/>
      <c r="F196" s="4"/>
      <c r="G196" s="4"/>
      <c r="H196" s="4"/>
      <c r="I196" s="4"/>
      <c r="J196" s="4"/>
      <c r="K196" s="4"/>
      <c r="L196" s="4"/>
    </row>
    <row r="197" spans="1:12">
      <c r="A197" s="4"/>
      <c r="B197" s="4"/>
      <c r="C197" s="4"/>
      <c r="D197" s="4"/>
      <c r="E197" s="4"/>
      <c r="F197" s="4"/>
      <c r="G197" s="4"/>
      <c r="H197" s="4"/>
      <c r="I197" s="4"/>
      <c r="J197" s="4"/>
      <c r="K197" s="4"/>
      <c r="L197" s="4"/>
    </row>
    <row r="198" spans="1:12">
      <c r="A198" s="4"/>
      <c r="B198" s="4"/>
      <c r="C198" s="4"/>
      <c r="D198" s="4"/>
      <c r="E198" s="4"/>
      <c r="F198" s="4"/>
      <c r="G198" s="4"/>
      <c r="H198" s="4"/>
      <c r="I198" s="4"/>
      <c r="J198" s="4"/>
      <c r="K198" s="4"/>
      <c r="L198" s="4"/>
    </row>
    <row r="199" spans="1:12">
      <c r="A199" s="4"/>
      <c r="B199" s="4"/>
      <c r="C199" s="4"/>
      <c r="D199" s="4"/>
      <c r="E199" s="4"/>
      <c r="F199" s="4"/>
      <c r="G199" s="4"/>
      <c r="H199" s="4"/>
      <c r="I199" s="4"/>
      <c r="J199" s="4"/>
      <c r="K199" s="4"/>
      <c r="L199" s="4"/>
    </row>
    <row r="200" spans="1:12">
      <c r="A200" s="4"/>
      <c r="B200" s="4"/>
      <c r="C200" s="4"/>
      <c r="D200" s="4"/>
      <c r="E200" s="4"/>
      <c r="F200" s="4"/>
      <c r="G200" s="4"/>
      <c r="H200" s="4"/>
      <c r="I200" s="4"/>
      <c r="J200" s="4"/>
      <c r="K200" s="4"/>
      <c r="L200" s="4"/>
    </row>
    <row r="201" spans="1:12">
      <c r="A201" s="4"/>
      <c r="B201" s="4"/>
      <c r="C201" s="4"/>
      <c r="D201" s="4"/>
      <c r="E201" s="4"/>
      <c r="F201" s="4"/>
      <c r="G201" s="4"/>
      <c r="H201" s="4"/>
      <c r="I201" s="4"/>
      <c r="J201" s="4"/>
      <c r="K201" s="4"/>
      <c r="L201" s="4"/>
    </row>
    <row r="202" spans="1:12">
      <c r="A202" s="4"/>
      <c r="B202" s="4"/>
      <c r="C202" s="4"/>
      <c r="D202" s="4"/>
      <c r="E202" s="4"/>
      <c r="F202" s="4"/>
      <c r="G202" s="4"/>
      <c r="H202" s="4"/>
      <c r="I202" s="4"/>
      <c r="J202" s="4"/>
      <c r="K202" s="4"/>
      <c r="L202" s="4"/>
    </row>
    <row r="203" spans="1:12">
      <c r="A203" s="4"/>
      <c r="B203" s="4"/>
      <c r="C203" s="4"/>
      <c r="D203" s="4"/>
      <c r="E203" s="4"/>
      <c r="F203" s="4"/>
      <c r="G203" s="4"/>
      <c r="H203" s="4"/>
      <c r="I203" s="4"/>
      <c r="J203" s="4"/>
      <c r="K203" s="4"/>
      <c r="L203" s="4"/>
    </row>
    <row r="204" spans="1:12">
      <c r="A204" s="4"/>
      <c r="B204" s="4"/>
      <c r="C204" s="4"/>
      <c r="D204" s="4"/>
      <c r="E204" s="4"/>
      <c r="F204" s="4"/>
      <c r="G204" s="4"/>
      <c r="H204" s="4"/>
      <c r="I204" s="4"/>
      <c r="J204" s="4"/>
      <c r="K204" s="4"/>
      <c r="L204" s="4"/>
    </row>
    <row r="205" spans="1:12">
      <c r="A205" s="4"/>
      <c r="B205" s="4"/>
      <c r="C205" s="4"/>
      <c r="D205" s="4"/>
      <c r="E205" s="4"/>
      <c r="F205" s="4"/>
      <c r="G205" s="4"/>
      <c r="H205" s="4"/>
      <c r="I205" s="4"/>
      <c r="J205" s="4"/>
      <c r="K205" s="4"/>
      <c r="L205" s="4"/>
    </row>
    <row r="206" spans="1:12">
      <c r="A206" s="4"/>
      <c r="B206" s="4"/>
      <c r="C206" s="4"/>
      <c r="D206" s="4"/>
      <c r="E206" s="4"/>
      <c r="F206" s="4"/>
      <c r="G206" s="4"/>
      <c r="H206" s="4"/>
      <c r="I206" s="4"/>
      <c r="J206" s="4"/>
      <c r="K206" s="4"/>
      <c r="L206" s="4"/>
    </row>
    <row r="207" spans="1:12">
      <c r="A207" s="4"/>
      <c r="B207" s="4"/>
      <c r="C207" s="4"/>
      <c r="D207" s="4"/>
      <c r="E207" s="4"/>
      <c r="F207" s="4"/>
      <c r="G207" s="4"/>
      <c r="H207" s="4"/>
      <c r="I207" s="4"/>
      <c r="J207" s="4"/>
      <c r="K207" s="4"/>
      <c r="L207" s="4"/>
    </row>
    <row r="208" spans="1:12">
      <c r="A208" s="4"/>
      <c r="B208" s="4"/>
      <c r="C208" s="4"/>
      <c r="D208" s="4"/>
      <c r="E208" s="4"/>
      <c r="F208" s="4"/>
      <c r="G208" s="4"/>
      <c r="H208" s="4"/>
      <c r="I208" s="4"/>
      <c r="J208" s="4"/>
      <c r="K208" s="4"/>
      <c r="L208" s="4"/>
    </row>
    <row r="209" spans="1:12">
      <c r="A209" s="4"/>
      <c r="B209" s="4"/>
      <c r="C209" s="4"/>
      <c r="D209" s="4"/>
      <c r="E209" s="4"/>
      <c r="F209" s="4"/>
      <c r="G209" s="4"/>
      <c r="H209" s="4"/>
      <c r="I209" s="4"/>
      <c r="J209" s="4"/>
      <c r="K209" s="4"/>
      <c r="L209" s="4"/>
    </row>
    <row r="210" spans="1:12">
      <c r="A210" s="4"/>
      <c r="B210" s="4"/>
      <c r="C210" s="4"/>
      <c r="D210" s="4"/>
      <c r="E210" s="4"/>
      <c r="F210" s="4"/>
      <c r="G210" s="4"/>
      <c r="H210" s="4"/>
      <c r="I210" s="4"/>
      <c r="J210" s="4"/>
      <c r="K210" s="4"/>
      <c r="L210" s="4"/>
    </row>
    <row r="211" spans="1:12">
      <c r="A211" s="4"/>
      <c r="B211" s="4"/>
      <c r="C211" s="4"/>
      <c r="D211" s="4"/>
      <c r="E211" s="4"/>
      <c r="F211" s="4"/>
      <c r="G211" s="4"/>
      <c r="H211" s="4"/>
      <c r="I211" s="4"/>
      <c r="J211" s="4"/>
      <c r="K211" s="4"/>
      <c r="L211" s="4"/>
    </row>
    <row r="212" spans="1:12">
      <c r="A212" s="4"/>
      <c r="B212" s="4"/>
      <c r="C212" s="4"/>
      <c r="D212" s="4"/>
      <c r="E212" s="4"/>
      <c r="F212" s="4"/>
      <c r="G212" s="4"/>
      <c r="H212" s="4"/>
      <c r="I212" s="4"/>
      <c r="J212" s="4"/>
      <c r="K212" s="4"/>
      <c r="L212" s="4"/>
    </row>
    <row r="213" spans="1:12">
      <c r="A213" s="4"/>
      <c r="B213" s="4"/>
      <c r="C213" s="4"/>
      <c r="D213" s="4"/>
      <c r="E213" s="4"/>
      <c r="F213" s="4"/>
      <c r="G213" s="4"/>
      <c r="H213" s="4"/>
      <c r="I213" s="4"/>
      <c r="J213" s="4"/>
      <c r="K213" s="4"/>
      <c r="L213" s="4"/>
    </row>
    <row r="214" spans="1:12">
      <c r="A214" s="4"/>
      <c r="B214" s="4"/>
      <c r="C214" s="4"/>
      <c r="D214" s="4"/>
      <c r="E214" s="4"/>
      <c r="F214" s="4"/>
      <c r="G214" s="4"/>
      <c r="H214" s="4"/>
      <c r="I214" s="4"/>
      <c r="J214" s="4"/>
      <c r="K214" s="4"/>
      <c r="L214" s="4"/>
    </row>
    <row r="215" spans="1:12">
      <c r="A215" s="4"/>
      <c r="B215" s="4"/>
      <c r="C215" s="4"/>
      <c r="D215" s="4"/>
      <c r="E215" s="4"/>
      <c r="F215" s="4"/>
      <c r="G215" s="4"/>
      <c r="H215" s="4"/>
      <c r="I215" s="4"/>
      <c r="J215" s="4"/>
      <c r="K215" s="4"/>
      <c r="L215" s="4"/>
    </row>
    <row r="216" spans="1:12">
      <c r="A216" s="4"/>
      <c r="B216" s="4"/>
      <c r="C216" s="4"/>
      <c r="D216" s="4"/>
      <c r="E216" s="4"/>
      <c r="F216" s="4"/>
      <c r="G216" s="4"/>
      <c r="H216" s="4"/>
      <c r="I216" s="4"/>
      <c r="J216" s="4"/>
      <c r="K216" s="4"/>
      <c r="L216" s="4"/>
    </row>
    <row r="217" spans="1:12">
      <c r="A217" s="4"/>
      <c r="B217" s="4"/>
      <c r="C217" s="4"/>
      <c r="D217" s="4"/>
      <c r="E217" s="4"/>
      <c r="F217" s="4"/>
      <c r="G217" s="4"/>
      <c r="H217" s="4"/>
      <c r="I217" s="4"/>
      <c r="J217" s="4"/>
      <c r="K217" s="4"/>
      <c r="L217" s="4"/>
    </row>
    <row r="218" spans="1:12">
      <c r="A218" s="4"/>
      <c r="B218" s="4"/>
      <c r="C218" s="4"/>
      <c r="D218" s="4"/>
      <c r="E218" s="4"/>
      <c r="F218" s="4"/>
      <c r="G218" s="4"/>
      <c r="H218" s="4"/>
      <c r="I218" s="4"/>
      <c r="J218" s="4"/>
      <c r="K218" s="4"/>
      <c r="L218" s="4"/>
    </row>
    <row r="219" spans="1:12">
      <c r="A219" s="4"/>
      <c r="B219" s="4"/>
      <c r="C219" s="4"/>
      <c r="D219" s="4"/>
      <c r="E219" s="4"/>
      <c r="F219" s="4"/>
      <c r="G219" s="4"/>
      <c r="H219" s="4"/>
      <c r="I219" s="4"/>
      <c r="J219" s="4"/>
      <c r="K219" s="4"/>
      <c r="L219" s="4"/>
    </row>
    <row r="220" spans="1:12">
      <c r="A220" s="4"/>
      <c r="B220" s="4"/>
      <c r="C220" s="4"/>
      <c r="D220" s="4"/>
      <c r="E220" s="4"/>
      <c r="F220" s="4"/>
      <c r="G220" s="4"/>
      <c r="H220" s="4"/>
      <c r="I220" s="4"/>
      <c r="J220" s="4"/>
      <c r="K220" s="4"/>
      <c r="L220" s="4"/>
    </row>
    <row r="221" spans="1:12">
      <c r="A221" s="4"/>
      <c r="B221" s="4"/>
      <c r="C221" s="4"/>
      <c r="D221" s="4"/>
      <c r="E221" s="4"/>
      <c r="F221" s="4"/>
      <c r="G221" s="4"/>
      <c r="H221" s="4"/>
      <c r="I221" s="4"/>
      <c r="J221" s="4"/>
      <c r="K221" s="4"/>
      <c r="L221" s="4"/>
    </row>
    <row r="222" spans="1:12">
      <c r="A222" s="4"/>
      <c r="B222" s="4"/>
      <c r="C222" s="4"/>
      <c r="D222" s="4"/>
      <c r="E222" s="4"/>
      <c r="F222" s="4"/>
      <c r="G222" s="4"/>
      <c r="H222" s="4"/>
      <c r="I222" s="4"/>
      <c r="J222" s="4"/>
      <c r="K222" s="4"/>
      <c r="L222" s="4"/>
    </row>
    <row r="223" spans="1:12">
      <c r="A223" s="4"/>
      <c r="B223" s="4"/>
      <c r="C223" s="4"/>
      <c r="D223" s="4"/>
      <c r="E223" s="4"/>
      <c r="F223" s="4"/>
      <c r="G223" s="4"/>
      <c r="H223" s="4"/>
      <c r="I223" s="4"/>
      <c r="J223" s="4"/>
      <c r="K223" s="4"/>
      <c r="L223" s="4"/>
    </row>
    <row r="224" spans="1:12">
      <c r="A224" s="4"/>
      <c r="B224" s="4"/>
      <c r="C224" s="4"/>
      <c r="D224" s="4"/>
      <c r="E224" s="4"/>
      <c r="F224" s="4"/>
      <c r="G224" s="4"/>
      <c r="H224" s="4"/>
      <c r="I224" s="4"/>
      <c r="J224" s="4"/>
      <c r="K224" s="4"/>
      <c r="L224" s="4"/>
    </row>
    <row r="225" spans="1:12">
      <c r="A225" s="4"/>
      <c r="B225" s="4"/>
      <c r="C225" s="4"/>
      <c r="D225" s="4"/>
      <c r="E225" s="4"/>
      <c r="F225" s="4"/>
      <c r="G225" s="4"/>
      <c r="H225" s="4"/>
      <c r="I225" s="4"/>
      <c r="J225" s="4"/>
      <c r="K225" s="4"/>
      <c r="L225" s="4"/>
    </row>
    <row r="226" spans="1:12">
      <c r="A226" s="4"/>
      <c r="B226" s="4"/>
      <c r="C226" s="4"/>
      <c r="D226" s="4"/>
      <c r="E226" s="4"/>
      <c r="F226" s="4"/>
      <c r="G226" s="4"/>
      <c r="H226" s="4"/>
      <c r="I226" s="4"/>
      <c r="J226" s="4"/>
      <c r="K226" s="4"/>
      <c r="L226" s="4"/>
    </row>
    <row r="227" spans="1:12">
      <c r="A227" s="4"/>
      <c r="B227" s="4"/>
      <c r="C227" s="4"/>
      <c r="D227" s="4"/>
      <c r="E227" s="4"/>
      <c r="F227" s="4"/>
      <c r="G227" s="4"/>
      <c r="H227" s="4"/>
      <c r="I227" s="4"/>
      <c r="J227" s="4"/>
      <c r="K227" s="4"/>
      <c r="L227" s="4"/>
    </row>
    <row r="228" spans="1:12">
      <c r="A228" s="4"/>
      <c r="B228" s="4"/>
      <c r="C228" s="4"/>
      <c r="D228" s="4"/>
      <c r="E228" s="4"/>
      <c r="F228" s="4"/>
      <c r="G228" s="4"/>
      <c r="H228" s="4"/>
      <c r="I228" s="4"/>
      <c r="J228" s="4"/>
      <c r="K228" s="4"/>
      <c r="L228" s="4"/>
    </row>
    <row r="229" spans="1:12">
      <c r="A229" s="4"/>
      <c r="B229" s="4"/>
      <c r="C229" s="4"/>
      <c r="D229" s="4"/>
      <c r="E229" s="4"/>
      <c r="F229" s="4"/>
      <c r="G229" s="4"/>
      <c r="H229" s="4"/>
      <c r="I229" s="4"/>
      <c r="J229" s="4"/>
      <c r="K229" s="4"/>
      <c r="L229" s="4"/>
    </row>
    <row r="230" spans="1:12">
      <c r="A230" s="4"/>
      <c r="B230" s="4"/>
      <c r="C230" s="4"/>
      <c r="D230" s="4"/>
      <c r="E230" s="4"/>
      <c r="F230" s="4"/>
      <c r="G230" s="4"/>
      <c r="H230" s="4"/>
      <c r="I230" s="4"/>
      <c r="J230" s="4"/>
      <c r="K230" s="4"/>
      <c r="L230" s="4"/>
    </row>
    <row r="231" spans="1:12">
      <c r="A231" s="4"/>
      <c r="B231" s="4"/>
      <c r="C231" s="4"/>
      <c r="D231" s="4"/>
      <c r="E231" s="4"/>
      <c r="F231" s="4"/>
      <c r="G231" s="4"/>
      <c r="H231" s="4"/>
      <c r="I231" s="4"/>
      <c r="J231" s="4"/>
      <c r="K231" s="4"/>
      <c r="L231" s="4"/>
    </row>
    <row r="232" spans="1:12">
      <c r="A232" s="4"/>
      <c r="B232" s="4"/>
      <c r="C232" s="4"/>
      <c r="D232" s="4"/>
      <c r="E232" s="4"/>
      <c r="F232" s="4"/>
      <c r="G232" s="4"/>
      <c r="H232" s="4"/>
      <c r="I232" s="4"/>
      <c r="J232" s="4"/>
      <c r="K232" s="4"/>
      <c r="L232" s="4"/>
    </row>
    <row r="233" spans="1:12">
      <c r="A233" s="4"/>
      <c r="B233" s="4"/>
      <c r="C233" s="4"/>
      <c r="D233" s="4"/>
      <c r="E233" s="4"/>
      <c r="F233" s="4"/>
      <c r="G233" s="4"/>
      <c r="H233" s="4"/>
      <c r="I233" s="4"/>
      <c r="J233" s="4"/>
      <c r="K233" s="4"/>
      <c r="L233" s="4"/>
    </row>
    <row r="234" spans="1:12">
      <c r="A234" s="4"/>
      <c r="B234" s="4"/>
      <c r="C234" s="4"/>
      <c r="D234" s="4"/>
      <c r="E234" s="4"/>
      <c r="F234" s="4"/>
      <c r="G234" s="4"/>
      <c r="H234" s="4"/>
      <c r="I234" s="4"/>
      <c r="J234" s="4"/>
      <c r="K234" s="4"/>
      <c r="L234" s="4"/>
    </row>
    <row r="235" spans="1:12">
      <c r="A235" s="4"/>
      <c r="B235" s="4"/>
      <c r="C235" s="4"/>
      <c r="D235" s="4"/>
      <c r="E235" s="4"/>
      <c r="F235" s="4"/>
      <c r="G235" s="4"/>
      <c r="H235" s="4"/>
      <c r="I235" s="4"/>
      <c r="J235" s="4"/>
      <c r="K235" s="4"/>
      <c r="L235" s="4"/>
    </row>
    <row r="236" spans="1:12">
      <c r="A236" s="4"/>
      <c r="B236" s="4"/>
      <c r="C236" s="4"/>
      <c r="D236" s="4"/>
      <c r="E236" s="4"/>
      <c r="F236" s="4"/>
      <c r="G236" s="4"/>
      <c r="H236" s="4"/>
      <c r="I236" s="4"/>
      <c r="J236" s="4"/>
      <c r="K236" s="4"/>
      <c r="L236" s="4"/>
    </row>
    <row r="237" spans="1:12">
      <c r="A237" s="4"/>
      <c r="B237" s="4"/>
      <c r="C237" s="4"/>
      <c r="D237" s="4"/>
      <c r="E237" s="4"/>
      <c r="F237" s="4"/>
      <c r="G237" s="4"/>
      <c r="H237" s="4"/>
      <c r="I237" s="4"/>
      <c r="J237" s="4"/>
      <c r="K237" s="4"/>
      <c r="L237" s="4"/>
    </row>
    <row r="238" spans="1:12">
      <c r="A238" s="4"/>
      <c r="B238" s="4"/>
      <c r="C238" s="4"/>
      <c r="D238" s="4"/>
      <c r="E238" s="4"/>
      <c r="F238" s="4"/>
      <c r="G238" s="4"/>
      <c r="H238" s="4"/>
      <c r="I238" s="4"/>
      <c r="J238" s="4"/>
      <c r="K238" s="4"/>
      <c r="L238" s="4"/>
    </row>
    <row r="239" spans="1:12">
      <c r="A239" s="4"/>
      <c r="B239" s="4"/>
      <c r="C239" s="4"/>
      <c r="D239" s="4"/>
      <c r="E239" s="4"/>
      <c r="F239" s="4"/>
      <c r="G239" s="4"/>
      <c r="H239" s="4"/>
      <c r="I239" s="4"/>
      <c r="J239" s="4"/>
      <c r="K239" s="4"/>
      <c r="L239" s="4"/>
    </row>
    <row r="240" spans="1:12" ht="23.1" customHeight="1">
      <c r="A240" s="4"/>
      <c r="B240" s="4"/>
      <c r="C240" s="4"/>
      <c r="D240" s="4"/>
      <c r="E240" s="4"/>
      <c r="F240" s="4"/>
      <c r="G240" s="4"/>
      <c r="H240" s="4"/>
      <c r="I240" s="4"/>
      <c r="J240" s="4"/>
      <c r="K240" s="4"/>
      <c r="L240" s="4"/>
    </row>
    <row r="241" spans="1:12" ht="23.1" customHeight="1">
      <c r="A241" s="4"/>
      <c r="B241" s="4"/>
      <c r="C241" s="4"/>
      <c r="D241" s="4"/>
      <c r="E241" s="4"/>
      <c r="F241" s="4"/>
      <c r="G241" s="4"/>
      <c r="H241" s="4"/>
      <c r="I241" s="4"/>
      <c r="J241" s="4"/>
      <c r="K241" s="4"/>
      <c r="L241" s="4"/>
    </row>
    <row r="242" spans="1:12" ht="23.1" customHeight="1">
      <c r="A242" s="4"/>
      <c r="B242" s="4"/>
      <c r="C242" s="4"/>
      <c r="D242" s="4"/>
      <c r="E242" s="4"/>
      <c r="F242" s="4"/>
      <c r="G242" s="4"/>
      <c r="H242" s="4"/>
      <c r="I242" s="4"/>
      <c r="J242" s="4"/>
      <c r="K242" s="4"/>
      <c r="L242" s="4"/>
    </row>
    <row r="243" spans="1:12">
      <c r="A243" s="4"/>
      <c r="B243" s="4"/>
      <c r="C243" s="4"/>
      <c r="D243" s="4"/>
      <c r="E243" s="4"/>
      <c r="F243" s="4"/>
      <c r="G243" s="4"/>
      <c r="H243" s="4"/>
      <c r="I243" s="4"/>
      <c r="J243" s="4"/>
      <c r="K243" s="4"/>
      <c r="L243" s="4"/>
    </row>
    <row r="244" spans="1:12">
      <c r="A244" s="4"/>
      <c r="B244" s="4"/>
      <c r="C244" s="4"/>
      <c r="D244" s="4"/>
      <c r="E244" s="4"/>
      <c r="F244" s="4"/>
      <c r="G244" s="4"/>
      <c r="H244" s="4"/>
      <c r="I244" s="4"/>
      <c r="J244" s="4"/>
      <c r="K244" s="4"/>
      <c r="L244" s="4"/>
    </row>
    <row r="245" spans="1:12">
      <c r="A245" s="4"/>
      <c r="B245" s="4"/>
      <c r="C245" s="4"/>
      <c r="D245" s="4"/>
      <c r="E245" s="4"/>
      <c r="F245" s="4"/>
      <c r="G245" s="4"/>
      <c r="H245" s="4"/>
      <c r="I245" s="4"/>
      <c r="J245" s="4"/>
      <c r="K245" s="4"/>
      <c r="L245" s="4"/>
    </row>
    <row r="246" spans="1:12">
      <c r="A246" s="4"/>
      <c r="B246" s="4"/>
      <c r="C246" s="4"/>
      <c r="D246" s="4"/>
      <c r="E246" s="4"/>
      <c r="F246" s="4"/>
      <c r="G246" s="4"/>
      <c r="H246" s="4"/>
      <c r="I246" s="4"/>
      <c r="J246" s="4"/>
      <c r="K246" s="4"/>
      <c r="L246" s="4"/>
    </row>
    <row r="247" spans="1:12">
      <c r="A247" s="4"/>
      <c r="B247" s="4"/>
      <c r="C247" s="4"/>
      <c r="D247" s="4"/>
      <c r="E247" s="4"/>
      <c r="F247" s="4"/>
      <c r="G247" s="4"/>
      <c r="H247" s="4"/>
      <c r="I247" s="4"/>
      <c r="J247" s="4"/>
      <c r="K247" s="4"/>
      <c r="L247" s="4"/>
    </row>
    <row r="248" spans="1:12">
      <c r="A248" s="4"/>
      <c r="B248" s="4"/>
      <c r="C248" s="4"/>
      <c r="D248" s="4"/>
      <c r="E248" s="4"/>
      <c r="F248" s="4"/>
      <c r="G248" s="4"/>
      <c r="H248" s="4"/>
      <c r="I248" s="4"/>
      <c r="J248" s="4"/>
      <c r="K248" s="4"/>
      <c r="L248" s="4"/>
    </row>
    <row r="249" spans="1:12">
      <c r="A249" s="4"/>
      <c r="B249" s="4"/>
      <c r="C249" s="4"/>
      <c r="D249" s="4"/>
      <c r="E249" s="4"/>
      <c r="F249" s="4"/>
      <c r="G249" s="4"/>
      <c r="H249" s="4"/>
      <c r="I249" s="4"/>
      <c r="J249" s="4"/>
      <c r="K249" s="4"/>
      <c r="L249" s="4"/>
    </row>
    <row r="250" spans="1:12">
      <c r="A250" s="4"/>
      <c r="B250" s="4"/>
      <c r="C250" s="4"/>
      <c r="D250" s="4"/>
      <c r="E250" s="4"/>
      <c r="F250" s="4"/>
      <c r="G250" s="4"/>
      <c r="H250" s="4"/>
      <c r="I250" s="4"/>
      <c r="J250" s="4"/>
      <c r="K250" s="4"/>
      <c r="L250" s="4"/>
    </row>
    <row r="251" spans="1:12">
      <c r="A251" s="4"/>
      <c r="B251" s="4"/>
      <c r="C251" s="4"/>
      <c r="D251" s="4"/>
      <c r="E251" s="4"/>
      <c r="F251" s="4"/>
      <c r="G251" s="4"/>
      <c r="H251" s="4"/>
      <c r="I251" s="4"/>
      <c r="J251" s="4"/>
      <c r="K251" s="4"/>
      <c r="L251" s="4"/>
    </row>
    <row r="252" spans="1:12">
      <c r="A252" s="4"/>
      <c r="B252" s="4"/>
      <c r="C252" s="4"/>
      <c r="D252" s="4"/>
      <c r="E252" s="4"/>
      <c r="F252" s="4"/>
      <c r="G252" s="4"/>
      <c r="H252" s="4"/>
      <c r="I252" s="4"/>
      <c r="J252" s="4"/>
      <c r="K252" s="4"/>
      <c r="L252" s="4"/>
    </row>
    <row r="253" spans="1:12">
      <c r="A253" s="4"/>
      <c r="B253" s="4"/>
      <c r="C253" s="4"/>
      <c r="D253" s="4"/>
      <c r="E253" s="4"/>
      <c r="F253" s="4"/>
      <c r="G253" s="4"/>
      <c r="H253" s="4"/>
      <c r="I253" s="4"/>
      <c r="J253" s="4"/>
      <c r="K253" s="4"/>
      <c r="L253" s="4"/>
    </row>
    <row r="254" spans="1:12">
      <c r="A254" s="4"/>
      <c r="B254" s="4"/>
      <c r="C254" s="4"/>
      <c r="D254" s="4"/>
      <c r="E254" s="4"/>
      <c r="F254" s="4"/>
      <c r="G254" s="4"/>
      <c r="H254" s="4"/>
      <c r="I254" s="4"/>
      <c r="J254" s="4"/>
      <c r="K254" s="4"/>
      <c r="L254" s="4"/>
    </row>
    <row r="255" spans="1:12">
      <c r="A255" s="4"/>
      <c r="B255" s="4"/>
      <c r="C255" s="4"/>
      <c r="D255" s="4"/>
      <c r="E255" s="4"/>
      <c r="F255" s="4"/>
      <c r="G255" s="4"/>
      <c r="H255" s="4"/>
      <c r="I255" s="4"/>
      <c r="J255" s="4"/>
      <c r="K255" s="4"/>
      <c r="L255" s="4"/>
    </row>
    <row r="256" spans="1:12">
      <c r="A256" s="4"/>
      <c r="B256" s="4"/>
      <c r="C256" s="4"/>
      <c r="D256" s="4"/>
      <c r="E256" s="4"/>
      <c r="F256" s="4"/>
      <c r="G256" s="4"/>
      <c r="H256" s="4"/>
      <c r="I256" s="4"/>
      <c r="J256" s="4"/>
      <c r="K256" s="4"/>
      <c r="L256" s="4"/>
    </row>
    <row r="257" spans="1:12">
      <c r="A257" s="4"/>
      <c r="B257" s="4"/>
      <c r="C257" s="4"/>
      <c r="D257" s="4"/>
      <c r="E257" s="4"/>
      <c r="F257" s="4"/>
      <c r="G257" s="4"/>
      <c r="H257" s="4"/>
      <c r="I257" s="4"/>
      <c r="J257" s="4"/>
      <c r="K257" s="4"/>
      <c r="L257" s="4"/>
    </row>
    <row r="258" spans="1:12">
      <c r="A258" s="4"/>
      <c r="B258" s="4"/>
      <c r="C258" s="4"/>
      <c r="D258" s="4"/>
      <c r="E258" s="4"/>
      <c r="F258" s="4"/>
      <c r="G258" s="4"/>
      <c r="H258" s="4"/>
      <c r="I258" s="4"/>
      <c r="J258" s="4"/>
      <c r="K258" s="4"/>
      <c r="L258" s="4"/>
    </row>
    <row r="259" spans="1:12">
      <c r="A259" s="4"/>
      <c r="B259" s="4"/>
      <c r="C259" s="4"/>
      <c r="D259" s="4"/>
      <c r="E259" s="4"/>
      <c r="F259" s="4"/>
      <c r="G259" s="4"/>
      <c r="H259" s="4"/>
      <c r="I259" s="4"/>
      <c r="J259" s="4"/>
      <c r="K259" s="4"/>
      <c r="L259" s="4"/>
    </row>
    <row r="260" spans="1:12">
      <c r="A260" s="4"/>
      <c r="B260" s="4"/>
      <c r="C260" s="4"/>
      <c r="D260" s="4"/>
      <c r="E260" s="4"/>
      <c r="F260" s="4"/>
      <c r="G260" s="4"/>
      <c r="H260" s="4"/>
      <c r="I260" s="4"/>
      <c r="J260" s="4"/>
      <c r="K260" s="4"/>
      <c r="L260" s="4"/>
    </row>
    <row r="261" spans="1:12">
      <c r="A261" s="4"/>
      <c r="B261" s="4"/>
      <c r="C261" s="4"/>
      <c r="D261" s="4"/>
      <c r="E261" s="4"/>
      <c r="F261" s="4"/>
      <c r="G261" s="4"/>
      <c r="H261" s="4"/>
      <c r="I261" s="4"/>
      <c r="J261" s="4"/>
      <c r="K261" s="4"/>
      <c r="L261" s="4"/>
    </row>
    <row r="262" spans="1:12">
      <c r="A262" s="4"/>
      <c r="B262" s="4"/>
      <c r="C262" s="4"/>
      <c r="D262" s="4"/>
      <c r="E262" s="4"/>
      <c r="F262" s="4"/>
      <c r="G262" s="4"/>
      <c r="H262" s="4"/>
      <c r="I262" s="4"/>
      <c r="J262" s="4"/>
      <c r="K262" s="4"/>
      <c r="L262" s="4"/>
    </row>
    <row r="263" spans="1:12">
      <c r="A263" s="4"/>
      <c r="B263" s="4"/>
      <c r="C263" s="4"/>
      <c r="D263" s="4"/>
      <c r="E263" s="4"/>
      <c r="F263" s="4"/>
      <c r="G263" s="4"/>
      <c r="H263" s="4"/>
      <c r="I263" s="4"/>
      <c r="J263" s="4"/>
      <c r="K263" s="4"/>
      <c r="L263" s="4"/>
    </row>
    <row r="264" spans="1:12">
      <c r="A264" s="4"/>
      <c r="B264" s="4"/>
      <c r="C264" s="4"/>
      <c r="D264" s="4"/>
      <c r="E264" s="4"/>
      <c r="F264" s="4"/>
      <c r="G264" s="4"/>
      <c r="H264" s="4"/>
      <c r="I264" s="4"/>
      <c r="J264" s="4"/>
      <c r="K264" s="4"/>
      <c r="L264" s="4"/>
    </row>
    <row r="265" spans="1:12">
      <c r="A265" s="4"/>
      <c r="B265" s="4"/>
      <c r="C265" s="4"/>
      <c r="D265" s="4"/>
      <c r="E265" s="4"/>
      <c r="F265" s="4"/>
      <c r="G265" s="4"/>
      <c r="H265" s="4"/>
      <c r="I265" s="4"/>
      <c r="J265" s="4"/>
      <c r="K265" s="4"/>
      <c r="L265" s="4"/>
    </row>
    <row r="266" spans="1:12">
      <c r="A266" s="4"/>
      <c r="B266" s="4"/>
      <c r="C266" s="4"/>
      <c r="D266" s="4"/>
      <c r="E266" s="4"/>
      <c r="F266" s="4"/>
      <c r="G266" s="4"/>
      <c r="H266" s="4"/>
      <c r="I266" s="4"/>
      <c r="J266" s="4"/>
      <c r="K266" s="4"/>
      <c r="L266" s="4"/>
    </row>
    <row r="267" spans="1:12">
      <c r="A267" s="4"/>
      <c r="B267" s="4"/>
      <c r="C267" s="4"/>
      <c r="D267" s="4"/>
      <c r="E267" s="4"/>
      <c r="F267" s="4"/>
      <c r="G267" s="4"/>
      <c r="H267" s="4"/>
      <c r="I267" s="4"/>
      <c r="J267" s="4"/>
      <c r="K267" s="4"/>
      <c r="L267" s="4"/>
    </row>
    <row r="268" spans="1:12">
      <c r="A268" s="4"/>
      <c r="B268" s="4"/>
      <c r="C268" s="4"/>
      <c r="D268" s="4"/>
      <c r="E268" s="4"/>
      <c r="F268" s="4"/>
      <c r="G268" s="4"/>
      <c r="H268" s="4"/>
      <c r="I268" s="4"/>
      <c r="J268" s="4"/>
      <c r="K268" s="4"/>
      <c r="L268" s="4"/>
    </row>
    <row r="269" spans="1:12">
      <c r="A269" s="4"/>
      <c r="B269" s="4"/>
      <c r="C269" s="4"/>
      <c r="D269" s="4"/>
      <c r="E269" s="4"/>
      <c r="F269" s="4"/>
      <c r="G269" s="4"/>
      <c r="H269" s="4"/>
      <c r="I269" s="4"/>
      <c r="J269" s="4"/>
      <c r="K269" s="4"/>
      <c r="L269" s="4"/>
    </row>
    <row r="270" spans="1:12">
      <c r="A270" s="4"/>
      <c r="B270" s="4"/>
      <c r="C270" s="4"/>
      <c r="D270" s="4"/>
      <c r="E270" s="4"/>
      <c r="F270" s="4"/>
      <c r="G270" s="4"/>
      <c r="H270" s="4"/>
      <c r="I270" s="4"/>
      <c r="J270" s="4"/>
      <c r="K270" s="4"/>
      <c r="L270" s="4"/>
    </row>
    <row r="271" spans="1:12">
      <c r="A271" s="4"/>
      <c r="B271" s="4"/>
      <c r="C271" s="4"/>
      <c r="D271" s="4"/>
      <c r="E271" s="4"/>
      <c r="F271" s="4"/>
      <c r="G271" s="4"/>
      <c r="H271" s="4"/>
      <c r="I271" s="4"/>
      <c r="J271" s="4"/>
      <c r="K271" s="4"/>
      <c r="L271" s="4"/>
    </row>
    <row r="272" spans="1:12">
      <c r="A272" s="4"/>
      <c r="B272" s="4"/>
      <c r="C272" s="4"/>
      <c r="D272" s="4"/>
      <c r="E272" s="4"/>
      <c r="F272" s="4"/>
      <c r="G272" s="4"/>
      <c r="H272" s="4"/>
      <c r="I272" s="4"/>
      <c r="J272" s="4"/>
      <c r="K272" s="4"/>
      <c r="L272" s="4"/>
    </row>
    <row r="273" spans="1:12">
      <c r="A273" s="4"/>
      <c r="B273" s="4"/>
      <c r="C273" s="4"/>
      <c r="D273" s="4"/>
      <c r="E273" s="4"/>
      <c r="F273" s="4"/>
      <c r="G273" s="4"/>
      <c r="H273" s="4"/>
      <c r="I273" s="4"/>
      <c r="J273" s="4"/>
      <c r="K273" s="4"/>
      <c r="L273" s="4"/>
    </row>
    <row r="274" spans="1:12">
      <c r="A274" s="4"/>
      <c r="B274" s="4"/>
      <c r="C274" s="4"/>
      <c r="D274" s="4"/>
      <c r="E274" s="4"/>
      <c r="F274" s="4"/>
      <c r="G274" s="4"/>
      <c r="H274" s="4"/>
      <c r="I274" s="4"/>
      <c r="J274" s="4"/>
      <c r="K274" s="4"/>
      <c r="L274" s="4"/>
    </row>
    <row r="275" spans="1:12">
      <c r="A275" s="4"/>
      <c r="B275" s="4"/>
      <c r="C275" s="4"/>
      <c r="D275" s="4"/>
      <c r="E275" s="4"/>
      <c r="F275" s="4"/>
      <c r="G275" s="4"/>
      <c r="H275" s="4"/>
      <c r="I275" s="4"/>
      <c r="J275" s="4"/>
      <c r="K275" s="4"/>
      <c r="L275" s="4"/>
    </row>
    <row r="276" spans="1:12">
      <c r="A276" s="4"/>
      <c r="B276" s="4"/>
      <c r="C276" s="4"/>
      <c r="D276" s="4"/>
      <c r="E276" s="4"/>
      <c r="F276" s="4"/>
      <c r="G276" s="4"/>
      <c r="H276" s="4"/>
      <c r="I276" s="4"/>
      <c r="J276" s="4"/>
      <c r="K276" s="4"/>
      <c r="L276" s="4"/>
    </row>
    <row r="277" spans="1:12">
      <c r="A277" s="4"/>
      <c r="B277" s="4"/>
      <c r="C277" s="4"/>
      <c r="D277" s="4"/>
      <c r="E277" s="4"/>
      <c r="F277" s="4"/>
      <c r="G277" s="4"/>
      <c r="H277" s="4"/>
      <c r="I277" s="4"/>
      <c r="J277" s="4"/>
      <c r="K277" s="4"/>
      <c r="L277" s="4"/>
    </row>
    <row r="278" spans="1:12">
      <c r="A278" s="4"/>
      <c r="B278" s="4"/>
      <c r="C278" s="4"/>
      <c r="D278" s="4"/>
      <c r="E278" s="4"/>
      <c r="F278" s="4"/>
      <c r="G278" s="4"/>
      <c r="H278" s="4"/>
      <c r="I278" s="4"/>
      <c r="J278" s="4"/>
      <c r="K278" s="4"/>
      <c r="L278" s="4"/>
    </row>
    <row r="279" spans="1:12">
      <c r="A279" s="4"/>
      <c r="B279" s="4"/>
      <c r="C279" s="4"/>
      <c r="D279" s="4"/>
      <c r="E279" s="4"/>
      <c r="F279" s="4"/>
      <c r="G279" s="4"/>
      <c r="H279" s="4"/>
      <c r="I279" s="4"/>
      <c r="J279" s="4"/>
      <c r="K279" s="4"/>
      <c r="L279" s="4"/>
    </row>
    <row r="280" spans="1:12">
      <c r="A280" s="4"/>
      <c r="B280" s="4"/>
      <c r="C280" s="4"/>
      <c r="D280" s="4"/>
      <c r="E280" s="4"/>
      <c r="F280" s="4"/>
      <c r="G280" s="4"/>
      <c r="H280" s="4"/>
      <c r="I280" s="4"/>
      <c r="J280" s="4"/>
      <c r="K280" s="4"/>
      <c r="L280" s="4"/>
    </row>
    <row r="281" spans="1:12">
      <c r="A281" s="4"/>
      <c r="B281" s="4"/>
      <c r="C281" s="4"/>
      <c r="D281" s="4"/>
      <c r="E281" s="4"/>
      <c r="F281" s="4"/>
      <c r="G281" s="4"/>
      <c r="H281" s="4"/>
      <c r="I281" s="4"/>
      <c r="J281" s="4"/>
      <c r="K281" s="4"/>
      <c r="L281" s="4"/>
    </row>
    <row r="282" spans="1:12">
      <c r="A282" s="4"/>
      <c r="B282" s="4"/>
      <c r="C282" s="4"/>
      <c r="D282" s="4"/>
      <c r="E282" s="4"/>
      <c r="F282" s="4"/>
      <c r="G282" s="4"/>
      <c r="H282" s="4"/>
      <c r="I282" s="4"/>
      <c r="J282" s="4"/>
      <c r="K282" s="4"/>
      <c r="L282" s="4"/>
    </row>
    <row r="283" spans="1:12">
      <c r="A283" s="4"/>
      <c r="B283" s="4"/>
      <c r="C283" s="4"/>
      <c r="D283" s="4"/>
      <c r="E283" s="4"/>
      <c r="F283" s="4"/>
      <c r="G283" s="4"/>
      <c r="H283" s="4"/>
      <c r="I283" s="4"/>
      <c r="J283" s="4"/>
      <c r="K283" s="4"/>
      <c r="L283" s="4"/>
    </row>
    <row r="284" spans="1:12">
      <c r="A284" s="4"/>
      <c r="B284" s="4"/>
      <c r="C284" s="4"/>
      <c r="D284" s="4"/>
      <c r="E284" s="4"/>
      <c r="F284" s="4"/>
      <c r="G284" s="4"/>
      <c r="H284" s="4"/>
      <c r="I284" s="4"/>
      <c r="J284" s="4"/>
      <c r="K284" s="4"/>
      <c r="L284" s="4"/>
    </row>
    <row r="285" spans="1:12">
      <c r="A285" s="4"/>
      <c r="B285" s="4"/>
      <c r="C285" s="4"/>
      <c r="D285" s="4"/>
      <c r="E285" s="4"/>
      <c r="F285" s="4"/>
      <c r="G285" s="4"/>
      <c r="H285" s="4"/>
      <c r="I285" s="4"/>
      <c r="J285" s="4"/>
      <c r="K285" s="4"/>
      <c r="L285" s="4"/>
    </row>
    <row r="286" spans="1:12">
      <c r="A286" s="4"/>
      <c r="B286" s="4"/>
      <c r="C286" s="4"/>
      <c r="D286" s="4"/>
      <c r="E286" s="4"/>
      <c r="F286" s="4"/>
      <c r="G286" s="4"/>
      <c r="H286" s="4"/>
      <c r="I286" s="4"/>
      <c r="J286" s="4"/>
      <c r="K286" s="4"/>
      <c r="L286" s="4"/>
    </row>
    <row r="287" spans="1:12">
      <c r="A287" s="4"/>
      <c r="B287" s="4"/>
      <c r="C287" s="4"/>
      <c r="D287" s="4"/>
      <c r="E287" s="4"/>
      <c r="F287" s="4"/>
      <c r="G287" s="4"/>
      <c r="H287" s="4"/>
      <c r="I287" s="4"/>
      <c r="J287" s="4"/>
      <c r="K287" s="4"/>
      <c r="L287" s="4"/>
    </row>
    <row r="288" spans="1:12">
      <c r="A288" s="4"/>
      <c r="B288" s="4"/>
      <c r="C288" s="4"/>
      <c r="D288" s="4"/>
      <c r="E288" s="4"/>
      <c r="F288" s="4"/>
      <c r="G288" s="4"/>
      <c r="H288" s="4"/>
      <c r="I288" s="4"/>
      <c r="J288" s="4"/>
      <c r="K288" s="4"/>
      <c r="L288" s="4"/>
    </row>
    <row r="289" spans="1:12">
      <c r="A289" s="4"/>
      <c r="B289" s="4"/>
      <c r="C289" s="4"/>
      <c r="D289" s="4"/>
      <c r="E289" s="4"/>
      <c r="F289" s="4"/>
      <c r="G289" s="4"/>
      <c r="H289" s="4"/>
      <c r="I289" s="4"/>
      <c r="J289" s="4"/>
      <c r="K289" s="4"/>
      <c r="L289" s="4"/>
    </row>
    <row r="290" spans="1:12">
      <c r="A290" s="4"/>
      <c r="B290" s="4"/>
      <c r="C290" s="4"/>
      <c r="D290" s="4"/>
      <c r="E290" s="4"/>
      <c r="F290" s="4"/>
      <c r="G290" s="4"/>
      <c r="H290" s="4"/>
      <c r="I290" s="4"/>
      <c r="J290" s="4"/>
      <c r="K290" s="4"/>
      <c r="L290" s="4"/>
    </row>
    <row r="291" spans="1:12">
      <c r="A291" s="4"/>
      <c r="B291" s="4"/>
      <c r="C291" s="4"/>
      <c r="D291" s="4"/>
      <c r="E291" s="4"/>
      <c r="F291" s="4"/>
      <c r="G291" s="4"/>
      <c r="H291" s="4"/>
      <c r="I291" s="4"/>
      <c r="J291" s="4"/>
      <c r="K291" s="4"/>
      <c r="L291" s="4"/>
    </row>
    <row r="292" spans="1:12">
      <c r="A292" s="4"/>
      <c r="B292" s="4"/>
      <c r="C292" s="4"/>
      <c r="D292" s="4"/>
      <c r="E292" s="4"/>
      <c r="F292" s="4"/>
      <c r="G292" s="4"/>
      <c r="H292" s="4"/>
      <c r="I292" s="4"/>
      <c r="J292" s="4"/>
      <c r="K292" s="4"/>
      <c r="L292" s="4"/>
    </row>
    <row r="293" spans="1:12">
      <c r="A293" s="4"/>
      <c r="B293" s="4"/>
      <c r="C293" s="4"/>
      <c r="D293" s="4"/>
      <c r="E293" s="4"/>
      <c r="F293" s="4"/>
      <c r="G293" s="4"/>
      <c r="H293" s="4"/>
      <c r="I293" s="4"/>
      <c r="J293" s="4"/>
      <c r="K293" s="4"/>
      <c r="L293" s="4"/>
    </row>
    <row r="294" spans="1:12">
      <c r="A294" s="4"/>
      <c r="B294" s="4"/>
      <c r="C294" s="4"/>
      <c r="D294" s="4"/>
      <c r="E294" s="4"/>
      <c r="F294" s="4"/>
      <c r="G294" s="4"/>
      <c r="H294" s="4"/>
      <c r="I294" s="4"/>
      <c r="J294" s="4"/>
      <c r="K294" s="4"/>
      <c r="L294" s="4"/>
    </row>
    <row r="295" spans="1:12">
      <c r="A295" s="4"/>
      <c r="B295" s="4"/>
      <c r="C295" s="4"/>
      <c r="D295" s="4"/>
      <c r="E295" s="4"/>
      <c r="F295" s="4"/>
      <c r="G295" s="4"/>
      <c r="H295" s="4"/>
      <c r="I295" s="4"/>
      <c r="J295" s="4"/>
      <c r="K295" s="4"/>
      <c r="L295" s="4"/>
    </row>
    <row r="296" spans="1:12">
      <c r="A296" s="4"/>
      <c r="B296" s="4"/>
      <c r="C296" s="4"/>
      <c r="D296" s="4"/>
      <c r="E296" s="4"/>
      <c r="F296" s="4"/>
      <c r="G296" s="4"/>
      <c r="H296" s="4"/>
      <c r="I296" s="4"/>
      <c r="J296" s="4"/>
      <c r="K296" s="4"/>
      <c r="L296" s="4"/>
    </row>
    <row r="297" spans="1:12">
      <c r="A297" s="4"/>
      <c r="B297" s="4"/>
      <c r="C297" s="4"/>
      <c r="D297" s="4"/>
      <c r="E297" s="4"/>
      <c r="F297" s="4"/>
      <c r="G297" s="4"/>
      <c r="H297" s="4"/>
      <c r="I297" s="4"/>
      <c r="J297" s="4"/>
      <c r="K297" s="4"/>
      <c r="L297" s="4"/>
    </row>
    <row r="298" spans="1:12">
      <c r="A298" s="4"/>
      <c r="B298" s="4"/>
      <c r="C298" s="4"/>
      <c r="D298" s="4"/>
      <c r="E298" s="4"/>
      <c r="F298" s="4"/>
      <c r="G298" s="4"/>
      <c r="H298" s="4"/>
      <c r="I298" s="4"/>
      <c r="J298" s="4"/>
      <c r="K298" s="4"/>
      <c r="L298" s="4"/>
    </row>
    <row r="299" spans="1:12">
      <c r="A299" s="4"/>
      <c r="B299" s="4"/>
      <c r="C299" s="4"/>
      <c r="D299" s="4"/>
      <c r="E299" s="4"/>
      <c r="F299" s="4"/>
      <c r="G299" s="4"/>
      <c r="H299" s="4"/>
      <c r="I299" s="4"/>
      <c r="J299" s="4"/>
      <c r="K299" s="4"/>
      <c r="L299" s="4"/>
    </row>
    <row r="300" spans="1:12">
      <c r="A300" s="4"/>
      <c r="B300" s="4"/>
      <c r="C300" s="4"/>
      <c r="D300" s="4"/>
      <c r="E300" s="4"/>
      <c r="F300" s="4"/>
      <c r="G300" s="4"/>
      <c r="H300" s="4"/>
      <c r="I300" s="4"/>
      <c r="J300" s="4"/>
      <c r="K300" s="4"/>
      <c r="L300" s="4"/>
    </row>
    <row r="301" spans="1:12">
      <c r="A301" s="4"/>
      <c r="B301" s="4"/>
      <c r="C301" s="4"/>
      <c r="D301" s="4"/>
      <c r="E301" s="4"/>
      <c r="F301" s="4"/>
      <c r="G301" s="4"/>
      <c r="H301" s="4"/>
      <c r="I301" s="4"/>
      <c r="J301" s="4"/>
      <c r="K301" s="4"/>
      <c r="L301" s="4"/>
    </row>
    <row r="302" spans="1:12">
      <c r="A302" s="4"/>
      <c r="B302" s="4"/>
      <c r="C302" s="4"/>
      <c r="D302" s="4"/>
      <c r="E302" s="4"/>
      <c r="F302" s="4"/>
      <c r="G302" s="4"/>
      <c r="H302" s="4"/>
      <c r="I302" s="4"/>
      <c r="J302" s="4"/>
      <c r="K302" s="4"/>
      <c r="L302" s="4"/>
    </row>
    <row r="303" spans="1:12">
      <c r="A303" s="4"/>
      <c r="B303" s="4"/>
      <c r="C303" s="4"/>
      <c r="D303" s="4"/>
      <c r="E303" s="4"/>
      <c r="F303" s="4"/>
      <c r="G303" s="4"/>
      <c r="H303" s="4"/>
      <c r="I303" s="4"/>
      <c r="J303" s="4"/>
      <c r="K303" s="4"/>
      <c r="L303" s="4"/>
    </row>
    <row r="304" spans="1:12">
      <c r="A304" s="4"/>
      <c r="B304" s="4"/>
      <c r="C304" s="4"/>
      <c r="D304" s="4"/>
      <c r="E304" s="4"/>
      <c r="F304" s="4"/>
      <c r="G304" s="4"/>
      <c r="H304" s="4"/>
      <c r="I304" s="4"/>
      <c r="J304" s="4"/>
      <c r="K304" s="4"/>
      <c r="L304" s="4"/>
    </row>
    <row r="305" spans="1:12">
      <c r="A305" s="4"/>
      <c r="B305" s="4"/>
      <c r="C305" s="4"/>
      <c r="D305" s="4"/>
      <c r="E305" s="4"/>
      <c r="F305" s="4"/>
      <c r="G305" s="4"/>
      <c r="H305" s="4"/>
      <c r="I305" s="4"/>
      <c r="J305" s="4"/>
      <c r="K305" s="4"/>
      <c r="L305" s="4"/>
    </row>
    <row r="306" spans="1:12">
      <c r="A306" s="4"/>
      <c r="B306" s="4"/>
      <c r="C306" s="4"/>
      <c r="D306" s="4"/>
      <c r="E306" s="4"/>
      <c r="F306" s="4"/>
      <c r="G306" s="4"/>
      <c r="H306" s="4"/>
      <c r="I306" s="4"/>
      <c r="J306" s="4"/>
      <c r="K306" s="4"/>
      <c r="L306" s="4"/>
    </row>
    <row r="307" spans="1:12">
      <c r="A307" s="4"/>
      <c r="B307" s="4"/>
      <c r="C307" s="4"/>
      <c r="D307" s="4"/>
      <c r="E307" s="4"/>
      <c r="F307" s="4"/>
      <c r="G307" s="4"/>
      <c r="H307" s="4"/>
      <c r="I307" s="4"/>
      <c r="J307" s="4"/>
      <c r="K307" s="4"/>
      <c r="L307" s="4"/>
    </row>
    <row r="308" spans="1:12">
      <c r="A308" s="4"/>
      <c r="B308" s="4"/>
      <c r="C308" s="4"/>
      <c r="D308" s="4"/>
      <c r="E308" s="4"/>
      <c r="F308" s="4"/>
      <c r="G308" s="4"/>
      <c r="H308" s="4"/>
      <c r="I308" s="4"/>
      <c r="J308" s="4"/>
      <c r="K308" s="4"/>
      <c r="L308" s="4"/>
    </row>
    <row r="309" spans="1:12">
      <c r="A309" s="4"/>
      <c r="B309" s="4"/>
      <c r="C309" s="4"/>
      <c r="D309" s="4"/>
      <c r="E309" s="4"/>
      <c r="F309" s="4"/>
      <c r="G309" s="4"/>
      <c r="H309" s="4"/>
      <c r="I309" s="4"/>
      <c r="J309" s="4"/>
      <c r="K309" s="4"/>
      <c r="L309" s="4"/>
    </row>
    <row r="310" spans="1:12">
      <c r="A310" s="4"/>
      <c r="B310" s="4"/>
      <c r="C310" s="4"/>
      <c r="D310" s="4"/>
      <c r="E310" s="4"/>
      <c r="F310" s="4"/>
      <c r="G310" s="4"/>
      <c r="H310" s="4"/>
      <c r="I310" s="4"/>
      <c r="J310" s="4"/>
      <c r="K310" s="4"/>
      <c r="L310" s="4"/>
    </row>
    <row r="311" spans="1:12">
      <c r="A311" s="4"/>
      <c r="B311" s="4"/>
      <c r="C311" s="4"/>
      <c r="D311" s="4"/>
      <c r="E311" s="4"/>
      <c r="F311" s="4"/>
      <c r="G311" s="4"/>
      <c r="H311" s="4"/>
      <c r="I311" s="4"/>
      <c r="J311" s="4"/>
      <c r="K311" s="4"/>
      <c r="L311" s="4"/>
    </row>
    <row r="312" spans="1:12">
      <c r="A312" s="4"/>
      <c r="B312" s="4"/>
      <c r="C312" s="4"/>
      <c r="D312" s="4"/>
      <c r="E312" s="4"/>
      <c r="F312" s="4"/>
      <c r="G312" s="4"/>
      <c r="H312" s="4"/>
      <c r="I312" s="4"/>
      <c r="J312" s="4"/>
      <c r="K312" s="4"/>
      <c r="L312" s="4"/>
    </row>
    <row r="313" spans="1:12">
      <c r="A313" s="4"/>
      <c r="B313" s="4"/>
      <c r="C313" s="4"/>
      <c r="D313" s="4"/>
      <c r="E313" s="4"/>
      <c r="F313" s="4"/>
      <c r="G313" s="4"/>
      <c r="H313" s="4"/>
      <c r="I313" s="4"/>
      <c r="J313" s="4"/>
      <c r="K313" s="4"/>
      <c r="L313" s="4"/>
    </row>
    <row r="314" spans="1:12">
      <c r="A314" s="4"/>
      <c r="B314" s="4"/>
      <c r="C314" s="4"/>
      <c r="D314" s="4"/>
      <c r="E314" s="4"/>
      <c r="F314" s="4"/>
      <c r="G314" s="4"/>
      <c r="H314" s="4"/>
      <c r="I314" s="4"/>
      <c r="J314" s="4"/>
      <c r="K314" s="4"/>
      <c r="L314" s="4"/>
    </row>
    <row r="315" spans="1:12">
      <c r="A315" s="4"/>
      <c r="B315" s="4"/>
      <c r="C315" s="4"/>
      <c r="D315" s="4"/>
      <c r="E315" s="4"/>
      <c r="F315" s="4"/>
      <c r="G315" s="4"/>
      <c r="H315" s="4"/>
      <c r="I315" s="4"/>
      <c r="J315" s="4"/>
      <c r="K315" s="4"/>
      <c r="L315" s="4"/>
    </row>
    <row r="316" spans="1:12">
      <c r="A316" s="4"/>
      <c r="B316" s="4"/>
      <c r="C316" s="4"/>
      <c r="D316" s="4"/>
      <c r="E316" s="4"/>
      <c r="F316" s="4"/>
      <c r="G316" s="4"/>
      <c r="H316" s="4"/>
      <c r="I316" s="4"/>
      <c r="J316" s="4"/>
      <c r="K316" s="4"/>
      <c r="L316" s="4"/>
    </row>
    <row r="317" spans="1:12">
      <c r="A317" s="4"/>
      <c r="B317" s="4"/>
      <c r="C317" s="4"/>
      <c r="D317" s="4"/>
      <c r="E317" s="4"/>
      <c r="F317" s="4"/>
      <c r="G317" s="4"/>
      <c r="H317" s="4"/>
      <c r="I317" s="4"/>
      <c r="J317" s="4"/>
      <c r="K317" s="4"/>
      <c r="L317" s="4"/>
    </row>
    <row r="318" spans="1:12">
      <c r="A318" s="4"/>
      <c r="B318" s="4"/>
      <c r="C318" s="4"/>
      <c r="D318" s="4"/>
      <c r="E318" s="4"/>
      <c r="F318" s="4"/>
      <c r="G318" s="4"/>
      <c r="H318" s="4"/>
      <c r="I318" s="4"/>
      <c r="J318" s="4"/>
      <c r="K318" s="4"/>
      <c r="L318" s="4"/>
    </row>
    <row r="319" spans="1:12">
      <c r="A319" s="4"/>
      <c r="B319" s="4"/>
      <c r="C319" s="4"/>
      <c r="D319" s="4"/>
      <c r="E319" s="4"/>
      <c r="F319" s="4"/>
      <c r="G319" s="4"/>
      <c r="H319" s="4"/>
      <c r="I319" s="4"/>
      <c r="J319" s="4"/>
      <c r="K319" s="4"/>
      <c r="L319" s="4"/>
    </row>
    <row r="320" spans="1:12">
      <c r="A320" s="4"/>
      <c r="B320" s="4"/>
      <c r="C320" s="4"/>
      <c r="D320" s="4"/>
      <c r="E320" s="4"/>
      <c r="F320" s="4"/>
      <c r="G320" s="4"/>
      <c r="H320" s="4"/>
      <c r="I320" s="4"/>
      <c r="J320" s="4"/>
      <c r="K320" s="4"/>
      <c r="L320" s="4"/>
    </row>
    <row r="321" spans="1:12">
      <c r="A321" s="4"/>
      <c r="B321" s="4"/>
      <c r="C321" s="4"/>
      <c r="D321" s="4"/>
      <c r="E321" s="4"/>
      <c r="F321" s="4"/>
      <c r="G321" s="4"/>
      <c r="H321" s="4"/>
      <c r="I321" s="4"/>
      <c r="J321" s="4"/>
      <c r="K321" s="4"/>
      <c r="L321" s="4"/>
    </row>
    <row r="322" spans="1:12">
      <c r="A322" s="4"/>
      <c r="B322" s="4"/>
      <c r="C322" s="4"/>
      <c r="D322" s="4"/>
      <c r="E322" s="4"/>
      <c r="F322" s="4"/>
      <c r="G322" s="4"/>
      <c r="H322" s="4"/>
      <c r="I322" s="4"/>
      <c r="J322" s="4"/>
      <c r="K322" s="4"/>
      <c r="L322" s="4"/>
    </row>
    <row r="323" spans="1:12">
      <c r="A323" s="4"/>
      <c r="B323" s="4"/>
      <c r="C323" s="4"/>
      <c r="D323" s="4"/>
      <c r="E323" s="4"/>
      <c r="F323" s="4"/>
      <c r="G323" s="4"/>
      <c r="H323" s="4"/>
      <c r="I323" s="4"/>
      <c r="J323" s="4"/>
      <c r="K323" s="4"/>
      <c r="L323" s="4"/>
    </row>
    <row r="324" spans="1:12">
      <c r="A324" s="4"/>
      <c r="B324" s="4"/>
      <c r="C324" s="4"/>
      <c r="D324" s="4"/>
      <c r="E324" s="4"/>
      <c r="F324" s="4"/>
      <c r="G324" s="4"/>
      <c r="H324" s="4"/>
      <c r="I324" s="4"/>
      <c r="J324" s="4"/>
      <c r="K324" s="4"/>
      <c r="L324" s="4"/>
    </row>
    <row r="325" spans="1:12">
      <c r="A325" s="4"/>
      <c r="B325" s="4"/>
      <c r="C325" s="4"/>
      <c r="D325" s="4"/>
      <c r="E325" s="4"/>
      <c r="F325" s="4"/>
      <c r="G325" s="4"/>
      <c r="H325" s="4"/>
      <c r="I325" s="4"/>
      <c r="J325" s="4"/>
      <c r="K325" s="4"/>
      <c r="L325" s="4"/>
    </row>
    <row r="326" spans="1:12">
      <c r="A326" s="4"/>
      <c r="B326" s="4"/>
      <c r="C326" s="4"/>
      <c r="D326" s="4"/>
      <c r="E326" s="4"/>
      <c r="F326" s="4"/>
      <c r="G326" s="4"/>
      <c r="H326" s="4"/>
      <c r="I326" s="4"/>
      <c r="J326" s="4"/>
      <c r="K326" s="4"/>
      <c r="L326" s="4"/>
    </row>
    <row r="327" spans="1:12">
      <c r="A327" s="4"/>
      <c r="B327" s="4"/>
      <c r="C327" s="4"/>
      <c r="D327" s="4"/>
      <c r="E327" s="4"/>
      <c r="F327" s="4"/>
      <c r="G327" s="4"/>
      <c r="H327" s="4"/>
      <c r="I327" s="4"/>
      <c r="J327" s="4"/>
      <c r="K327" s="4"/>
      <c r="L327" s="4"/>
    </row>
    <row r="328" spans="1:12">
      <c r="A328" s="4"/>
      <c r="B328" s="4"/>
      <c r="C328" s="4"/>
      <c r="D328" s="4"/>
      <c r="E328" s="4"/>
      <c r="F328" s="4"/>
      <c r="G328" s="4"/>
      <c r="H328" s="4"/>
      <c r="I328" s="4"/>
      <c r="J328" s="4"/>
      <c r="K328" s="4"/>
      <c r="L328" s="4"/>
    </row>
    <row r="329" spans="1:12">
      <c r="A329" s="4"/>
      <c r="B329" s="4"/>
      <c r="C329" s="4"/>
      <c r="D329" s="4"/>
      <c r="E329" s="4"/>
      <c r="F329" s="4"/>
      <c r="G329" s="4"/>
      <c r="H329" s="4"/>
      <c r="I329" s="4"/>
      <c r="J329" s="4"/>
      <c r="K329" s="4"/>
      <c r="L329" s="4"/>
    </row>
    <row r="330" spans="1:12">
      <c r="A330" s="4"/>
      <c r="B330" s="4"/>
      <c r="C330" s="4"/>
      <c r="D330" s="4"/>
      <c r="E330" s="4"/>
      <c r="F330" s="4"/>
      <c r="G330" s="4"/>
      <c r="H330" s="4"/>
      <c r="I330" s="4"/>
      <c r="J330" s="4"/>
      <c r="K330" s="4"/>
      <c r="L330" s="4"/>
    </row>
    <row r="331" spans="1:12">
      <c r="A331" s="4"/>
      <c r="B331" s="4"/>
      <c r="C331" s="4"/>
      <c r="D331" s="4"/>
      <c r="E331" s="4"/>
      <c r="F331" s="4"/>
      <c r="G331" s="4"/>
      <c r="H331" s="4"/>
      <c r="I331" s="4"/>
      <c r="J331" s="4"/>
      <c r="K331" s="4"/>
      <c r="L331" s="4"/>
    </row>
    <row r="332" spans="1:12">
      <c r="A332" s="4"/>
      <c r="B332" s="4"/>
      <c r="C332" s="4"/>
      <c r="D332" s="4"/>
      <c r="E332" s="4"/>
      <c r="F332" s="4"/>
      <c r="G332" s="4"/>
      <c r="H332" s="4"/>
      <c r="I332" s="4"/>
      <c r="J332" s="4"/>
      <c r="K332" s="4"/>
      <c r="L332" s="4"/>
    </row>
    <row r="333" spans="1:12">
      <c r="A333" s="4"/>
      <c r="B333" s="4"/>
      <c r="C333" s="4"/>
      <c r="D333" s="4"/>
      <c r="E333" s="4"/>
      <c r="F333" s="4"/>
      <c r="G333" s="4"/>
      <c r="H333" s="4"/>
      <c r="I333" s="4"/>
      <c r="J333" s="4"/>
      <c r="K333" s="4"/>
      <c r="L333" s="4"/>
    </row>
    <row r="334" spans="1:12">
      <c r="A334" s="4"/>
      <c r="B334" s="4"/>
      <c r="C334" s="4"/>
      <c r="D334" s="4"/>
      <c r="E334" s="4"/>
      <c r="F334" s="4"/>
      <c r="G334" s="4"/>
      <c r="H334" s="4"/>
      <c r="I334" s="4"/>
      <c r="J334" s="4"/>
      <c r="K334" s="4"/>
      <c r="L334" s="4"/>
    </row>
    <row r="335" spans="1:12">
      <c r="A335" s="4"/>
      <c r="B335" s="4"/>
      <c r="C335" s="4"/>
      <c r="D335" s="4"/>
      <c r="E335" s="4"/>
      <c r="F335" s="4"/>
      <c r="G335" s="4"/>
      <c r="H335" s="4"/>
      <c r="I335" s="4"/>
      <c r="J335" s="4"/>
      <c r="K335" s="4"/>
      <c r="L335" s="4"/>
    </row>
    <row r="336" spans="1:12">
      <c r="A336" s="4"/>
      <c r="B336" s="4"/>
      <c r="C336" s="4"/>
      <c r="D336" s="4"/>
      <c r="E336" s="4"/>
      <c r="F336" s="4"/>
      <c r="G336" s="4"/>
      <c r="H336" s="4"/>
      <c r="I336" s="4"/>
      <c r="J336" s="4"/>
      <c r="K336" s="4"/>
      <c r="L336" s="4"/>
    </row>
    <row r="337" spans="1:12">
      <c r="A337" s="4"/>
      <c r="B337" s="4"/>
      <c r="C337" s="4"/>
      <c r="D337" s="4"/>
      <c r="E337" s="4"/>
      <c r="F337" s="4"/>
      <c r="G337" s="4"/>
      <c r="H337" s="4"/>
      <c r="I337" s="4"/>
      <c r="J337" s="4"/>
      <c r="K337" s="4"/>
      <c r="L337" s="4"/>
    </row>
    <row r="338" spans="1:12">
      <c r="A338" s="4"/>
      <c r="B338" s="4"/>
      <c r="C338" s="4"/>
      <c r="D338" s="4"/>
      <c r="E338" s="4"/>
      <c r="F338" s="4"/>
      <c r="G338" s="4"/>
      <c r="H338" s="4"/>
      <c r="I338" s="4"/>
      <c r="J338" s="4"/>
      <c r="K338" s="4"/>
      <c r="L338" s="4"/>
    </row>
    <row r="339" spans="1:12">
      <c r="A339" s="4"/>
      <c r="B339" s="4"/>
      <c r="C339" s="4"/>
      <c r="D339" s="4"/>
      <c r="E339" s="4"/>
      <c r="F339" s="4"/>
      <c r="G339" s="4"/>
      <c r="H339" s="4"/>
      <c r="I339" s="4"/>
      <c r="J339" s="4"/>
      <c r="K339" s="4"/>
      <c r="L339" s="4"/>
    </row>
    <row r="340" spans="1:12">
      <c r="A340" s="4"/>
      <c r="B340" s="4"/>
      <c r="C340" s="4"/>
      <c r="D340" s="4"/>
      <c r="E340" s="4"/>
      <c r="F340" s="4"/>
      <c r="G340" s="4"/>
      <c r="H340" s="4"/>
      <c r="I340" s="4"/>
      <c r="J340" s="4"/>
      <c r="K340" s="4"/>
      <c r="L340" s="4"/>
    </row>
    <row r="341" spans="1:12">
      <c r="A341" s="4"/>
      <c r="B341" s="4"/>
      <c r="C341" s="4"/>
      <c r="D341" s="4"/>
      <c r="E341" s="4"/>
      <c r="F341" s="4"/>
      <c r="G341" s="4"/>
      <c r="H341" s="4"/>
      <c r="I341" s="4"/>
      <c r="J341" s="4"/>
      <c r="K341" s="4"/>
      <c r="L341" s="4"/>
    </row>
    <row r="342" spans="1:12">
      <c r="A342" s="4"/>
      <c r="B342" s="4"/>
      <c r="C342" s="4"/>
      <c r="D342" s="4"/>
      <c r="E342" s="4"/>
      <c r="F342" s="4"/>
      <c r="G342" s="4"/>
      <c r="H342" s="4"/>
      <c r="I342" s="4"/>
      <c r="J342" s="4"/>
      <c r="K342" s="4"/>
      <c r="L342" s="4"/>
    </row>
    <row r="343" spans="1:12">
      <c r="A343" s="4"/>
      <c r="B343" s="4"/>
      <c r="C343" s="4"/>
      <c r="D343" s="4"/>
      <c r="E343" s="4"/>
      <c r="F343" s="4"/>
      <c r="G343" s="4"/>
      <c r="H343" s="4"/>
      <c r="I343" s="4"/>
      <c r="J343" s="4"/>
      <c r="K343" s="4"/>
      <c r="L343" s="4"/>
    </row>
    <row r="344" spans="1:12">
      <c r="A344" s="4"/>
      <c r="B344" s="4"/>
      <c r="C344" s="4"/>
      <c r="D344" s="4"/>
      <c r="E344" s="4"/>
      <c r="F344" s="4"/>
      <c r="G344" s="4"/>
      <c r="H344" s="4"/>
      <c r="I344" s="4"/>
      <c r="J344" s="4"/>
      <c r="K344" s="4"/>
      <c r="L344" s="4"/>
    </row>
    <row r="345" spans="1:12">
      <c r="A345" s="4"/>
      <c r="B345" s="4"/>
      <c r="C345" s="4"/>
      <c r="D345" s="4"/>
      <c r="E345" s="4"/>
      <c r="F345" s="4"/>
      <c r="G345" s="4"/>
      <c r="H345" s="4"/>
      <c r="I345" s="4"/>
      <c r="J345" s="4"/>
      <c r="K345" s="4"/>
      <c r="L345" s="4"/>
    </row>
    <row r="346" spans="1:12">
      <c r="A346" s="4"/>
      <c r="B346" s="4"/>
      <c r="C346" s="4"/>
      <c r="D346" s="4"/>
      <c r="E346" s="4"/>
      <c r="F346" s="4"/>
      <c r="G346" s="4"/>
      <c r="H346" s="4"/>
      <c r="I346" s="4"/>
      <c r="J346" s="4"/>
      <c r="K346" s="4"/>
      <c r="L346" s="4"/>
    </row>
    <row r="347" spans="1:12">
      <c r="A347" s="4"/>
      <c r="B347" s="4"/>
      <c r="C347" s="4"/>
      <c r="D347" s="4"/>
      <c r="E347" s="4"/>
      <c r="F347" s="4"/>
      <c r="G347" s="4"/>
      <c r="H347" s="4"/>
      <c r="I347" s="4"/>
      <c r="J347" s="4"/>
      <c r="K347" s="4"/>
      <c r="L347" s="4"/>
    </row>
    <row r="348" spans="1:12">
      <c r="A348" s="4"/>
      <c r="B348" s="4"/>
      <c r="C348" s="4"/>
      <c r="D348" s="4"/>
      <c r="E348" s="4"/>
      <c r="F348" s="4"/>
      <c r="G348" s="4"/>
      <c r="H348" s="4"/>
      <c r="I348" s="4"/>
      <c r="J348" s="4"/>
      <c r="K348" s="4"/>
      <c r="L348" s="4"/>
    </row>
    <row r="349" spans="1:12">
      <c r="A349" s="4"/>
      <c r="B349" s="4"/>
      <c r="C349" s="4"/>
      <c r="D349" s="4"/>
      <c r="E349" s="4"/>
      <c r="F349" s="4"/>
      <c r="G349" s="4"/>
      <c r="H349" s="4"/>
      <c r="I349" s="4"/>
      <c r="J349" s="4"/>
      <c r="K349" s="4"/>
      <c r="L349" s="4"/>
    </row>
    <row r="350" spans="1:12" ht="20.25" customHeight="1">
      <c r="A350" s="4"/>
      <c r="B350" s="4"/>
      <c r="C350" s="4"/>
      <c r="D350" s="4"/>
      <c r="E350" s="4"/>
      <c r="F350" s="4"/>
      <c r="G350" s="4"/>
      <c r="H350" s="4"/>
      <c r="I350" s="4"/>
      <c r="J350" s="4"/>
      <c r="K350" s="4"/>
      <c r="L350" s="4"/>
    </row>
    <row r="351" spans="1:12">
      <c r="A351" s="4"/>
      <c r="B351" s="4"/>
      <c r="C351" s="4"/>
      <c r="D351" s="4"/>
      <c r="E351" s="4"/>
      <c r="F351" s="4"/>
      <c r="G351" s="4"/>
      <c r="H351" s="4"/>
      <c r="I351" s="4"/>
      <c r="J351" s="4"/>
      <c r="K351" s="4"/>
      <c r="L351" s="4"/>
    </row>
    <row r="352" spans="1:12">
      <c r="A352" s="4"/>
      <c r="B352" s="4"/>
      <c r="C352" s="4"/>
      <c r="D352" s="4"/>
      <c r="E352" s="4"/>
      <c r="F352" s="4"/>
      <c r="G352" s="4"/>
      <c r="H352" s="4"/>
      <c r="I352" s="4"/>
      <c r="J352" s="4"/>
      <c r="K352" s="4"/>
      <c r="L352" s="4"/>
    </row>
    <row r="353" spans="1:12" ht="20.25" customHeight="1">
      <c r="A353" s="4"/>
      <c r="B353" s="4"/>
      <c r="C353" s="4"/>
      <c r="D353" s="4"/>
      <c r="E353" s="4"/>
      <c r="F353" s="4"/>
      <c r="G353" s="4"/>
      <c r="H353" s="4"/>
      <c r="I353" s="4"/>
      <c r="J353" s="4"/>
      <c r="K353" s="4"/>
      <c r="L353" s="4"/>
    </row>
    <row r="354" spans="1:12">
      <c r="A354" s="4"/>
      <c r="B354" s="4"/>
      <c r="C354" s="4"/>
      <c r="D354" s="4"/>
      <c r="E354" s="4"/>
      <c r="F354" s="4"/>
      <c r="G354" s="4"/>
      <c r="H354" s="4"/>
      <c r="I354" s="4"/>
      <c r="J354" s="4"/>
      <c r="K354" s="4"/>
      <c r="L354" s="4"/>
    </row>
    <row r="355" spans="1:12">
      <c r="A355" s="4"/>
      <c r="B355" s="4"/>
      <c r="C355" s="4"/>
      <c r="D355" s="4"/>
      <c r="E355" s="4"/>
      <c r="F355" s="4"/>
      <c r="G355" s="4"/>
      <c r="H355" s="4"/>
      <c r="I355" s="4"/>
      <c r="J355" s="4"/>
      <c r="K355" s="4"/>
      <c r="L355" s="4"/>
    </row>
    <row r="356" spans="1:12">
      <c r="A356" s="4"/>
      <c r="B356" s="4"/>
      <c r="C356" s="4"/>
      <c r="D356" s="4"/>
      <c r="E356" s="4"/>
      <c r="F356" s="4"/>
      <c r="G356" s="4"/>
      <c r="H356" s="4"/>
      <c r="I356" s="4"/>
      <c r="J356" s="4"/>
      <c r="K356" s="4"/>
      <c r="L356" s="4"/>
    </row>
    <row r="357" spans="1:12">
      <c r="A357" s="4"/>
      <c r="B357" s="4"/>
      <c r="C357" s="4"/>
      <c r="D357" s="4"/>
      <c r="E357" s="4"/>
      <c r="F357" s="4"/>
      <c r="G357" s="4"/>
      <c r="H357" s="4"/>
      <c r="I357" s="4"/>
      <c r="J357" s="4"/>
      <c r="K357" s="4"/>
      <c r="L357" s="4"/>
    </row>
    <row r="358" spans="1:12">
      <c r="A358" s="4"/>
      <c r="B358" s="4"/>
      <c r="C358" s="4"/>
      <c r="D358" s="4"/>
      <c r="E358" s="4"/>
      <c r="F358" s="4"/>
      <c r="G358" s="4"/>
      <c r="H358" s="4"/>
      <c r="I358" s="4"/>
      <c r="J358" s="4"/>
      <c r="K358" s="4"/>
      <c r="L358" s="4"/>
    </row>
    <row r="359" spans="1:12">
      <c r="A359" s="4"/>
      <c r="B359" s="4"/>
      <c r="C359" s="4"/>
      <c r="D359" s="4"/>
      <c r="E359" s="4"/>
      <c r="F359" s="4"/>
      <c r="G359" s="4"/>
      <c r="H359" s="4"/>
      <c r="I359" s="4"/>
      <c r="J359" s="4"/>
      <c r="K359" s="4"/>
      <c r="L359" s="4"/>
    </row>
    <row r="360" spans="1:12">
      <c r="A360" s="4"/>
      <c r="B360" s="4"/>
      <c r="C360" s="4"/>
      <c r="D360" s="4"/>
      <c r="E360" s="4"/>
      <c r="F360" s="4"/>
      <c r="G360" s="4"/>
      <c r="H360" s="4"/>
      <c r="I360" s="4"/>
      <c r="J360" s="4"/>
      <c r="K360" s="4"/>
      <c r="L360" s="4"/>
    </row>
    <row r="361" spans="1:12">
      <c r="A361" s="4"/>
      <c r="B361" s="4"/>
      <c r="C361" s="4"/>
      <c r="D361" s="4"/>
      <c r="E361" s="4"/>
      <c r="F361" s="4"/>
      <c r="G361" s="4"/>
      <c r="H361" s="4"/>
      <c r="I361" s="4"/>
      <c r="J361" s="4"/>
      <c r="K361" s="4"/>
      <c r="L361" s="4"/>
    </row>
    <row r="362" spans="1:12">
      <c r="A362" s="4"/>
      <c r="B362" s="4"/>
      <c r="C362" s="4"/>
      <c r="D362" s="4"/>
      <c r="E362" s="4"/>
      <c r="F362" s="4"/>
      <c r="G362" s="4"/>
      <c r="H362" s="4"/>
      <c r="I362" s="4"/>
      <c r="J362" s="4"/>
      <c r="K362" s="4"/>
      <c r="L362" s="4"/>
    </row>
    <row r="363" spans="1:12">
      <c r="A363" s="4"/>
      <c r="B363" s="4"/>
      <c r="C363" s="4"/>
      <c r="D363" s="4"/>
      <c r="E363" s="4"/>
      <c r="F363" s="4"/>
      <c r="G363" s="4"/>
      <c r="H363" s="4"/>
      <c r="I363" s="4"/>
      <c r="J363" s="4"/>
      <c r="K363" s="4"/>
      <c r="L363" s="4"/>
    </row>
    <row r="364" spans="1:12">
      <c r="A364" s="4"/>
      <c r="B364" s="4"/>
      <c r="C364" s="4"/>
      <c r="D364" s="4"/>
      <c r="E364" s="4"/>
      <c r="F364" s="4"/>
      <c r="G364" s="4"/>
      <c r="H364" s="4"/>
      <c r="I364" s="4"/>
      <c r="J364" s="4"/>
      <c r="K364" s="4"/>
      <c r="L364" s="4"/>
    </row>
    <row r="365" spans="1:12">
      <c r="A365" s="4"/>
      <c r="B365" s="4"/>
      <c r="C365" s="4"/>
      <c r="D365" s="4"/>
      <c r="E365" s="4"/>
      <c r="F365" s="4"/>
      <c r="G365" s="4"/>
      <c r="H365" s="4"/>
      <c r="I365" s="4"/>
      <c r="J365" s="4"/>
      <c r="K365" s="4"/>
      <c r="L365" s="4"/>
    </row>
    <row r="366" spans="1:12">
      <c r="A366" s="4"/>
      <c r="B366" s="4"/>
      <c r="C366" s="4"/>
      <c r="D366" s="4"/>
      <c r="E366" s="4"/>
      <c r="F366" s="4"/>
      <c r="G366" s="4"/>
      <c r="H366" s="4"/>
      <c r="I366" s="4"/>
      <c r="J366" s="4"/>
      <c r="K366" s="4"/>
      <c r="L366" s="4"/>
    </row>
    <row r="367" spans="1:12">
      <c r="A367" s="4"/>
      <c r="B367" s="4"/>
      <c r="C367" s="4"/>
      <c r="D367" s="4"/>
      <c r="E367" s="4"/>
      <c r="F367" s="4"/>
      <c r="G367" s="4"/>
      <c r="H367" s="4"/>
      <c r="I367" s="4"/>
      <c r="J367" s="4"/>
      <c r="K367" s="4"/>
      <c r="L367" s="4"/>
    </row>
    <row r="368" spans="1:12">
      <c r="A368" s="4"/>
      <c r="B368" s="4"/>
      <c r="C368" s="4"/>
      <c r="D368" s="4"/>
      <c r="E368" s="4"/>
      <c r="F368" s="4"/>
      <c r="G368" s="4"/>
      <c r="H368" s="4"/>
      <c r="I368" s="4"/>
      <c r="J368" s="4"/>
      <c r="K368" s="4"/>
      <c r="L368" s="4"/>
    </row>
    <row r="369" spans="1:12">
      <c r="A369" s="4"/>
      <c r="B369" s="4"/>
      <c r="C369" s="4"/>
      <c r="D369" s="4"/>
      <c r="E369" s="4"/>
      <c r="F369" s="4"/>
      <c r="G369" s="4"/>
      <c r="H369" s="4"/>
      <c r="I369" s="4"/>
      <c r="J369" s="4"/>
      <c r="K369" s="4"/>
      <c r="L369" s="4"/>
    </row>
    <row r="370" spans="1:12">
      <c r="A370" s="4"/>
      <c r="B370" s="4"/>
      <c r="C370" s="4"/>
      <c r="D370" s="4"/>
      <c r="E370" s="4"/>
      <c r="F370" s="4"/>
      <c r="G370" s="4"/>
      <c r="H370" s="4"/>
      <c r="I370" s="4"/>
      <c r="J370" s="4"/>
      <c r="K370" s="4"/>
      <c r="L370" s="4"/>
    </row>
    <row r="371" spans="1:12">
      <c r="A371" s="4"/>
      <c r="B371" s="4"/>
      <c r="C371" s="4"/>
      <c r="D371" s="4"/>
      <c r="E371" s="4"/>
      <c r="F371" s="4"/>
      <c r="G371" s="4"/>
      <c r="H371" s="4"/>
      <c r="I371" s="4"/>
      <c r="J371" s="4"/>
      <c r="K371" s="4"/>
      <c r="L371" s="4"/>
    </row>
    <row r="372" spans="1:12">
      <c r="A372" s="4"/>
      <c r="B372" s="4"/>
      <c r="C372" s="4"/>
      <c r="D372" s="4"/>
      <c r="E372" s="4"/>
      <c r="F372" s="4"/>
      <c r="G372" s="4"/>
      <c r="H372" s="4"/>
      <c r="I372" s="4"/>
      <c r="J372" s="4"/>
      <c r="K372" s="4"/>
      <c r="L372" s="4"/>
    </row>
    <row r="373" spans="1:12">
      <c r="A373" s="4"/>
      <c r="B373" s="4"/>
      <c r="C373" s="4"/>
      <c r="D373" s="4"/>
      <c r="E373" s="4"/>
      <c r="F373" s="4"/>
      <c r="G373" s="4"/>
      <c r="H373" s="4"/>
      <c r="I373" s="4"/>
      <c r="J373" s="4"/>
      <c r="K373" s="4"/>
      <c r="L373" s="4"/>
    </row>
    <row r="374" spans="1:12">
      <c r="A374" s="4"/>
      <c r="B374" s="4"/>
      <c r="C374" s="4"/>
      <c r="D374" s="4"/>
      <c r="E374" s="4"/>
      <c r="F374" s="4"/>
      <c r="G374" s="4"/>
      <c r="H374" s="4"/>
      <c r="I374" s="4"/>
      <c r="J374" s="4"/>
      <c r="K374" s="4"/>
      <c r="L374" s="4"/>
    </row>
    <row r="375" spans="1:12">
      <c r="A375" s="4"/>
      <c r="B375" s="4"/>
      <c r="C375" s="4"/>
      <c r="D375" s="4"/>
      <c r="E375" s="4"/>
      <c r="F375" s="4"/>
      <c r="G375" s="4"/>
      <c r="H375" s="4"/>
      <c r="I375" s="4"/>
      <c r="J375" s="4"/>
      <c r="K375" s="4"/>
      <c r="L375" s="4"/>
    </row>
    <row r="376" spans="1:12">
      <c r="A376" s="4"/>
      <c r="B376" s="4"/>
      <c r="C376" s="4"/>
      <c r="D376" s="4"/>
      <c r="E376" s="4"/>
      <c r="F376" s="4"/>
      <c r="G376" s="4"/>
      <c r="H376" s="4"/>
      <c r="I376" s="4"/>
      <c r="J376" s="4"/>
      <c r="K376" s="4"/>
      <c r="L376" s="4"/>
    </row>
    <row r="377" spans="1:12">
      <c r="A377" s="4"/>
      <c r="B377" s="4"/>
      <c r="C377" s="4"/>
      <c r="D377" s="4"/>
      <c r="E377" s="4"/>
      <c r="F377" s="4"/>
      <c r="G377" s="4"/>
      <c r="H377" s="4"/>
      <c r="I377" s="4"/>
      <c r="J377" s="4"/>
      <c r="K377" s="4"/>
      <c r="L377" s="4"/>
    </row>
    <row r="378" spans="1:12" ht="23.1" customHeight="1">
      <c r="A378" s="4"/>
      <c r="B378" s="4"/>
      <c r="C378" s="4"/>
      <c r="D378" s="4"/>
      <c r="E378" s="4"/>
      <c r="F378" s="4"/>
      <c r="G378" s="4"/>
      <c r="H378" s="4"/>
      <c r="I378" s="4"/>
      <c r="J378" s="4"/>
      <c r="K378" s="4"/>
      <c r="L378" s="4"/>
    </row>
    <row r="379" spans="1:12">
      <c r="A379" s="4"/>
      <c r="B379" s="4"/>
      <c r="C379" s="4"/>
      <c r="D379" s="4"/>
      <c r="E379" s="4"/>
      <c r="F379" s="4"/>
      <c r="G379" s="4"/>
      <c r="H379" s="4"/>
      <c r="I379" s="4"/>
      <c r="J379" s="4"/>
      <c r="K379" s="4"/>
      <c r="L379" s="4"/>
    </row>
    <row r="380" spans="1:12">
      <c r="A380" s="4"/>
      <c r="B380" s="4"/>
      <c r="C380" s="4"/>
      <c r="D380" s="4"/>
      <c r="E380" s="4"/>
      <c r="F380" s="4"/>
      <c r="G380" s="4"/>
      <c r="H380" s="4"/>
      <c r="I380" s="4"/>
      <c r="J380" s="4"/>
      <c r="K380" s="4"/>
      <c r="L380" s="4"/>
    </row>
    <row r="381" spans="1:12">
      <c r="A381" s="4"/>
      <c r="B381" s="4"/>
      <c r="C381" s="4"/>
      <c r="D381" s="4"/>
      <c r="E381" s="4"/>
      <c r="F381" s="4"/>
      <c r="G381" s="4"/>
      <c r="H381" s="4"/>
      <c r="I381" s="4"/>
      <c r="J381" s="4"/>
      <c r="K381" s="4"/>
      <c r="L381" s="4"/>
    </row>
    <row r="382" spans="1:12">
      <c r="A382" s="4"/>
      <c r="B382" s="4"/>
      <c r="C382" s="4"/>
      <c r="D382" s="4"/>
      <c r="E382" s="4"/>
      <c r="F382" s="4"/>
      <c r="G382" s="4"/>
      <c r="H382" s="4"/>
      <c r="I382" s="4"/>
      <c r="J382" s="4"/>
      <c r="K382" s="4"/>
      <c r="L382" s="4"/>
    </row>
    <row r="383" spans="1:12">
      <c r="A383" s="4"/>
      <c r="B383" s="4"/>
      <c r="C383" s="4"/>
      <c r="D383" s="4"/>
      <c r="E383" s="4"/>
      <c r="F383" s="4"/>
      <c r="G383" s="4"/>
      <c r="H383" s="4"/>
      <c r="I383" s="4"/>
      <c r="J383" s="4"/>
      <c r="K383" s="4"/>
      <c r="L383" s="4"/>
    </row>
    <row r="384" spans="1:12">
      <c r="A384" s="4"/>
      <c r="B384" s="4"/>
      <c r="C384" s="4"/>
      <c r="D384" s="4"/>
      <c r="E384" s="4"/>
      <c r="F384" s="4"/>
      <c r="G384" s="4"/>
      <c r="H384" s="4"/>
      <c r="I384" s="4"/>
      <c r="J384" s="4"/>
      <c r="K384" s="4"/>
      <c r="L384" s="4"/>
    </row>
    <row r="385" spans="1:12">
      <c r="A385" s="4"/>
      <c r="B385" s="4"/>
      <c r="C385" s="4"/>
      <c r="D385" s="4"/>
      <c r="E385" s="4"/>
      <c r="F385" s="4"/>
      <c r="G385" s="4"/>
      <c r="H385" s="4"/>
      <c r="I385" s="4"/>
      <c r="J385" s="4"/>
      <c r="K385" s="4"/>
      <c r="L385" s="4"/>
    </row>
    <row r="386" spans="1:12">
      <c r="A386" s="4"/>
      <c r="B386" s="4"/>
      <c r="C386" s="4"/>
      <c r="D386" s="4"/>
      <c r="E386" s="4"/>
      <c r="F386" s="4"/>
      <c r="G386" s="4"/>
      <c r="H386" s="4"/>
      <c r="I386" s="4"/>
      <c r="J386" s="4"/>
      <c r="K386" s="4"/>
      <c r="L386" s="4"/>
    </row>
    <row r="387" spans="1:12">
      <c r="A387" s="4"/>
      <c r="B387" s="4"/>
      <c r="C387" s="4"/>
      <c r="D387" s="4"/>
      <c r="E387" s="4"/>
      <c r="F387" s="4"/>
      <c r="G387" s="4"/>
      <c r="H387" s="4"/>
      <c r="I387" s="4"/>
      <c r="J387" s="4"/>
      <c r="K387" s="4"/>
      <c r="L387" s="4"/>
    </row>
    <row r="388" spans="1:12">
      <c r="A388" s="4"/>
      <c r="B388" s="4"/>
      <c r="C388" s="4"/>
      <c r="D388" s="4"/>
      <c r="E388" s="4"/>
      <c r="F388" s="4"/>
      <c r="G388" s="4"/>
      <c r="H388" s="4"/>
      <c r="I388" s="4"/>
      <c r="J388" s="4"/>
      <c r="K388" s="4"/>
      <c r="L388" s="4"/>
    </row>
    <row r="389" spans="1:12">
      <c r="A389" s="4"/>
      <c r="B389" s="4"/>
      <c r="C389" s="4"/>
      <c r="D389" s="4"/>
      <c r="E389" s="4"/>
      <c r="F389" s="4"/>
      <c r="G389" s="4"/>
      <c r="H389" s="4"/>
      <c r="I389" s="4"/>
      <c r="J389" s="4"/>
      <c r="K389" s="4"/>
      <c r="L389" s="4"/>
    </row>
    <row r="390" spans="1:12">
      <c r="A390" s="4"/>
      <c r="B390" s="4"/>
      <c r="C390" s="4"/>
      <c r="D390" s="4"/>
      <c r="E390" s="4"/>
      <c r="F390" s="4"/>
      <c r="G390" s="4"/>
      <c r="H390" s="4"/>
      <c r="I390" s="4"/>
      <c r="J390" s="4"/>
      <c r="K390" s="4"/>
      <c r="L390" s="4"/>
    </row>
    <row r="391" spans="1:12">
      <c r="A391" s="4"/>
      <c r="B391" s="4"/>
      <c r="C391" s="4"/>
      <c r="D391" s="4"/>
      <c r="E391" s="4"/>
      <c r="F391" s="4"/>
      <c r="G391" s="4"/>
      <c r="H391" s="4"/>
      <c r="I391" s="4"/>
      <c r="J391" s="4"/>
      <c r="K391" s="4"/>
      <c r="L391" s="4"/>
    </row>
    <row r="392" spans="1:12">
      <c r="A392" s="4"/>
      <c r="B392" s="4"/>
      <c r="C392" s="4"/>
      <c r="D392" s="4"/>
      <c r="E392" s="4"/>
      <c r="F392" s="4"/>
      <c r="G392" s="4"/>
      <c r="H392" s="4"/>
      <c r="I392" s="4"/>
      <c r="J392" s="4"/>
      <c r="K392" s="4"/>
      <c r="L392" s="4"/>
    </row>
    <row r="393" spans="1:12">
      <c r="A393" s="4"/>
      <c r="B393" s="4"/>
      <c r="C393" s="4"/>
      <c r="D393" s="4"/>
      <c r="E393" s="4"/>
      <c r="F393" s="4"/>
      <c r="G393" s="4"/>
      <c r="H393" s="4"/>
      <c r="I393" s="4"/>
      <c r="J393" s="4"/>
      <c r="K393" s="4"/>
      <c r="L393" s="4"/>
    </row>
    <row r="394" spans="1:12">
      <c r="A394" s="4"/>
      <c r="B394" s="4"/>
      <c r="C394" s="4"/>
      <c r="D394" s="4"/>
      <c r="E394" s="4"/>
      <c r="F394" s="4"/>
      <c r="G394" s="4"/>
      <c r="H394" s="4"/>
      <c r="I394" s="4"/>
      <c r="J394" s="4"/>
      <c r="K394" s="4"/>
      <c r="L394" s="4"/>
    </row>
    <row r="395" spans="1:12">
      <c r="A395" s="4"/>
      <c r="B395" s="4"/>
      <c r="C395" s="4"/>
      <c r="D395" s="4"/>
      <c r="E395" s="4"/>
      <c r="F395" s="4"/>
      <c r="G395" s="4"/>
      <c r="H395" s="4"/>
      <c r="I395" s="4"/>
      <c r="J395" s="4"/>
      <c r="K395" s="4"/>
      <c r="L395" s="4"/>
    </row>
    <row r="396" spans="1:12">
      <c r="A396" s="4"/>
      <c r="B396" s="4"/>
      <c r="C396" s="4"/>
      <c r="D396" s="4"/>
      <c r="E396" s="4"/>
      <c r="F396" s="4"/>
      <c r="G396" s="4"/>
      <c r="H396" s="4"/>
      <c r="I396" s="4"/>
      <c r="J396" s="4"/>
      <c r="K396" s="4"/>
      <c r="L396" s="4"/>
    </row>
    <row r="397" spans="1:12">
      <c r="A397" s="4"/>
      <c r="B397" s="4"/>
      <c r="C397" s="4"/>
      <c r="D397" s="4"/>
      <c r="E397" s="4"/>
      <c r="F397" s="4"/>
      <c r="G397" s="4"/>
      <c r="H397" s="4"/>
      <c r="I397" s="4"/>
      <c r="J397" s="4"/>
      <c r="K397" s="4"/>
      <c r="L397" s="4"/>
    </row>
    <row r="398" spans="1:12">
      <c r="A398" s="4"/>
      <c r="B398" s="4"/>
      <c r="C398" s="4"/>
      <c r="D398" s="4"/>
      <c r="E398" s="4"/>
      <c r="F398" s="4"/>
      <c r="G398" s="4"/>
      <c r="H398" s="4"/>
      <c r="I398" s="4"/>
      <c r="J398" s="4"/>
      <c r="K398" s="4"/>
      <c r="L398" s="4"/>
    </row>
    <row r="399" spans="1:12">
      <c r="A399" s="4"/>
      <c r="B399" s="4"/>
      <c r="C399" s="4"/>
      <c r="D399" s="4"/>
      <c r="E399" s="4"/>
      <c r="F399" s="4"/>
      <c r="G399" s="4"/>
      <c r="H399" s="4"/>
      <c r="I399" s="4"/>
      <c r="J399" s="4"/>
      <c r="K399" s="4"/>
      <c r="L399" s="4"/>
    </row>
    <row r="400" spans="1:12">
      <c r="A400" s="4"/>
      <c r="B400" s="4"/>
      <c r="C400" s="4"/>
      <c r="D400" s="4"/>
      <c r="E400" s="4"/>
      <c r="F400" s="4"/>
      <c r="G400" s="4"/>
      <c r="H400" s="4"/>
      <c r="I400" s="4"/>
      <c r="J400" s="4"/>
      <c r="K400" s="4"/>
      <c r="L400" s="4"/>
    </row>
    <row r="401" spans="1:12">
      <c r="A401" s="4"/>
      <c r="B401" s="4"/>
      <c r="C401" s="4"/>
      <c r="D401" s="4"/>
      <c r="E401" s="4"/>
      <c r="F401" s="4"/>
      <c r="G401" s="4"/>
      <c r="H401" s="4"/>
      <c r="I401" s="4"/>
      <c r="J401" s="4"/>
      <c r="K401" s="4"/>
      <c r="L401" s="4"/>
    </row>
    <row r="402" spans="1:12">
      <c r="A402" s="4"/>
      <c r="B402" s="4"/>
      <c r="C402" s="4"/>
      <c r="D402" s="4"/>
      <c r="E402" s="4"/>
      <c r="F402" s="4"/>
      <c r="G402" s="4"/>
      <c r="H402" s="4"/>
      <c r="I402" s="4"/>
      <c r="J402" s="4"/>
      <c r="K402" s="4"/>
      <c r="L402" s="4"/>
    </row>
    <row r="403" spans="1:12">
      <c r="A403" s="4"/>
      <c r="B403" s="4"/>
      <c r="C403" s="4"/>
      <c r="D403" s="4"/>
      <c r="E403" s="4"/>
      <c r="F403" s="4"/>
      <c r="G403" s="4"/>
      <c r="H403" s="4"/>
      <c r="I403" s="4"/>
      <c r="J403" s="4"/>
      <c r="K403" s="4"/>
      <c r="L403" s="4"/>
    </row>
    <row r="404" spans="1:12">
      <c r="A404" s="4"/>
      <c r="B404" s="4"/>
      <c r="C404" s="4"/>
      <c r="D404" s="4"/>
      <c r="E404" s="4"/>
      <c r="F404" s="4"/>
      <c r="G404" s="4"/>
      <c r="H404" s="4"/>
      <c r="I404" s="4"/>
      <c r="J404" s="4"/>
      <c r="K404" s="4"/>
      <c r="L404" s="4"/>
    </row>
    <row r="405" spans="1:12">
      <c r="A405" s="4"/>
      <c r="B405" s="4"/>
      <c r="C405" s="4"/>
      <c r="D405" s="4"/>
      <c r="E405" s="4"/>
      <c r="F405" s="4"/>
      <c r="G405" s="4"/>
      <c r="H405" s="4"/>
      <c r="I405" s="4"/>
      <c r="J405" s="4"/>
      <c r="K405" s="4"/>
      <c r="L405" s="4"/>
    </row>
    <row r="406" spans="1:12">
      <c r="A406" s="4"/>
      <c r="B406" s="4"/>
      <c r="C406" s="4"/>
      <c r="D406" s="4"/>
      <c r="E406" s="4"/>
      <c r="F406" s="4"/>
      <c r="G406" s="4"/>
      <c r="H406" s="4"/>
      <c r="I406" s="4"/>
      <c r="J406" s="4"/>
      <c r="K406" s="4"/>
      <c r="L406" s="4"/>
    </row>
    <row r="407" spans="1:12">
      <c r="A407" s="4"/>
      <c r="B407" s="4"/>
      <c r="C407" s="4"/>
      <c r="D407" s="4"/>
      <c r="E407" s="4"/>
      <c r="F407" s="4"/>
      <c r="G407" s="4"/>
      <c r="H407" s="4"/>
      <c r="I407" s="4"/>
      <c r="J407" s="4"/>
      <c r="K407" s="4"/>
      <c r="L407" s="4"/>
    </row>
    <row r="408" spans="1:12">
      <c r="A408" s="4"/>
      <c r="B408" s="4"/>
      <c r="C408" s="4"/>
      <c r="D408" s="4"/>
      <c r="E408" s="4"/>
      <c r="F408" s="4"/>
      <c r="G408" s="4"/>
      <c r="H408" s="4"/>
      <c r="I408" s="4"/>
      <c r="J408" s="4"/>
      <c r="K408" s="4"/>
      <c r="L408" s="4"/>
    </row>
    <row r="409" spans="1:12">
      <c r="A409" s="4"/>
      <c r="B409" s="4"/>
      <c r="C409" s="4"/>
      <c r="D409" s="4"/>
      <c r="E409" s="4"/>
      <c r="F409" s="4"/>
      <c r="G409" s="4"/>
      <c r="H409" s="4"/>
      <c r="I409" s="4"/>
      <c r="J409" s="4"/>
      <c r="K409" s="4"/>
      <c r="L409" s="4"/>
    </row>
    <row r="410" spans="1:12">
      <c r="A410" s="4"/>
      <c r="B410" s="4"/>
      <c r="C410" s="4"/>
      <c r="D410" s="4"/>
      <c r="E410" s="4"/>
      <c r="F410" s="4"/>
      <c r="G410" s="4"/>
      <c r="H410" s="4"/>
      <c r="I410" s="4"/>
      <c r="J410" s="4"/>
      <c r="K410" s="4"/>
      <c r="L410" s="4"/>
    </row>
    <row r="411" spans="1:12">
      <c r="A411" s="4"/>
      <c r="B411" s="4"/>
      <c r="C411" s="4"/>
      <c r="D411" s="4"/>
      <c r="E411" s="4"/>
      <c r="F411" s="4"/>
      <c r="G411" s="4"/>
      <c r="H411" s="4"/>
      <c r="I411" s="4"/>
      <c r="J411" s="4"/>
      <c r="K411" s="4"/>
      <c r="L411" s="4"/>
    </row>
    <row r="412" spans="1:12">
      <c r="A412" s="4"/>
      <c r="B412" s="4"/>
      <c r="C412" s="4"/>
      <c r="D412" s="4"/>
      <c r="E412" s="4"/>
      <c r="F412" s="4"/>
      <c r="G412" s="4"/>
      <c r="H412" s="4"/>
      <c r="I412" s="4"/>
      <c r="J412" s="4"/>
      <c r="K412" s="4"/>
      <c r="L412" s="4"/>
    </row>
    <row r="413" spans="1:12">
      <c r="A413" s="4"/>
      <c r="B413" s="4"/>
      <c r="C413" s="4"/>
      <c r="D413" s="4"/>
      <c r="E413" s="4"/>
      <c r="F413" s="4"/>
      <c r="G413" s="4"/>
      <c r="H413" s="4"/>
      <c r="I413" s="4"/>
      <c r="J413" s="4"/>
      <c r="K413" s="4"/>
      <c r="L413" s="4"/>
    </row>
    <row r="414" spans="1:12">
      <c r="A414" s="4"/>
      <c r="B414" s="4"/>
      <c r="C414" s="4"/>
      <c r="D414" s="4"/>
      <c r="E414" s="4"/>
      <c r="F414" s="4"/>
      <c r="G414" s="4"/>
      <c r="H414" s="4"/>
      <c r="I414" s="4"/>
      <c r="J414" s="4"/>
      <c r="K414" s="4"/>
      <c r="L414" s="4"/>
    </row>
    <row r="415" spans="1:12">
      <c r="A415" s="4"/>
      <c r="B415" s="4"/>
      <c r="C415" s="4"/>
      <c r="D415" s="4"/>
      <c r="E415" s="4"/>
      <c r="F415" s="4"/>
      <c r="G415" s="4"/>
      <c r="H415" s="4"/>
      <c r="I415" s="4"/>
      <c r="J415" s="4"/>
      <c r="K415" s="4"/>
      <c r="L415" s="4"/>
    </row>
    <row r="416" spans="1:12">
      <c r="A416" s="4"/>
      <c r="B416" s="4"/>
      <c r="C416" s="4"/>
      <c r="D416" s="4"/>
      <c r="E416" s="4"/>
      <c r="F416" s="4"/>
      <c r="G416" s="4"/>
      <c r="H416" s="4"/>
      <c r="I416" s="4"/>
      <c r="J416" s="4"/>
      <c r="K416" s="4"/>
      <c r="L416" s="4"/>
    </row>
    <row r="417" spans="1:12">
      <c r="A417" s="4"/>
      <c r="B417" s="4"/>
      <c r="C417" s="4"/>
      <c r="D417" s="4"/>
      <c r="E417" s="4"/>
      <c r="F417" s="4"/>
      <c r="G417" s="4"/>
      <c r="H417" s="4"/>
      <c r="I417" s="4"/>
      <c r="J417" s="4"/>
      <c r="K417" s="4"/>
      <c r="L417" s="4"/>
    </row>
    <row r="418" spans="1:12">
      <c r="A418" s="4"/>
      <c r="B418" s="4"/>
      <c r="C418" s="4"/>
      <c r="D418" s="4"/>
      <c r="E418" s="4"/>
      <c r="F418" s="4"/>
      <c r="G418" s="4"/>
      <c r="H418" s="4"/>
      <c r="I418" s="4"/>
      <c r="J418" s="4"/>
      <c r="K418" s="4"/>
      <c r="L418" s="4"/>
    </row>
    <row r="419" spans="1:12">
      <c r="A419" s="4"/>
      <c r="B419" s="4"/>
      <c r="C419" s="4"/>
      <c r="D419" s="4"/>
      <c r="E419" s="4"/>
      <c r="F419" s="4"/>
      <c r="G419" s="4"/>
      <c r="H419" s="4"/>
      <c r="I419" s="4"/>
      <c r="J419" s="4"/>
      <c r="K419" s="4"/>
      <c r="L419" s="4"/>
    </row>
    <row r="420" spans="1:12">
      <c r="A420" s="4"/>
      <c r="B420" s="4"/>
      <c r="C420" s="4"/>
      <c r="D420" s="4"/>
      <c r="E420" s="4"/>
      <c r="F420" s="4"/>
      <c r="G420" s="4"/>
      <c r="H420" s="4"/>
      <c r="I420" s="4"/>
      <c r="J420" s="4"/>
      <c r="K420" s="4"/>
      <c r="L420" s="4"/>
    </row>
    <row r="421" spans="1:12">
      <c r="A421" s="4"/>
      <c r="B421" s="4"/>
      <c r="C421" s="4"/>
      <c r="D421" s="4"/>
      <c r="E421" s="4"/>
      <c r="F421" s="4"/>
      <c r="G421" s="4"/>
      <c r="H421" s="4"/>
      <c r="I421" s="4"/>
      <c r="J421" s="4"/>
      <c r="K421" s="4"/>
      <c r="L421" s="4"/>
    </row>
    <row r="422" spans="1:12">
      <c r="A422" s="4"/>
      <c r="B422" s="4"/>
      <c r="C422" s="4"/>
      <c r="D422" s="4"/>
      <c r="E422" s="4"/>
      <c r="F422" s="4"/>
      <c r="G422" s="4"/>
      <c r="H422" s="4"/>
      <c r="I422" s="4"/>
      <c r="J422" s="4"/>
      <c r="K422" s="4"/>
      <c r="L422" s="4"/>
    </row>
    <row r="423" spans="1:12">
      <c r="A423" s="4"/>
      <c r="B423" s="4"/>
      <c r="C423" s="4"/>
      <c r="D423" s="4"/>
      <c r="E423" s="4"/>
      <c r="F423" s="4"/>
      <c r="G423" s="4"/>
      <c r="H423" s="4"/>
      <c r="I423" s="4"/>
      <c r="J423" s="4"/>
      <c r="K423" s="4"/>
      <c r="L423" s="4"/>
    </row>
    <row r="424" spans="1:12">
      <c r="A424" s="4"/>
      <c r="B424" s="4"/>
      <c r="C424" s="4"/>
      <c r="D424" s="4"/>
      <c r="E424" s="4"/>
      <c r="F424" s="4"/>
      <c r="G424" s="4"/>
      <c r="H424" s="4"/>
      <c r="I424" s="4"/>
      <c r="J424" s="4"/>
      <c r="K424" s="4"/>
      <c r="L424" s="4"/>
    </row>
    <row r="425" spans="1:12">
      <c r="A425" s="4"/>
      <c r="B425" s="4"/>
      <c r="C425" s="4"/>
      <c r="D425" s="4"/>
      <c r="E425" s="4"/>
      <c r="F425" s="4"/>
      <c r="G425" s="4"/>
      <c r="H425" s="4"/>
      <c r="I425" s="4"/>
      <c r="J425" s="4"/>
      <c r="K425" s="4"/>
      <c r="L425" s="4"/>
    </row>
    <row r="426" spans="1:12">
      <c r="A426" s="4"/>
      <c r="B426" s="4"/>
      <c r="C426" s="4"/>
      <c r="D426" s="4"/>
      <c r="E426" s="4"/>
      <c r="F426" s="4"/>
      <c r="G426" s="4"/>
      <c r="H426" s="4"/>
      <c r="I426" s="4"/>
      <c r="J426" s="4"/>
      <c r="K426" s="4"/>
      <c r="L426" s="4"/>
    </row>
    <row r="427" spans="1:12">
      <c r="A427" s="4"/>
      <c r="B427" s="4"/>
      <c r="C427" s="4"/>
      <c r="D427" s="4"/>
      <c r="E427" s="4"/>
      <c r="F427" s="4"/>
      <c r="G427" s="4"/>
      <c r="H427" s="4"/>
      <c r="I427" s="4"/>
      <c r="J427" s="4"/>
      <c r="K427" s="4"/>
      <c r="L427" s="4"/>
    </row>
    <row r="428" spans="1:12">
      <c r="A428" s="4"/>
      <c r="B428" s="4"/>
      <c r="C428" s="4"/>
      <c r="D428" s="4"/>
      <c r="E428" s="4"/>
      <c r="F428" s="4"/>
      <c r="G428" s="4"/>
      <c r="H428" s="4"/>
      <c r="I428" s="4"/>
      <c r="J428" s="4"/>
      <c r="K428" s="4"/>
      <c r="L428" s="4"/>
    </row>
    <row r="429" spans="1:12">
      <c r="A429" s="4"/>
      <c r="B429" s="4"/>
      <c r="C429" s="4"/>
      <c r="D429" s="4"/>
      <c r="E429" s="4"/>
      <c r="F429" s="4"/>
      <c r="G429" s="4"/>
      <c r="H429" s="4"/>
      <c r="I429" s="4"/>
      <c r="J429" s="4"/>
      <c r="K429" s="4"/>
      <c r="L429" s="4"/>
    </row>
    <row r="430" spans="1:12" ht="20.100000000000001" customHeight="1">
      <c r="A430" s="4"/>
      <c r="B430" s="4"/>
      <c r="C430" s="4"/>
      <c r="D430" s="4"/>
      <c r="E430" s="4"/>
      <c r="F430" s="4"/>
      <c r="G430" s="4"/>
      <c r="H430" s="4"/>
      <c r="I430" s="4"/>
      <c r="J430" s="4"/>
      <c r="K430" s="4"/>
      <c r="L430" s="4"/>
    </row>
    <row r="431" spans="1:12">
      <c r="A431" s="4"/>
      <c r="B431" s="4"/>
      <c r="C431" s="4"/>
      <c r="D431" s="4"/>
      <c r="E431" s="4"/>
      <c r="F431" s="4"/>
      <c r="G431" s="4"/>
      <c r="H431" s="4"/>
      <c r="I431" s="4"/>
      <c r="J431" s="4"/>
      <c r="K431" s="4"/>
      <c r="L431" s="4"/>
    </row>
    <row r="432" spans="1:12" ht="20.100000000000001" customHeight="1">
      <c r="A432" s="4"/>
      <c r="B432" s="4"/>
      <c r="C432" s="4"/>
      <c r="D432" s="4"/>
      <c r="E432" s="4"/>
      <c r="F432" s="4"/>
      <c r="G432" s="4"/>
      <c r="H432" s="4"/>
      <c r="I432" s="4"/>
      <c r="J432" s="4"/>
      <c r="K432" s="4"/>
      <c r="L432" s="4"/>
    </row>
    <row r="433" spans="1:12">
      <c r="A433" s="4"/>
      <c r="B433" s="4"/>
      <c r="C433" s="4"/>
      <c r="D433" s="4"/>
      <c r="E433" s="4"/>
      <c r="F433" s="4"/>
      <c r="G433" s="4"/>
      <c r="H433" s="4"/>
      <c r="I433" s="4"/>
      <c r="J433" s="4"/>
      <c r="K433" s="4"/>
      <c r="L433" s="4"/>
    </row>
    <row r="434" spans="1:12">
      <c r="A434" s="4"/>
      <c r="B434" s="4"/>
      <c r="C434" s="4"/>
      <c r="D434" s="4"/>
      <c r="E434" s="4"/>
      <c r="F434" s="4"/>
      <c r="G434" s="4"/>
      <c r="H434" s="4"/>
      <c r="I434" s="4"/>
      <c r="J434" s="4"/>
      <c r="K434" s="4"/>
      <c r="L434" s="4"/>
    </row>
    <row r="435" spans="1:12">
      <c r="A435" s="4"/>
      <c r="B435" s="4"/>
      <c r="C435" s="4"/>
      <c r="D435" s="4"/>
      <c r="E435" s="4"/>
      <c r="F435" s="4"/>
      <c r="G435" s="4"/>
      <c r="H435" s="4"/>
      <c r="I435" s="4"/>
      <c r="J435" s="4"/>
      <c r="K435" s="4"/>
      <c r="L435" s="4"/>
    </row>
    <row r="436" spans="1:12">
      <c r="A436" s="4"/>
      <c r="B436" s="4"/>
      <c r="C436" s="4"/>
      <c r="D436" s="4"/>
      <c r="E436" s="4"/>
      <c r="F436" s="4"/>
      <c r="G436" s="4"/>
      <c r="H436" s="4"/>
      <c r="I436" s="4"/>
      <c r="J436" s="4"/>
      <c r="K436" s="4"/>
      <c r="L436" s="4"/>
    </row>
    <row r="437" spans="1:12">
      <c r="A437" s="4"/>
      <c r="B437" s="4"/>
      <c r="C437" s="4"/>
      <c r="D437" s="4"/>
      <c r="E437" s="4"/>
      <c r="F437" s="4"/>
      <c r="G437" s="4"/>
      <c r="H437" s="4"/>
      <c r="I437" s="4"/>
      <c r="J437" s="4"/>
      <c r="K437" s="4"/>
      <c r="L437" s="4"/>
    </row>
    <row r="438" spans="1:12">
      <c r="A438" s="4"/>
      <c r="B438" s="4"/>
      <c r="C438" s="4"/>
      <c r="D438" s="4"/>
      <c r="E438" s="4"/>
      <c r="F438" s="4"/>
      <c r="G438" s="4"/>
      <c r="H438" s="4"/>
      <c r="I438" s="4"/>
      <c r="J438" s="4"/>
      <c r="K438" s="4"/>
      <c r="L438" s="4"/>
    </row>
    <row r="439" spans="1:12">
      <c r="A439" s="4"/>
      <c r="B439" s="4"/>
      <c r="C439" s="4"/>
      <c r="D439" s="4"/>
      <c r="E439" s="4"/>
      <c r="F439" s="4"/>
      <c r="G439" s="4"/>
      <c r="H439" s="4"/>
      <c r="I439" s="4"/>
      <c r="J439" s="4"/>
      <c r="K439" s="4"/>
      <c r="L439" s="4"/>
    </row>
    <row r="440" spans="1:12">
      <c r="A440" s="4"/>
      <c r="B440" s="4"/>
      <c r="C440" s="4"/>
      <c r="D440" s="4"/>
      <c r="E440" s="4"/>
      <c r="F440" s="4"/>
      <c r="G440" s="4"/>
      <c r="H440" s="4"/>
      <c r="I440" s="4"/>
      <c r="J440" s="4"/>
      <c r="K440" s="4"/>
      <c r="L440" s="4"/>
    </row>
    <row r="441" spans="1:12">
      <c r="A441" s="4"/>
      <c r="B441" s="4"/>
      <c r="C441" s="4"/>
      <c r="D441" s="4"/>
      <c r="E441" s="4"/>
      <c r="F441" s="4"/>
      <c r="G441" s="4"/>
      <c r="H441" s="4"/>
      <c r="I441" s="4"/>
      <c r="J441" s="4"/>
      <c r="K441" s="4"/>
      <c r="L441" s="4"/>
    </row>
    <row r="442" spans="1:12">
      <c r="A442" s="4"/>
      <c r="B442" s="4"/>
      <c r="C442" s="4"/>
      <c r="D442" s="4"/>
      <c r="E442" s="4"/>
      <c r="F442" s="4"/>
      <c r="G442" s="4"/>
      <c r="H442" s="4"/>
      <c r="I442" s="4"/>
      <c r="J442" s="4"/>
      <c r="K442" s="4"/>
      <c r="L442" s="4"/>
    </row>
    <row r="443" spans="1:12">
      <c r="A443" s="4"/>
      <c r="B443" s="4"/>
      <c r="C443" s="4"/>
      <c r="D443" s="4"/>
      <c r="E443" s="4"/>
      <c r="F443" s="4"/>
      <c r="G443" s="4"/>
      <c r="H443" s="4"/>
      <c r="I443" s="4"/>
      <c r="J443" s="4"/>
      <c r="K443" s="4"/>
      <c r="L443" s="4"/>
    </row>
    <row r="444" spans="1:12">
      <c r="A444" s="4"/>
      <c r="B444" s="4"/>
      <c r="C444" s="4"/>
      <c r="D444" s="4"/>
      <c r="E444" s="4"/>
      <c r="F444" s="4"/>
      <c r="G444" s="4"/>
      <c r="H444" s="4"/>
      <c r="I444" s="4"/>
      <c r="J444" s="4"/>
      <c r="K444" s="4"/>
      <c r="L444" s="4"/>
    </row>
    <row r="445" spans="1:12">
      <c r="A445" s="4"/>
      <c r="B445" s="4"/>
      <c r="C445" s="4"/>
      <c r="D445" s="4"/>
      <c r="E445" s="4"/>
      <c r="F445" s="4"/>
      <c r="G445" s="4"/>
      <c r="H445" s="4"/>
      <c r="I445" s="4"/>
      <c r="J445" s="4"/>
      <c r="K445" s="4"/>
      <c r="L445" s="4"/>
    </row>
    <row r="446" spans="1:12">
      <c r="A446" s="4"/>
      <c r="B446" s="4"/>
      <c r="C446" s="4"/>
      <c r="D446" s="4"/>
      <c r="E446" s="4"/>
      <c r="F446" s="4"/>
      <c r="G446" s="4"/>
      <c r="H446" s="4"/>
      <c r="I446" s="4"/>
      <c r="J446" s="4"/>
      <c r="K446" s="4"/>
      <c r="L446" s="4"/>
    </row>
    <row r="447" spans="1:12">
      <c r="A447" s="4"/>
      <c r="B447" s="4"/>
      <c r="C447" s="4"/>
      <c r="D447" s="4"/>
      <c r="E447" s="4"/>
      <c r="F447" s="4"/>
      <c r="G447" s="4"/>
      <c r="H447" s="4"/>
      <c r="I447" s="4"/>
      <c r="J447" s="4"/>
      <c r="K447" s="4"/>
      <c r="L447" s="4"/>
    </row>
    <row r="448" spans="1:12">
      <c r="A448" s="4"/>
      <c r="B448" s="4"/>
      <c r="C448" s="4"/>
      <c r="D448" s="4"/>
      <c r="E448" s="4"/>
      <c r="F448" s="4"/>
      <c r="G448" s="4"/>
      <c r="H448" s="4"/>
      <c r="I448" s="4"/>
      <c r="J448" s="4"/>
      <c r="K448" s="4"/>
      <c r="L448" s="4"/>
    </row>
    <row r="449" spans="1:12">
      <c r="A449" s="4"/>
      <c r="B449" s="4"/>
      <c r="C449" s="4"/>
      <c r="D449" s="4"/>
      <c r="E449" s="4"/>
      <c r="F449" s="4"/>
      <c r="G449" s="4"/>
      <c r="H449" s="4"/>
      <c r="I449" s="4"/>
      <c r="J449" s="4"/>
      <c r="K449" s="4"/>
      <c r="L449" s="4"/>
    </row>
    <row r="450" spans="1:12">
      <c r="A450" s="4"/>
      <c r="B450" s="4"/>
      <c r="C450" s="4"/>
      <c r="D450" s="4"/>
      <c r="E450" s="4"/>
      <c r="F450" s="4"/>
      <c r="G450" s="4"/>
      <c r="H450" s="4"/>
      <c r="I450" s="4"/>
      <c r="J450" s="4"/>
      <c r="K450" s="4"/>
      <c r="L450" s="4"/>
    </row>
    <row r="451" spans="1:12">
      <c r="A451" s="4"/>
      <c r="B451" s="4"/>
      <c r="C451" s="4"/>
      <c r="D451" s="4"/>
      <c r="E451" s="4"/>
      <c r="F451" s="4"/>
      <c r="G451" s="4"/>
      <c r="H451" s="4"/>
      <c r="I451" s="4"/>
      <c r="J451" s="4"/>
      <c r="K451" s="4"/>
      <c r="L451" s="4"/>
    </row>
    <row r="452" spans="1:12">
      <c r="A452" s="4"/>
      <c r="B452" s="4"/>
      <c r="C452" s="4"/>
      <c r="D452" s="4"/>
      <c r="E452" s="4"/>
      <c r="F452" s="4"/>
      <c r="G452" s="4"/>
      <c r="H452" s="4"/>
      <c r="I452" s="4"/>
      <c r="J452" s="4"/>
      <c r="K452" s="4"/>
      <c r="L452" s="4"/>
    </row>
    <row r="453" spans="1:12">
      <c r="A453" s="4"/>
      <c r="B453" s="4"/>
      <c r="C453" s="4"/>
      <c r="D453" s="4"/>
      <c r="E453" s="4"/>
      <c r="F453" s="4"/>
      <c r="G453" s="4"/>
      <c r="H453" s="4"/>
      <c r="I453" s="4"/>
      <c r="J453" s="4"/>
      <c r="K453" s="4"/>
      <c r="L453" s="4"/>
    </row>
    <row r="454" spans="1:12">
      <c r="A454" s="4"/>
      <c r="B454" s="4"/>
      <c r="C454" s="4"/>
      <c r="D454" s="4"/>
      <c r="E454" s="4"/>
      <c r="F454" s="4"/>
      <c r="G454" s="4"/>
      <c r="H454" s="4"/>
      <c r="I454" s="4"/>
      <c r="J454" s="4"/>
      <c r="K454" s="4"/>
      <c r="L454" s="4"/>
    </row>
    <row r="455" spans="1:12">
      <c r="A455" s="4"/>
      <c r="B455" s="4"/>
      <c r="C455" s="4"/>
      <c r="D455" s="4"/>
      <c r="E455" s="4"/>
      <c r="F455" s="4"/>
      <c r="G455" s="4"/>
      <c r="H455" s="4"/>
      <c r="I455" s="4"/>
      <c r="J455" s="4"/>
      <c r="K455" s="4"/>
      <c r="L455" s="4"/>
    </row>
    <row r="456" spans="1:12">
      <c r="A456" s="4"/>
      <c r="B456" s="4"/>
      <c r="C456" s="4"/>
      <c r="D456" s="4"/>
      <c r="E456" s="4"/>
      <c r="F456" s="4"/>
      <c r="G456" s="4"/>
      <c r="H456" s="4"/>
      <c r="I456" s="4"/>
      <c r="J456" s="4"/>
      <c r="K456" s="4"/>
      <c r="L456" s="4"/>
    </row>
    <row r="457" spans="1:12">
      <c r="A457" s="4"/>
      <c r="B457" s="4"/>
      <c r="C457" s="4"/>
      <c r="D457" s="4"/>
      <c r="E457" s="4"/>
      <c r="F457" s="4"/>
      <c r="G457" s="4"/>
      <c r="H457" s="4"/>
      <c r="I457" s="4"/>
      <c r="J457" s="4"/>
      <c r="K457" s="4"/>
      <c r="L457" s="4"/>
    </row>
    <row r="458" spans="1:12">
      <c r="A458" s="4"/>
      <c r="B458" s="4"/>
      <c r="C458" s="4"/>
      <c r="D458" s="4"/>
      <c r="E458" s="4"/>
      <c r="F458" s="4"/>
      <c r="G458" s="4"/>
      <c r="H458" s="4"/>
      <c r="I458" s="4"/>
      <c r="J458" s="4"/>
      <c r="K458" s="4"/>
      <c r="L458" s="4"/>
    </row>
    <row r="459" spans="1:12">
      <c r="A459" s="4"/>
      <c r="B459" s="4"/>
      <c r="C459" s="4"/>
      <c r="D459" s="4"/>
      <c r="E459" s="4"/>
      <c r="F459" s="4"/>
      <c r="G459" s="4"/>
      <c r="H459" s="4"/>
      <c r="I459" s="4"/>
      <c r="J459" s="4"/>
      <c r="K459" s="4"/>
      <c r="L459" s="4"/>
    </row>
    <row r="460" spans="1:12">
      <c r="A460" s="4"/>
      <c r="B460" s="4"/>
      <c r="C460" s="4"/>
      <c r="D460" s="4"/>
      <c r="E460" s="4"/>
      <c r="F460" s="4"/>
      <c r="G460" s="4"/>
      <c r="H460" s="4"/>
      <c r="I460" s="4"/>
      <c r="J460" s="4"/>
      <c r="K460" s="4"/>
      <c r="L460" s="4"/>
    </row>
    <row r="461" spans="1:12">
      <c r="A461" s="4"/>
      <c r="B461" s="4"/>
      <c r="C461" s="4"/>
      <c r="D461" s="4"/>
      <c r="E461" s="4"/>
      <c r="F461" s="4"/>
      <c r="G461" s="4"/>
      <c r="H461" s="4"/>
      <c r="I461" s="4"/>
      <c r="J461" s="4"/>
      <c r="K461" s="4"/>
      <c r="L461" s="4"/>
    </row>
    <row r="462" spans="1:12">
      <c r="A462" s="4"/>
      <c r="B462" s="4"/>
      <c r="C462" s="4"/>
      <c r="D462" s="4"/>
      <c r="E462" s="4"/>
      <c r="F462" s="4"/>
      <c r="G462" s="4"/>
      <c r="H462" s="4"/>
      <c r="I462" s="4"/>
      <c r="J462" s="4"/>
      <c r="K462" s="4"/>
      <c r="L462" s="4"/>
    </row>
    <row r="463" spans="1:12">
      <c r="A463" s="4"/>
      <c r="B463" s="4"/>
      <c r="C463" s="4"/>
      <c r="D463" s="4"/>
      <c r="E463" s="4"/>
      <c r="F463" s="4"/>
      <c r="G463" s="4"/>
      <c r="H463" s="4"/>
      <c r="I463" s="4"/>
      <c r="J463" s="4"/>
      <c r="K463" s="4"/>
      <c r="L463" s="4"/>
    </row>
    <row r="464" spans="1:12">
      <c r="A464" s="4"/>
      <c r="B464" s="4"/>
      <c r="C464" s="4"/>
      <c r="D464" s="4"/>
      <c r="E464" s="4"/>
      <c r="F464" s="4"/>
      <c r="G464" s="4"/>
      <c r="H464" s="4"/>
      <c r="I464" s="4"/>
      <c r="J464" s="4"/>
      <c r="K464" s="4"/>
      <c r="L464" s="4"/>
    </row>
    <row r="465" spans="1:12">
      <c r="A465" s="4"/>
      <c r="B465" s="4"/>
      <c r="C465" s="4"/>
      <c r="D465" s="4"/>
      <c r="E465" s="4"/>
      <c r="F465" s="4"/>
      <c r="G465" s="4"/>
      <c r="H465" s="4"/>
      <c r="I465" s="4"/>
      <c r="J465" s="4"/>
      <c r="K465" s="4"/>
      <c r="L465" s="4"/>
    </row>
    <row r="466" spans="1:12">
      <c r="A466" s="4"/>
      <c r="B466" s="4"/>
      <c r="C466" s="4"/>
      <c r="D466" s="4"/>
      <c r="E466" s="4"/>
      <c r="F466" s="4"/>
      <c r="G466" s="4"/>
      <c r="H466" s="4"/>
      <c r="I466" s="4"/>
      <c r="J466" s="4"/>
      <c r="K466" s="4"/>
      <c r="L466" s="4"/>
    </row>
    <row r="467" spans="1:12">
      <c r="A467" s="4"/>
      <c r="B467" s="4"/>
      <c r="C467" s="4"/>
      <c r="D467" s="4"/>
      <c r="E467" s="4"/>
      <c r="F467" s="4"/>
      <c r="G467" s="4"/>
      <c r="H467" s="4"/>
      <c r="I467" s="4"/>
      <c r="J467" s="4"/>
      <c r="K467" s="4"/>
      <c r="L467" s="4"/>
    </row>
    <row r="468" spans="1:12">
      <c r="A468" s="4"/>
      <c r="B468" s="4"/>
      <c r="C468" s="4"/>
      <c r="D468" s="4"/>
      <c r="E468" s="4"/>
      <c r="F468" s="4"/>
      <c r="G468" s="4"/>
      <c r="H468" s="4"/>
      <c r="I468" s="4"/>
      <c r="J468" s="4"/>
      <c r="K468" s="4"/>
      <c r="L468" s="4"/>
    </row>
    <row r="469" spans="1:12">
      <c r="A469" s="4"/>
      <c r="B469" s="4"/>
      <c r="C469" s="4"/>
      <c r="D469" s="4"/>
      <c r="E469" s="4"/>
      <c r="F469" s="4"/>
      <c r="G469" s="4"/>
      <c r="H469" s="4"/>
      <c r="I469" s="4"/>
      <c r="J469" s="4"/>
      <c r="K469" s="4"/>
      <c r="L469" s="4"/>
    </row>
    <row r="470" spans="1:12">
      <c r="A470" s="4"/>
      <c r="B470" s="4"/>
      <c r="C470" s="4"/>
      <c r="D470" s="4"/>
      <c r="E470" s="4"/>
      <c r="F470" s="4"/>
      <c r="G470" s="4"/>
      <c r="H470" s="4"/>
      <c r="I470" s="4"/>
      <c r="J470" s="4"/>
      <c r="K470" s="4"/>
      <c r="L470" s="4"/>
    </row>
    <row r="471" spans="1:12">
      <c r="A471" s="4"/>
      <c r="B471" s="4"/>
      <c r="C471" s="4"/>
      <c r="D471" s="4"/>
      <c r="E471" s="4"/>
      <c r="F471" s="4"/>
      <c r="G471" s="4"/>
      <c r="H471" s="4"/>
      <c r="I471" s="4"/>
      <c r="J471" s="4"/>
      <c r="K471" s="4"/>
      <c r="L471" s="4"/>
    </row>
    <row r="472" spans="1:12">
      <c r="A472" s="4"/>
      <c r="B472" s="4"/>
      <c r="C472" s="4"/>
      <c r="D472" s="4"/>
      <c r="E472" s="4"/>
      <c r="F472" s="4"/>
      <c r="G472" s="4"/>
      <c r="H472" s="4"/>
      <c r="I472" s="4"/>
      <c r="J472" s="4"/>
      <c r="K472" s="4"/>
      <c r="L472" s="4"/>
    </row>
    <row r="473" spans="1:12">
      <c r="A473" s="4"/>
      <c r="B473" s="4"/>
      <c r="C473" s="4"/>
      <c r="D473" s="4"/>
      <c r="E473" s="4"/>
      <c r="F473" s="4"/>
      <c r="G473" s="4"/>
      <c r="H473" s="4"/>
      <c r="I473" s="4"/>
      <c r="J473" s="4"/>
      <c r="K473" s="4"/>
      <c r="L473" s="4"/>
    </row>
    <row r="474" spans="1:12">
      <c r="A474" s="4"/>
      <c r="B474" s="4"/>
      <c r="C474" s="4"/>
      <c r="D474" s="4"/>
      <c r="E474" s="4"/>
      <c r="F474" s="4"/>
      <c r="G474" s="4"/>
      <c r="H474" s="4"/>
      <c r="I474" s="4"/>
      <c r="J474" s="4"/>
      <c r="K474" s="4"/>
      <c r="L474" s="4"/>
    </row>
    <row r="475" spans="1:12">
      <c r="A475" s="4"/>
      <c r="B475" s="4"/>
      <c r="C475" s="4"/>
      <c r="D475" s="4"/>
      <c r="E475" s="4"/>
      <c r="F475" s="4"/>
      <c r="G475" s="4"/>
      <c r="H475" s="4"/>
      <c r="I475" s="4"/>
      <c r="J475" s="4"/>
      <c r="K475" s="4"/>
      <c r="L475" s="4"/>
    </row>
    <row r="476" spans="1:12">
      <c r="A476" s="4"/>
      <c r="B476" s="4"/>
      <c r="C476" s="4"/>
      <c r="D476" s="4"/>
      <c r="E476" s="4"/>
      <c r="F476" s="4"/>
      <c r="G476" s="4"/>
      <c r="H476" s="4"/>
      <c r="I476" s="4"/>
      <c r="J476" s="4"/>
      <c r="K476" s="4"/>
      <c r="L476" s="4"/>
    </row>
    <row r="477" spans="1:12">
      <c r="A477" s="4"/>
      <c r="B477" s="4"/>
      <c r="C477" s="4"/>
      <c r="D477" s="4"/>
      <c r="E477" s="4"/>
      <c r="F477" s="4"/>
      <c r="G477" s="4"/>
      <c r="H477" s="4"/>
      <c r="I477" s="4"/>
      <c r="J477" s="4"/>
      <c r="K477" s="4"/>
      <c r="L477" s="4"/>
    </row>
    <row r="478" spans="1:12">
      <c r="A478" s="4"/>
      <c r="B478" s="4"/>
      <c r="C478" s="4"/>
      <c r="D478" s="4"/>
      <c r="E478" s="4"/>
      <c r="F478" s="4"/>
      <c r="G478" s="4"/>
      <c r="H478" s="4"/>
      <c r="I478" s="4"/>
      <c r="J478" s="4"/>
      <c r="K478" s="4"/>
      <c r="L478" s="4"/>
    </row>
    <row r="479" spans="1:12">
      <c r="A479" s="4"/>
      <c r="B479" s="4"/>
      <c r="C479" s="4"/>
      <c r="D479" s="4"/>
      <c r="E479" s="4"/>
      <c r="F479" s="4"/>
      <c r="G479" s="4"/>
      <c r="H479" s="4"/>
      <c r="I479" s="4"/>
      <c r="J479" s="4"/>
      <c r="K479" s="4"/>
      <c r="L479" s="4"/>
    </row>
    <row r="480" spans="1:12">
      <c r="A480" s="4"/>
      <c r="B480" s="4"/>
      <c r="C480" s="4"/>
      <c r="D480" s="4"/>
      <c r="E480" s="4"/>
      <c r="F480" s="4"/>
      <c r="G480" s="4"/>
      <c r="H480" s="4"/>
      <c r="I480" s="4"/>
      <c r="J480" s="4"/>
      <c r="K480" s="4"/>
      <c r="L480" s="4"/>
    </row>
    <row r="481" spans="1:12">
      <c r="A481" s="4"/>
      <c r="B481" s="4"/>
      <c r="C481" s="4"/>
      <c r="D481" s="4"/>
      <c r="E481" s="4"/>
      <c r="F481" s="4"/>
      <c r="G481" s="4"/>
      <c r="H481" s="4"/>
      <c r="I481" s="4"/>
      <c r="J481" s="4"/>
      <c r="K481" s="4"/>
      <c r="L481" s="4"/>
    </row>
    <row r="482" spans="1:12">
      <c r="A482" s="4"/>
      <c r="B482" s="4"/>
      <c r="C482" s="4"/>
      <c r="D482" s="4"/>
      <c r="E482" s="4"/>
      <c r="F482" s="4"/>
      <c r="G482" s="4"/>
      <c r="H482" s="4"/>
      <c r="I482" s="4"/>
      <c r="J482" s="4"/>
      <c r="K482" s="4"/>
      <c r="L482" s="4"/>
    </row>
    <row r="483" spans="1:12">
      <c r="A483" s="4"/>
      <c r="B483" s="4"/>
      <c r="C483" s="4"/>
      <c r="D483" s="4"/>
      <c r="E483" s="4"/>
      <c r="F483" s="4"/>
      <c r="G483" s="4"/>
      <c r="H483" s="4"/>
      <c r="I483" s="4"/>
      <c r="J483" s="4"/>
      <c r="K483" s="4"/>
      <c r="L483" s="4"/>
    </row>
    <row r="484" spans="1:12">
      <c r="A484" s="4"/>
      <c r="B484" s="4"/>
      <c r="C484" s="4"/>
      <c r="D484" s="4"/>
      <c r="E484" s="4"/>
      <c r="F484" s="4"/>
      <c r="G484" s="4"/>
      <c r="H484" s="4"/>
      <c r="I484" s="4"/>
      <c r="J484" s="4"/>
      <c r="K484" s="4"/>
      <c r="L484" s="4"/>
    </row>
    <row r="485" spans="1:12">
      <c r="A485" s="4"/>
      <c r="B485" s="4"/>
      <c r="C485" s="4"/>
      <c r="D485" s="4"/>
      <c r="E485" s="4"/>
      <c r="F485" s="4"/>
      <c r="G485" s="4"/>
      <c r="H485" s="4"/>
      <c r="I485" s="4"/>
      <c r="J485" s="4"/>
      <c r="K485" s="4"/>
      <c r="L485" s="4"/>
    </row>
    <row r="486" spans="1:12">
      <c r="A486" s="4"/>
      <c r="B486" s="4"/>
      <c r="C486" s="4"/>
      <c r="D486" s="4"/>
      <c r="E486" s="4"/>
      <c r="F486" s="4"/>
      <c r="G486" s="4"/>
      <c r="H486" s="4"/>
      <c r="I486" s="4"/>
      <c r="J486" s="4"/>
      <c r="K486" s="4"/>
      <c r="L486" s="4"/>
    </row>
    <row r="487" spans="1:12">
      <c r="A487" s="4"/>
      <c r="B487" s="4"/>
      <c r="C487" s="4"/>
      <c r="D487" s="4"/>
      <c r="E487" s="4"/>
      <c r="F487" s="4"/>
      <c r="G487" s="4"/>
      <c r="H487" s="4"/>
      <c r="I487" s="4"/>
      <c r="J487" s="4"/>
      <c r="K487" s="4"/>
      <c r="L487" s="4"/>
    </row>
    <row r="488" spans="1:12">
      <c r="A488" s="4"/>
      <c r="B488" s="4"/>
      <c r="C488" s="4"/>
      <c r="D488" s="4"/>
      <c r="E488" s="4"/>
      <c r="F488" s="4"/>
      <c r="G488" s="4"/>
      <c r="H488" s="4"/>
      <c r="I488" s="4"/>
      <c r="J488" s="4"/>
      <c r="K488" s="4"/>
      <c r="L488" s="4"/>
    </row>
    <row r="489" spans="1:12">
      <c r="A489" s="4"/>
      <c r="B489" s="4"/>
      <c r="C489" s="4"/>
      <c r="D489" s="4"/>
      <c r="E489" s="4"/>
      <c r="F489" s="4"/>
      <c r="G489" s="4"/>
      <c r="H489" s="4"/>
      <c r="I489" s="4"/>
      <c r="J489" s="4"/>
      <c r="K489" s="4"/>
      <c r="L489" s="4"/>
    </row>
    <row r="490" spans="1:12">
      <c r="A490" s="4"/>
      <c r="B490" s="4"/>
      <c r="C490" s="4"/>
      <c r="D490" s="4"/>
      <c r="E490" s="4"/>
      <c r="F490" s="4"/>
      <c r="G490" s="4"/>
      <c r="H490" s="4"/>
      <c r="I490" s="4"/>
      <c r="J490" s="4"/>
      <c r="K490" s="4"/>
      <c r="L490" s="4"/>
    </row>
    <row r="491" spans="1:12">
      <c r="A491" s="4"/>
      <c r="B491" s="4"/>
      <c r="C491" s="4"/>
      <c r="D491" s="4"/>
      <c r="E491" s="4"/>
      <c r="F491" s="4"/>
      <c r="G491" s="4"/>
      <c r="H491" s="4"/>
      <c r="I491" s="4"/>
      <c r="J491" s="4"/>
      <c r="K491" s="4"/>
      <c r="L491" s="4"/>
    </row>
    <row r="492" spans="1:12">
      <c r="A492" s="4"/>
      <c r="B492" s="4"/>
      <c r="C492" s="4"/>
      <c r="D492" s="4"/>
      <c r="E492" s="4"/>
      <c r="F492" s="4"/>
      <c r="G492" s="4"/>
      <c r="H492" s="4"/>
      <c r="I492" s="4"/>
      <c r="J492" s="4"/>
      <c r="K492" s="4"/>
      <c r="L492" s="4"/>
    </row>
    <row r="493" spans="1:12">
      <c r="A493" s="4"/>
      <c r="B493" s="4"/>
      <c r="C493" s="4"/>
      <c r="D493" s="4"/>
      <c r="E493" s="4"/>
      <c r="F493" s="4"/>
      <c r="G493" s="4"/>
      <c r="H493" s="4"/>
      <c r="I493" s="4"/>
      <c r="J493" s="4"/>
      <c r="K493" s="4"/>
      <c r="L493" s="4"/>
    </row>
    <row r="494" spans="1:12">
      <c r="A494" s="4"/>
      <c r="B494" s="4"/>
      <c r="C494" s="4"/>
      <c r="D494" s="4"/>
      <c r="E494" s="4"/>
      <c r="F494" s="4"/>
      <c r="G494" s="4"/>
      <c r="H494" s="4"/>
      <c r="I494" s="4"/>
      <c r="J494" s="4"/>
      <c r="K494" s="4"/>
      <c r="L494" s="4"/>
    </row>
    <row r="495" spans="1:12">
      <c r="A495" s="4"/>
      <c r="B495" s="4"/>
      <c r="C495" s="4"/>
      <c r="D495" s="4"/>
      <c r="E495" s="4"/>
      <c r="F495" s="4"/>
      <c r="G495" s="4"/>
      <c r="H495" s="4"/>
      <c r="I495" s="4"/>
      <c r="J495" s="4"/>
      <c r="K495" s="4"/>
      <c r="L495" s="4"/>
    </row>
    <row r="496" spans="1:12">
      <c r="A496" s="4"/>
      <c r="B496" s="4"/>
      <c r="C496" s="4"/>
      <c r="D496" s="4"/>
      <c r="E496" s="4"/>
      <c r="F496" s="4"/>
      <c r="G496" s="4"/>
      <c r="H496" s="4"/>
      <c r="I496" s="4"/>
      <c r="J496" s="4"/>
      <c r="K496" s="4"/>
      <c r="L496" s="4"/>
    </row>
    <row r="497" spans="1:12">
      <c r="A497" s="4"/>
      <c r="B497" s="4"/>
      <c r="C497" s="4"/>
      <c r="D497" s="4"/>
      <c r="E497" s="4"/>
      <c r="F497" s="4"/>
      <c r="G497" s="4"/>
      <c r="H497" s="4"/>
      <c r="I497" s="4"/>
      <c r="J497" s="4"/>
      <c r="K497" s="4"/>
      <c r="L497" s="4"/>
    </row>
    <row r="498" spans="1:12">
      <c r="A498" s="4"/>
      <c r="B498" s="4"/>
      <c r="C498" s="4"/>
      <c r="D498" s="4"/>
      <c r="E498" s="4"/>
      <c r="F498" s="4"/>
      <c r="G498" s="4"/>
      <c r="H498" s="4"/>
      <c r="I498" s="4"/>
      <c r="J498" s="4"/>
      <c r="K498" s="4"/>
      <c r="L498" s="4"/>
    </row>
    <row r="499" spans="1:12">
      <c r="A499" s="4"/>
      <c r="B499" s="4"/>
      <c r="C499" s="4"/>
      <c r="D499" s="4"/>
      <c r="E499" s="4"/>
      <c r="F499" s="4"/>
      <c r="G499" s="4"/>
      <c r="H499" s="4"/>
      <c r="I499" s="4"/>
      <c r="J499" s="4"/>
      <c r="K499" s="4"/>
      <c r="L499" s="4"/>
    </row>
    <row r="500" spans="1:12">
      <c r="A500" s="4"/>
      <c r="B500" s="4"/>
      <c r="C500" s="4"/>
      <c r="D500" s="4"/>
      <c r="E500" s="4"/>
      <c r="F500" s="4"/>
      <c r="G500" s="4"/>
      <c r="H500" s="4"/>
      <c r="I500" s="4"/>
      <c r="J500" s="4"/>
      <c r="K500" s="4"/>
      <c r="L500" s="4"/>
    </row>
    <row r="501" spans="1:12">
      <c r="A501" s="4"/>
      <c r="B501" s="4"/>
      <c r="C501" s="4"/>
      <c r="D501" s="4"/>
      <c r="E501" s="4"/>
      <c r="F501" s="4"/>
      <c r="G501" s="4"/>
      <c r="H501" s="4"/>
      <c r="I501" s="4"/>
      <c r="J501" s="4"/>
      <c r="K501" s="4"/>
      <c r="L501" s="4"/>
    </row>
    <row r="502" spans="1:12">
      <c r="A502" s="4"/>
      <c r="B502" s="4"/>
      <c r="C502" s="4"/>
      <c r="D502" s="4"/>
      <c r="E502" s="4"/>
      <c r="F502" s="4"/>
      <c r="G502" s="4"/>
      <c r="H502" s="4"/>
      <c r="I502" s="4"/>
      <c r="J502" s="4"/>
      <c r="K502" s="4"/>
      <c r="L502" s="4"/>
    </row>
    <row r="503" spans="1:12">
      <c r="A503" s="4"/>
      <c r="B503" s="4"/>
      <c r="C503" s="4"/>
      <c r="D503" s="4"/>
      <c r="E503" s="4"/>
      <c r="F503" s="4"/>
      <c r="G503" s="4"/>
      <c r="H503" s="4"/>
      <c r="I503" s="4"/>
      <c r="J503" s="4"/>
      <c r="K503" s="4"/>
      <c r="L503" s="4"/>
    </row>
    <row r="504" spans="1:12">
      <c r="A504" s="4"/>
      <c r="B504" s="4"/>
      <c r="C504" s="4"/>
      <c r="D504" s="4"/>
      <c r="E504" s="4"/>
      <c r="F504" s="4"/>
      <c r="G504" s="4"/>
      <c r="H504" s="4"/>
      <c r="I504" s="4"/>
      <c r="J504" s="4"/>
      <c r="K504" s="4"/>
      <c r="L504" s="4"/>
    </row>
    <row r="505" spans="1:12">
      <c r="A505" s="4"/>
      <c r="B505" s="4"/>
      <c r="C505" s="4"/>
      <c r="D505" s="4"/>
      <c r="E505" s="4"/>
      <c r="F505" s="4"/>
      <c r="G505" s="4"/>
      <c r="H505" s="4"/>
      <c r="I505" s="4"/>
      <c r="J505" s="4"/>
      <c r="K505" s="4"/>
      <c r="L505" s="4"/>
    </row>
    <row r="506" spans="1:12">
      <c r="A506" s="4"/>
      <c r="B506" s="4"/>
      <c r="C506" s="4"/>
      <c r="D506" s="4"/>
      <c r="E506" s="4"/>
      <c r="F506" s="4"/>
      <c r="G506" s="4"/>
      <c r="H506" s="4"/>
      <c r="I506" s="4"/>
      <c r="J506" s="4"/>
      <c r="K506" s="4"/>
      <c r="L506" s="4"/>
    </row>
    <row r="507" spans="1:12">
      <c r="A507" s="4"/>
      <c r="B507" s="4"/>
      <c r="C507" s="4"/>
      <c r="D507" s="4"/>
      <c r="E507" s="4"/>
      <c r="F507" s="4"/>
      <c r="G507" s="4"/>
      <c r="H507" s="4"/>
      <c r="I507" s="4"/>
      <c r="J507" s="4"/>
      <c r="K507" s="4"/>
      <c r="L507" s="4"/>
    </row>
    <row r="508" spans="1:12">
      <c r="A508" s="4"/>
      <c r="B508" s="4"/>
      <c r="C508" s="4"/>
      <c r="D508" s="4"/>
      <c r="E508" s="4"/>
      <c r="F508" s="4"/>
      <c r="G508" s="4"/>
      <c r="H508" s="4"/>
      <c r="I508" s="4"/>
      <c r="J508" s="4"/>
      <c r="K508" s="4"/>
      <c r="L508" s="4"/>
    </row>
    <row r="509" spans="1:12">
      <c r="A509" s="4"/>
      <c r="B509" s="4"/>
      <c r="C509" s="4"/>
      <c r="D509" s="4"/>
      <c r="E509" s="4"/>
      <c r="F509" s="4"/>
      <c r="G509" s="4"/>
      <c r="H509" s="4"/>
      <c r="I509" s="4"/>
      <c r="J509" s="4"/>
      <c r="K509" s="4"/>
      <c r="L509" s="4"/>
    </row>
    <row r="510" spans="1:12">
      <c r="A510" s="4"/>
      <c r="B510" s="4"/>
      <c r="C510" s="4"/>
      <c r="D510" s="4"/>
      <c r="E510" s="4"/>
      <c r="F510" s="4"/>
      <c r="G510" s="4"/>
      <c r="H510" s="4"/>
      <c r="I510" s="4"/>
      <c r="J510" s="4"/>
      <c r="K510" s="4"/>
      <c r="L510" s="4"/>
    </row>
    <row r="511" spans="1:12">
      <c r="A511" s="4"/>
      <c r="B511" s="4"/>
      <c r="C511" s="4"/>
      <c r="D511" s="4"/>
      <c r="E511" s="4"/>
      <c r="F511" s="4"/>
      <c r="G511" s="4"/>
      <c r="H511" s="4"/>
      <c r="I511" s="4"/>
      <c r="J511" s="4"/>
      <c r="K511" s="4"/>
      <c r="L511" s="4"/>
    </row>
    <row r="512" spans="1:12">
      <c r="A512" s="4"/>
      <c r="B512" s="4"/>
      <c r="C512" s="4"/>
      <c r="D512" s="4"/>
      <c r="E512" s="4"/>
      <c r="F512" s="4"/>
      <c r="G512" s="4"/>
      <c r="H512" s="4"/>
      <c r="I512" s="4"/>
      <c r="J512" s="4"/>
      <c r="K512" s="4"/>
      <c r="L512" s="4"/>
    </row>
    <row r="513" spans="1:12">
      <c r="A513" s="4"/>
      <c r="B513" s="4"/>
      <c r="C513" s="4"/>
      <c r="D513" s="4"/>
      <c r="E513" s="4"/>
      <c r="F513" s="4"/>
      <c r="G513" s="4"/>
      <c r="H513" s="4"/>
      <c r="I513" s="4"/>
      <c r="J513" s="4"/>
      <c r="K513" s="4"/>
      <c r="L513" s="4"/>
    </row>
    <row r="514" spans="1:12">
      <c r="A514" s="4"/>
      <c r="B514" s="4"/>
      <c r="C514" s="4"/>
      <c r="D514" s="4"/>
      <c r="E514" s="4"/>
      <c r="F514" s="4"/>
      <c r="G514" s="4"/>
      <c r="H514" s="4"/>
      <c r="I514" s="4"/>
      <c r="J514" s="4"/>
      <c r="K514" s="4"/>
      <c r="L514" s="4"/>
    </row>
    <row r="515" spans="1:12">
      <c r="A515" s="4"/>
      <c r="B515" s="4"/>
      <c r="C515" s="4"/>
      <c r="D515" s="4"/>
      <c r="E515" s="4"/>
      <c r="F515" s="4"/>
      <c r="G515" s="4"/>
      <c r="H515" s="4"/>
      <c r="I515" s="4"/>
      <c r="J515" s="4"/>
      <c r="K515" s="4"/>
      <c r="L515" s="4"/>
    </row>
    <row r="516" spans="1:12">
      <c r="A516" s="4"/>
      <c r="B516" s="4"/>
      <c r="C516" s="4"/>
      <c r="D516" s="4"/>
      <c r="E516" s="4"/>
      <c r="F516" s="4"/>
      <c r="G516" s="4"/>
      <c r="H516" s="4"/>
      <c r="I516" s="4"/>
      <c r="J516" s="4"/>
      <c r="K516" s="4"/>
      <c r="L516" s="4"/>
    </row>
    <row r="517" spans="1:12">
      <c r="A517" s="4"/>
      <c r="B517" s="4"/>
      <c r="C517" s="4"/>
      <c r="D517" s="4"/>
      <c r="E517" s="4"/>
      <c r="F517" s="4"/>
      <c r="G517" s="4"/>
      <c r="H517" s="4"/>
      <c r="I517" s="4"/>
      <c r="J517" s="4"/>
      <c r="K517" s="4"/>
      <c r="L517" s="4"/>
    </row>
    <row r="518" spans="1:12">
      <c r="A518" s="4"/>
      <c r="B518" s="4"/>
      <c r="C518" s="4"/>
      <c r="D518" s="4"/>
      <c r="E518" s="4"/>
      <c r="F518" s="4"/>
      <c r="G518" s="4"/>
      <c r="H518" s="4"/>
      <c r="I518" s="4"/>
      <c r="J518" s="4"/>
      <c r="K518" s="4"/>
      <c r="L518" s="4"/>
    </row>
    <row r="519" spans="1:12">
      <c r="A519" s="4"/>
      <c r="B519" s="4"/>
      <c r="C519" s="4"/>
      <c r="D519" s="4"/>
      <c r="E519" s="4"/>
      <c r="F519" s="4"/>
      <c r="G519" s="4"/>
      <c r="H519" s="4"/>
      <c r="I519" s="4"/>
      <c r="J519" s="4"/>
      <c r="K519" s="4"/>
      <c r="L519" s="4"/>
    </row>
    <row r="520" spans="1:12">
      <c r="A520" s="4"/>
      <c r="B520" s="4"/>
      <c r="C520" s="4"/>
      <c r="D520" s="4"/>
      <c r="E520" s="4"/>
      <c r="F520" s="4"/>
      <c r="G520" s="4"/>
      <c r="H520" s="4"/>
      <c r="I520" s="4"/>
      <c r="J520" s="4"/>
      <c r="K520" s="4"/>
      <c r="L520" s="4"/>
    </row>
    <row r="521" spans="1:12">
      <c r="A521" s="4"/>
      <c r="B521" s="4"/>
      <c r="C521" s="4"/>
      <c r="D521" s="4"/>
      <c r="E521" s="4"/>
      <c r="F521" s="4"/>
      <c r="G521" s="4"/>
      <c r="H521" s="4"/>
      <c r="I521" s="4"/>
      <c r="J521" s="4"/>
      <c r="K521" s="4"/>
      <c r="L521" s="4"/>
    </row>
    <row r="522" spans="1:12">
      <c r="A522" s="4"/>
      <c r="B522" s="4"/>
      <c r="C522" s="4"/>
      <c r="D522" s="4"/>
      <c r="E522" s="4"/>
      <c r="F522" s="4"/>
      <c r="G522" s="4"/>
      <c r="H522" s="4"/>
      <c r="I522" s="4"/>
      <c r="J522" s="4"/>
      <c r="K522" s="4"/>
      <c r="L522" s="4"/>
    </row>
    <row r="523" spans="1:12">
      <c r="A523" s="4"/>
      <c r="B523" s="4"/>
      <c r="C523" s="4"/>
      <c r="D523" s="4"/>
      <c r="E523" s="4"/>
      <c r="F523" s="4"/>
      <c r="G523" s="4"/>
      <c r="H523" s="4"/>
      <c r="I523" s="4"/>
      <c r="J523" s="4"/>
      <c r="K523" s="4"/>
      <c r="L523" s="4"/>
    </row>
    <row r="524" spans="1:12">
      <c r="A524" s="4"/>
      <c r="B524" s="4"/>
      <c r="C524" s="4"/>
      <c r="D524" s="4"/>
      <c r="E524" s="4"/>
      <c r="F524" s="4"/>
      <c r="G524" s="4"/>
      <c r="H524" s="4"/>
      <c r="I524" s="4"/>
      <c r="J524" s="4"/>
      <c r="K524" s="4"/>
      <c r="L524" s="4"/>
    </row>
    <row r="525" spans="1:12">
      <c r="A525" s="4"/>
      <c r="B525" s="4"/>
      <c r="C525" s="4"/>
      <c r="D525" s="4"/>
      <c r="E525" s="4"/>
      <c r="F525" s="4"/>
      <c r="G525" s="4"/>
      <c r="H525" s="4"/>
      <c r="I525" s="4"/>
      <c r="J525" s="4"/>
      <c r="K525" s="4"/>
      <c r="L525" s="4"/>
    </row>
    <row r="526" spans="1:12">
      <c r="A526" s="4"/>
      <c r="B526" s="4"/>
      <c r="C526" s="4"/>
      <c r="D526" s="4"/>
      <c r="E526" s="4"/>
      <c r="F526" s="4"/>
      <c r="G526" s="4"/>
      <c r="H526" s="4"/>
      <c r="I526" s="4"/>
      <c r="J526" s="4"/>
      <c r="K526" s="4"/>
      <c r="L526" s="4"/>
    </row>
    <row r="527" spans="1:12">
      <c r="A527" s="4"/>
      <c r="B527" s="4"/>
      <c r="C527" s="4"/>
      <c r="D527" s="4"/>
      <c r="E527" s="4"/>
      <c r="F527" s="4"/>
      <c r="G527" s="4"/>
      <c r="H527" s="4"/>
      <c r="I527" s="4"/>
      <c r="J527" s="4"/>
      <c r="K527" s="4"/>
      <c r="L527" s="4"/>
    </row>
    <row r="528" spans="1:12">
      <c r="A528" s="4"/>
      <c r="B528" s="4"/>
      <c r="C528" s="4"/>
      <c r="D528" s="4"/>
      <c r="E528" s="4"/>
      <c r="F528" s="4"/>
      <c r="G528" s="4"/>
      <c r="H528" s="4"/>
      <c r="I528" s="4"/>
      <c r="J528" s="4"/>
      <c r="K528" s="4"/>
      <c r="L528" s="4"/>
    </row>
    <row r="529" spans="1:12">
      <c r="A529" s="4"/>
      <c r="B529" s="4"/>
      <c r="C529" s="4"/>
      <c r="D529" s="4"/>
      <c r="E529" s="4"/>
      <c r="F529" s="4"/>
      <c r="G529" s="4"/>
      <c r="H529" s="4"/>
      <c r="I529" s="4"/>
      <c r="J529" s="4"/>
      <c r="K529" s="4"/>
      <c r="L529" s="4"/>
    </row>
    <row r="530" spans="1:12">
      <c r="A530" s="4"/>
      <c r="B530" s="4"/>
      <c r="C530" s="4"/>
      <c r="D530" s="4"/>
      <c r="E530" s="4"/>
      <c r="F530" s="4"/>
      <c r="G530" s="4"/>
      <c r="H530" s="4"/>
      <c r="I530" s="4"/>
      <c r="J530" s="4"/>
      <c r="K530" s="4"/>
      <c r="L530" s="4"/>
    </row>
    <row r="531" spans="1:12">
      <c r="A531" s="4"/>
      <c r="B531" s="4"/>
      <c r="C531" s="4"/>
      <c r="D531" s="4"/>
      <c r="E531" s="4"/>
      <c r="F531" s="4"/>
      <c r="G531" s="4"/>
      <c r="H531" s="4"/>
      <c r="I531" s="4"/>
      <c r="J531" s="4"/>
      <c r="K531" s="4"/>
      <c r="L531" s="4"/>
    </row>
    <row r="532" spans="1:12">
      <c r="A532" s="4"/>
      <c r="B532" s="4"/>
      <c r="C532" s="4"/>
      <c r="D532" s="4"/>
      <c r="E532" s="4"/>
      <c r="F532" s="4"/>
      <c r="G532" s="4"/>
      <c r="H532" s="4"/>
      <c r="I532" s="4"/>
      <c r="J532" s="4"/>
      <c r="K532" s="4"/>
      <c r="L532" s="4"/>
    </row>
    <row r="533" spans="1:12">
      <c r="A533" s="4"/>
      <c r="B533" s="4"/>
      <c r="C533" s="4"/>
      <c r="D533" s="4"/>
      <c r="E533" s="4"/>
      <c r="F533" s="4"/>
      <c r="G533" s="4"/>
      <c r="H533" s="4"/>
      <c r="I533" s="4"/>
      <c r="J533" s="4"/>
      <c r="K533" s="4"/>
      <c r="L533" s="4"/>
    </row>
    <row r="534" spans="1:12">
      <c r="A534" s="4"/>
      <c r="B534" s="4"/>
      <c r="C534" s="4"/>
      <c r="D534" s="4"/>
      <c r="E534" s="4"/>
      <c r="F534" s="4"/>
      <c r="G534" s="4"/>
      <c r="H534" s="4"/>
      <c r="I534" s="4"/>
      <c r="J534" s="4"/>
      <c r="K534" s="4"/>
      <c r="L534" s="4"/>
    </row>
    <row r="535" spans="1:12">
      <c r="A535" s="4"/>
      <c r="B535" s="4"/>
      <c r="C535" s="4"/>
      <c r="D535" s="4"/>
      <c r="E535" s="4"/>
      <c r="F535" s="4"/>
      <c r="G535" s="4"/>
      <c r="H535" s="4"/>
      <c r="I535" s="4"/>
      <c r="J535" s="4"/>
      <c r="K535" s="4"/>
      <c r="L535" s="4"/>
    </row>
    <row r="536" spans="1:12">
      <c r="A536" s="4"/>
      <c r="B536" s="4"/>
      <c r="C536" s="4"/>
      <c r="D536" s="4"/>
      <c r="E536" s="4"/>
      <c r="F536" s="4"/>
      <c r="G536" s="4"/>
      <c r="H536" s="4"/>
      <c r="I536" s="4"/>
      <c r="J536" s="4"/>
      <c r="K536" s="4"/>
      <c r="L536" s="4"/>
    </row>
    <row r="537" spans="1:12">
      <c r="A537" s="4"/>
      <c r="B537" s="4"/>
      <c r="C537" s="4"/>
      <c r="D537" s="4"/>
      <c r="E537" s="4"/>
      <c r="F537" s="4"/>
      <c r="G537" s="4"/>
      <c r="H537" s="4"/>
      <c r="I537" s="4"/>
      <c r="J537" s="4"/>
      <c r="K537" s="4"/>
      <c r="L537" s="4"/>
    </row>
    <row r="538" spans="1:12">
      <c r="A538" s="4"/>
      <c r="B538" s="4"/>
      <c r="C538" s="4"/>
      <c r="D538" s="4"/>
      <c r="E538" s="4"/>
      <c r="F538" s="4"/>
      <c r="G538" s="4"/>
      <c r="H538" s="4"/>
      <c r="I538" s="4"/>
      <c r="J538" s="4"/>
      <c r="K538" s="4"/>
      <c r="L538" s="4"/>
    </row>
    <row r="539" spans="1:12">
      <c r="A539" s="4"/>
      <c r="B539" s="4"/>
      <c r="C539" s="4"/>
      <c r="D539" s="4"/>
      <c r="E539" s="4"/>
      <c r="F539" s="4"/>
      <c r="G539" s="4"/>
      <c r="H539" s="4"/>
      <c r="I539" s="4"/>
      <c r="J539" s="4"/>
      <c r="K539" s="4"/>
      <c r="L539" s="4"/>
    </row>
    <row r="540" spans="1:12">
      <c r="A540" s="4"/>
      <c r="B540" s="4"/>
      <c r="C540" s="4"/>
      <c r="D540" s="4"/>
      <c r="E540" s="4"/>
      <c r="F540" s="4"/>
      <c r="G540" s="4"/>
      <c r="H540" s="4"/>
      <c r="I540" s="4"/>
      <c r="J540" s="4"/>
      <c r="K540" s="4"/>
      <c r="L540" s="4"/>
    </row>
    <row r="541" spans="1:12">
      <c r="A541" s="4"/>
      <c r="B541" s="4"/>
      <c r="C541" s="4"/>
      <c r="D541" s="4"/>
      <c r="E541" s="4"/>
      <c r="F541" s="4"/>
      <c r="G541" s="4"/>
      <c r="H541" s="4"/>
      <c r="I541" s="4"/>
      <c r="J541" s="4"/>
      <c r="K541" s="4"/>
      <c r="L541" s="4"/>
    </row>
    <row r="542" spans="1:12">
      <c r="A542" s="4"/>
      <c r="B542" s="4"/>
      <c r="C542" s="4"/>
      <c r="D542" s="4"/>
      <c r="E542" s="4"/>
      <c r="F542" s="4"/>
      <c r="G542" s="4"/>
      <c r="H542" s="4"/>
      <c r="I542" s="4"/>
      <c r="J542" s="4"/>
      <c r="K542" s="4"/>
      <c r="L542" s="4"/>
    </row>
    <row r="543" spans="1:12">
      <c r="A543" s="4"/>
      <c r="B543" s="4"/>
      <c r="C543" s="4"/>
      <c r="D543" s="4"/>
      <c r="E543" s="4"/>
      <c r="F543" s="4"/>
      <c r="G543" s="4"/>
      <c r="H543" s="4"/>
      <c r="I543" s="4"/>
      <c r="J543" s="4"/>
      <c r="K543" s="4"/>
      <c r="L543" s="4"/>
    </row>
    <row r="544" spans="1:12">
      <c r="A544" s="4"/>
      <c r="B544" s="4"/>
      <c r="C544" s="4"/>
      <c r="D544" s="4"/>
      <c r="E544" s="4"/>
      <c r="F544" s="4"/>
      <c r="G544" s="4"/>
      <c r="H544" s="4"/>
      <c r="I544" s="4"/>
      <c r="J544" s="4"/>
      <c r="K544" s="4"/>
      <c r="L544" s="4"/>
    </row>
    <row r="545" spans="1:12">
      <c r="A545" s="4"/>
      <c r="B545" s="4"/>
      <c r="C545" s="4"/>
      <c r="D545" s="4"/>
      <c r="E545" s="4"/>
      <c r="F545" s="4"/>
      <c r="G545" s="4"/>
      <c r="H545" s="4"/>
      <c r="I545" s="4"/>
      <c r="J545" s="4"/>
      <c r="K545" s="4"/>
      <c r="L545" s="4"/>
    </row>
    <row r="546" spans="1:12">
      <c r="A546" s="4"/>
      <c r="B546" s="4"/>
      <c r="C546" s="4"/>
      <c r="D546" s="4"/>
      <c r="E546" s="4"/>
      <c r="F546" s="4"/>
      <c r="G546" s="4"/>
      <c r="H546" s="4"/>
      <c r="I546" s="4"/>
      <c r="J546" s="4"/>
      <c r="K546" s="4"/>
      <c r="L546" s="4"/>
    </row>
    <row r="547" spans="1:12">
      <c r="A547" s="4"/>
      <c r="B547" s="4"/>
      <c r="C547" s="4"/>
      <c r="D547" s="4"/>
      <c r="E547" s="4"/>
      <c r="F547" s="4"/>
      <c r="G547" s="4"/>
      <c r="H547" s="4"/>
      <c r="I547" s="4"/>
      <c r="J547" s="4"/>
      <c r="K547" s="4"/>
      <c r="L547" s="4"/>
    </row>
    <row r="548" spans="1:12">
      <c r="A548" s="4"/>
      <c r="B548" s="4"/>
      <c r="C548" s="4"/>
      <c r="D548" s="4"/>
      <c r="E548" s="4"/>
      <c r="F548" s="4"/>
      <c r="G548" s="4"/>
      <c r="H548" s="4"/>
      <c r="I548" s="4"/>
      <c r="J548" s="4"/>
      <c r="K548" s="4"/>
      <c r="L548" s="4"/>
    </row>
    <row r="549" spans="1:12">
      <c r="A549" s="4"/>
      <c r="B549" s="4"/>
      <c r="C549" s="4"/>
      <c r="D549" s="4"/>
      <c r="E549" s="4"/>
      <c r="F549" s="4"/>
      <c r="G549" s="4"/>
      <c r="H549" s="4"/>
      <c r="I549" s="4"/>
      <c r="J549" s="4"/>
      <c r="K549" s="4"/>
      <c r="L549" s="4"/>
    </row>
    <row r="550" spans="1:12">
      <c r="A550" s="4"/>
      <c r="B550" s="4"/>
      <c r="C550" s="4"/>
      <c r="D550" s="4"/>
      <c r="E550" s="4"/>
      <c r="F550" s="4"/>
      <c r="G550" s="4"/>
      <c r="H550" s="4"/>
      <c r="I550" s="4"/>
      <c r="J550" s="4"/>
      <c r="K550" s="4"/>
      <c r="L550" s="4"/>
    </row>
    <row r="551" spans="1:12">
      <c r="A551" s="4"/>
      <c r="B551" s="4"/>
      <c r="C551" s="4"/>
      <c r="D551" s="4"/>
      <c r="E551" s="4"/>
      <c r="F551" s="4"/>
      <c r="G551" s="4"/>
      <c r="H551" s="4"/>
      <c r="I551" s="4"/>
      <c r="J551" s="4"/>
      <c r="K551" s="4"/>
      <c r="L551" s="4"/>
    </row>
    <row r="552" spans="1:12">
      <c r="A552" s="4"/>
      <c r="B552" s="4"/>
      <c r="C552" s="4"/>
      <c r="D552" s="4"/>
      <c r="E552" s="4"/>
      <c r="F552" s="4"/>
      <c r="G552" s="4"/>
      <c r="H552" s="4"/>
      <c r="I552" s="4"/>
      <c r="J552" s="4"/>
      <c r="K552" s="4"/>
      <c r="L552" s="4"/>
    </row>
    <row r="553" spans="1:12">
      <c r="A553" s="4"/>
      <c r="B553" s="4"/>
      <c r="C553" s="4"/>
      <c r="D553" s="4"/>
      <c r="E553" s="4"/>
      <c r="F553" s="4"/>
      <c r="G553" s="4"/>
      <c r="H553" s="4"/>
      <c r="I553" s="4"/>
      <c r="J553" s="4"/>
      <c r="K553" s="4"/>
      <c r="L553" s="4"/>
    </row>
    <row r="554" spans="1:12">
      <c r="A554" s="4"/>
      <c r="B554" s="4"/>
      <c r="C554" s="4"/>
      <c r="D554" s="4"/>
      <c r="E554" s="4"/>
      <c r="F554" s="4"/>
      <c r="G554" s="4"/>
      <c r="H554" s="4"/>
      <c r="I554" s="4"/>
      <c r="J554" s="4"/>
      <c r="K554" s="4"/>
      <c r="L554" s="4"/>
    </row>
    <row r="555" spans="1:12">
      <c r="A555" s="4"/>
      <c r="B555" s="4"/>
      <c r="C555" s="4"/>
      <c r="D555" s="4"/>
      <c r="E555" s="4"/>
      <c r="F555" s="4"/>
      <c r="G555" s="4"/>
      <c r="H555" s="4"/>
      <c r="I555" s="4"/>
      <c r="J555" s="4"/>
      <c r="K555" s="4"/>
      <c r="L555" s="4"/>
    </row>
    <row r="556" spans="1:12">
      <c r="A556" s="4"/>
      <c r="B556" s="4"/>
      <c r="C556" s="4"/>
      <c r="D556" s="4"/>
      <c r="E556" s="4"/>
      <c r="F556" s="4"/>
      <c r="G556" s="4"/>
      <c r="H556" s="4"/>
      <c r="I556" s="4"/>
      <c r="J556" s="4"/>
      <c r="K556" s="4"/>
      <c r="L556" s="4"/>
    </row>
    <row r="557" spans="1:12">
      <c r="A557" s="4"/>
      <c r="B557" s="4"/>
      <c r="C557" s="4"/>
      <c r="D557" s="4"/>
      <c r="E557" s="4"/>
      <c r="F557" s="4"/>
      <c r="G557" s="4"/>
      <c r="H557" s="4"/>
      <c r="I557" s="4"/>
      <c r="J557" s="4"/>
      <c r="K557" s="4"/>
      <c r="L557" s="4"/>
    </row>
    <row r="558" spans="1:12">
      <c r="A558" s="4"/>
      <c r="B558" s="4"/>
      <c r="C558" s="4"/>
      <c r="D558" s="4"/>
      <c r="E558" s="4"/>
      <c r="F558" s="4"/>
      <c r="G558" s="4"/>
      <c r="H558" s="4"/>
      <c r="I558" s="4"/>
      <c r="J558" s="4"/>
      <c r="K558" s="4"/>
      <c r="L558" s="4"/>
    </row>
    <row r="559" spans="1:12">
      <c r="A559" s="4"/>
      <c r="B559" s="4"/>
      <c r="C559" s="4"/>
      <c r="D559" s="4"/>
      <c r="E559" s="4"/>
      <c r="F559" s="4"/>
      <c r="G559" s="4"/>
      <c r="H559" s="4"/>
      <c r="I559" s="4"/>
      <c r="J559" s="4"/>
      <c r="K559" s="4"/>
      <c r="L559" s="4"/>
    </row>
    <row r="560" spans="1:12">
      <c r="A560" s="4"/>
      <c r="B560" s="4"/>
      <c r="C560" s="4"/>
      <c r="D560" s="4"/>
      <c r="E560" s="4"/>
      <c r="F560" s="4"/>
      <c r="G560" s="4"/>
      <c r="H560" s="4"/>
      <c r="I560" s="4"/>
      <c r="J560" s="4"/>
      <c r="K560" s="4"/>
      <c r="L560" s="4"/>
    </row>
    <row r="561" spans="1:12">
      <c r="A561" s="4"/>
      <c r="B561" s="4"/>
      <c r="C561" s="4"/>
      <c r="D561" s="4"/>
      <c r="E561" s="4"/>
      <c r="F561" s="4"/>
      <c r="G561" s="4"/>
      <c r="H561" s="4"/>
      <c r="I561" s="4"/>
      <c r="J561" s="4"/>
      <c r="K561" s="4"/>
      <c r="L561" s="4"/>
    </row>
    <row r="562" spans="1:12">
      <c r="A562" s="4"/>
      <c r="B562" s="4"/>
      <c r="C562" s="4"/>
      <c r="D562" s="4"/>
      <c r="E562" s="4"/>
      <c r="F562" s="4"/>
      <c r="G562" s="4"/>
      <c r="H562" s="4"/>
      <c r="I562" s="4"/>
      <c r="J562" s="4"/>
      <c r="K562" s="4"/>
      <c r="L562" s="4"/>
    </row>
    <row r="563" spans="1:12">
      <c r="A563" s="4"/>
      <c r="B563" s="4"/>
      <c r="C563" s="4"/>
      <c r="D563" s="4"/>
      <c r="E563" s="4"/>
      <c r="F563" s="4"/>
      <c r="G563" s="4"/>
      <c r="H563" s="4"/>
      <c r="I563" s="4"/>
      <c r="J563" s="4"/>
      <c r="K563" s="4"/>
      <c r="L563" s="4"/>
    </row>
    <row r="564" spans="1:12">
      <c r="A564" s="4"/>
      <c r="B564" s="4"/>
      <c r="C564" s="4"/>
      <c r="D564" s="4"/>
      <c r="E564" s="4"/>
      <c r="F564" s="4"/>
      <c r="G564" s="4"/>
      <c r="H564" s="4"/>
      <c r="I564" s="4"/>
      <c r="J564" s="4"/>
      <c r="K564" s="4"/>
      <c r="L564" s="4"/>
    </row>
    <row r="565" spans="1:12">
      <c r="A565" s="4"/>
      <c r="B565" s="4"/>
      <c r="C565" s="4"/>
      <c r="D565" s="4"/>
      <c r="E565" s="4"/>
      <c r="F565" s="4"/>
      <c r="G565" s="4"/>
      <c r="H565" s="4"/>
      <c r="I565" s="4"/>
      <c r="J565" s="4"/>
      <c r="K565" s="4"/>
      <c r="L565" s="4"/>
    </row>
    <row r="566" spans="1:12">
      <c r="A566" s="4"/>
      <c r="B566" s="4"/>
      <c r="C566" s="4"/>
      <c r="D566" s="4"/>
      <c r="E566" s="4"/>
      <c r="F566" s="4"/>
      <c r="G566" s="4"/>
      <c r="H566" s="4"/>
      <c r="I566" s="4"/>
      <c r="J566" s="4"/>
      <c r="K566" s="4"/>
      <c r="L566" s="4"/>
    </row>
    <row r="567" spans="1:12">
      <c r="A567" s="4"/>
      <c r="B567" s="4"/>
      <c r="C567" s="4"/>
      <c r="D567" s="4"/>
      <c r="E567" s="4"/>
      <c r="F567" s="4"/>
      <c r="G567" s="4"/>
      <c r="H567" s="4"/>
      <c r="I567" s="4"/>
      <c r="J567" s="4"/>
      <c r="K567" s="4"/>
      <c r="L567" s="4"/>
    </row>
    <row r="568" spans="1:12">
      <c r="A568" s="4"/>
      <c r="B568" s="4"/>
      <c r="C568" s="4"/>
      <c r="D568" s="4"/>
      <c r="E568" s="4"/>
      <c r="F568" s="4"/>
      <c r="G568" s="4"/>
      <c r="H568" s="4"/>
      <c r="I568" s="4"/>
      <c r="J568" s="4"/>
      <c r="K568" s="4"/>
      <c r="L568" s="4"/>
    </row>
    <row r="569" spans="1:12">
      <c r="A569" s="4"/>
      <c r="B569" s="4"/>
      <c r="C569" s="4"/>
      <c r="D569" s="4"/>
      <c r="E569" s="4"/>
      <c r="F569" s="4"/>
      <c r="G569" s="4"/>
      <c r="H569" s="4"/>
      <c r="I569" s="4"/>
      <c r="J569" s="4"/>
      <c r="K569" s="4"/>
      <c r="L569" s="4"/>
    </row>
    <row r="570" spans="1:12">
      <c r="A570" s="4"/>
      <c r="B570" s="4"/>
      <c r="C570" s="4"/>
      <c r="D570" s="4"/>
      <c r="E570" s="4"/>
      <c r="F570" s="4"/>
      <c r="G570" s="4"/>
      <c r="H570" s="4"/>
      <c r="I570" s="4"/>
      <c r="J570" s="4"/>
      <c r="K570" s="4"/>
      <c r="L570" s="4"/>
    </row>
    <row r="571" spans="1:12">
      <c r="A571" s="4"/>
      <c r="B571" s="4"/>
      <c r="C571" s="4"/>
      <c r="D571" s="4"/>
      <c r="E571" s="4"/>
      <c r="F571" s="4"/>
      <c r="G571" s="4"/>
      <c r="H571" s="4"/>
      <c r="I571" s="4"/>
      <c r="J571" s="4"/>
      <c r="K571" s="4"/>
      <c r="L571" s="4"/>
    </row>
    <row r="572" spans="1:12">
      <c r="A572" s="4"/>
      <c r="B572" s="4"/>
      <c r="C572" s="4"/>
      <c r="D572" s="4"/>
      <c r="E572" s="4"/>
      <c r="F572" s="4"/>
      <c r="G572" s="4"/>
      <c r="H572" s="4"/>
      <c r="I572" s="4"/>
      <c r="J572" s="4"/>
      <c r="K572" s="4"/>
      <c r="L572" s="4"/>
    </row>
    <row r="573" spans="1:12">
      <c r="A573" s="4"/>
      <c r="B573" s="4"/>
      <c r="C573" s="4"/>
      <c r="D573" s="4"/>
      <c r="E573" s="4"/>
      <c r="F573" s="4"/>
      <c r="G573" s="4"/>
      <c r="H573" s="4"/>
      <c r="I573" s="4"/>
      <c r="J573" s="4"/>
      <c r="K573" s="4"/>
      <c r="L573" s="4"/>
    </row>
    <row r="574" spans="1:12">
      <c r="A574" s="4"/>
      <c r="B574" s="4"/>
      <c r="C574" s="4"/>
      <c r="D574" s="4"/>
      <c r="E574" s="4"/>
      <c r="F574" s="4"/>
      <c r="G574" s="4"/>
      <c r="H574" s="4"/>
      <c r="I574" s="4"/>
      <c r="J574" s="4"/>
      <c r="K574" s="4"/>
      <c r="L574" s="4"/>
    </row>
    <row r="575" spans="1:12">
      <c r="A575" s="4"/>
      <c r="B575" s="4"/>
      <c r="C575" s="4"/>
      <c r="D575" s="4"/>
      <c r="E575" s="4"/>
      <c r="F575" s="4"/>
      <c r="G575" s="4"/>
      <c r="H575" s="4"/>
      <c r="I575" s="4"/>
      <c r="J575" s="4"/>
      <c r="K575" s="4"/>
      <c r="L575" s="4"/>
    </row>
    <row r="576" spans="1:12">
      <c r="A576" s="4"/>
      <c r="B576" s="4"/>
      <c r="C576" s="4"/>
      <c r="D576" s="4"/>
      <c r="E576" s="4"/>
      <c r="F576" s="4"/>
      <c r="G576" s="4"/>
      <c r="H576" s="4"/>
      <c r="I576" s="4"/>
      <c r="J576" s="4"/>
      <c r="K576" s="4"/>
      <c r="L576" s="4"/>
    </row>
    <row r="577" spans="1:12">
      <c r="A577" s="4"/>
      <c r="B577" s="4"/>
      <c r="C577" s="4"/>
      <c r="D577" s="4"/>
      <c r="E577" s="4"/>
      <c r="F577" s="4"/>
      <c r="G577" s="4"/>
      <c r="H577" s="4"/>
      <c r="I577" s="4"/>
      <c r="J577" s="4"/>
      <c r="K577" s="4"/>
      <c r="L577" s="4"/>
    </row>
    <row r="578" spans="1:12">
      <c r="A578" s="4"/>
      <c r="B578" s="4"/>
      <c r="C578" s="4"/>
      <c r="D578" s="4"/>
      <c r="E578" s="4"/>
      <c r="F578" s="4"/>
      <c r="G578" s="4"/>
      <c r="H578" s="4"/>
      <c r="I578" s="4"/>
      <c r="J578" s="4"/>
      <c r="K578" s="4"/>
      <c r="L578" s="4"/>
    </row>
    <row r="579" spans="1:12">
      <c r="A579" s="4"/>
      <c r="B579" s="4"/>
      <c r="C579" s="4"/>
      <c r="D579" s="4"/>
      <c r="E579" s="4"/>
      <c r="F579" s="4"/>
      <c r="G579" s="4"/>
      <c r="H579" s="4"/>
      <c r="I579" s="4"/>
      <c r="J579" s="4"/>
      <c r="K579" s="4"/>
      <c r="L579" s="4"/>
    </row>
    <row r="580" spans="1:12">
      <c r="A580" s="4"/>
      <c r="B580" s="4"/>
      <c r="C580" s="4"/>
      <c r="D580" s="4"/>
      <c r="E580" s="4"/>
      <c r="F580" s="4"/>
      <c r="G580" s="4"/>
      <c r="H580" s="4"/>
      <c r="I580" s="4"/>
      <c r="J580" s="4"/>
      <c r="K580" s="4"/>
      <c r="L580" s="4"/>
    </row>
    <row r="581" spans="1:12">
      <c r="A581" s="4"/>
      <c r="B581" s="4"/>
      <c r="C581" s="4"/>
      <c r="D581" s="4"/>
      <c r="E581" s="4"/>
      <c r="F581" s="4"/>
      <c r="G581" s="4"/>
      <c r="H581" s="4"/>
      <c r="I581" s="4"/>
      <c r="J581" s="4"/>
      <c r="K581" s="4"/>
      <c r="L581" s="4"/>
    </row>
    <row r="582" spans="1:12">
      <c r="A582" s="4"/>
      <c r="B582" s="4"/>
      <c r="C582" s="4"/>
      <c r="D582" s="4"/>
      <c r="E582" s="4"/>
      <c r="F582" s="4"/>
      <c r="G582" s="4"/>
      <c r="H582" s="4"/>
      <c r="I582" s="4"/>
      <c r="J582" s="4"/>
      <c r="K582" s="4"/>
      <c r="L582" s="4"/>
    </row>
    <row r="583" spans="1:12">
      <c r="A583" s="4"/>
      <c r="B583" s="4"/>
      <c r="C583" s="4"/>
      <c r="D583" s="4"/>
      <c r="E583" s="4"/>
      <c r="F583" s="4"/>
      <c r="G583" s="4"/>
      <c r="H583" s="4"/>
      <c r="I583" s="4"/>
      <c r="J583" s="4"/>
      <c r="K583" s="4"/>
      <c r="L583" s="4"/>
    </row>
    <row r="584" spans="1:12">
      <c r="A584" s="4"/>
      <c r="B584" s="4"/>
      <c r="C584" s="4"/>
      <c r="D584" s="4"/>
      <c r="E584" s="4"/>
      <c r="F584" s="4"/>
      <c r="G584" s="4"/>
      <c r="H584" s="4"/>
      <c r="I584" s="4"/>
      <c r="J584" s="4"/>
      <c r="K584" s="4"/>
      <c r="L584" s="4"/>
    </row>
    <row r="585" spans="1:12">
      <c r="A585" s="4"/>
      <c r="B585" s="4"/>
      <c r="C585" s="4"/>
      <c r="D585" s="4"/>
      <c r="E585" s="4"/>
      <c r="F585" s="4"/>
      <c r="G585" s="4"/>
      <c r="H585" s="4"/>
      <c r="I585" s="4"/>
      <c r="J585" s="4"/>
      <c r="K585" s="4"/>
      <c r="L585" s="4"/>
    </row>
    <row r="586" spans="1:12">
      <c r="A586" s="4"/>
      <c r="B586" s="4"/>
      <c r="C586" s="4"/>
      <c r="D586" s="4"/>
      <c r="E586" s="4"/>
      <c r="F586" s="4"/>
      <c r="G586" s="4"/>
      <c r="H586" s="4"/>
      <c r="I586" s="4"/>
      <c r="J586" s="4"/>
      <c r="K586" s="4"/>
      <c r="L586" s="4"/>
    </row>
    <row r="587" spans="1:12">
      <c r="A587" s="4"/>
      <c r="B587" s="4"/>
      <c r="C587" s="4"/>
      <c r="D587" s="4"/>
      <c r="E587" s="4"/>
      <c r="F587" s="4"/>
      <c r="G587" s="4"/>
      <c r="H587" s="4"/>
      <c r="I587" s="4"/>
      <c r="J587" s="4"/>
      <c r="K587" s="4"/>
      <c r="L587" s="4"/>
    </row>
    <row r="588" spans="1:12">
      <c r="A588" s="4"/>
      <c r="B588" s="4"/>
      <c r="C588" s="4"/>
      <c r="D588" s="4"/>
      <c r="E588" s="4"/>
      <c r="F588" s="4"/>
      <c r="G588" s="4"/>
      <c r="H588" s="4"/>
      <c r="I588" s="4"/>
      <c r="J588" s="4"/>
      <c r="K588" s="4"/>
      <c r="L588" s="4"/>
    </row>
    <row r="589" spans="1:12">
      <c r="A589" s="4"/>
      <c r="B589" s="4"/>
      <c r="C589" s="4"/>
      <c r="D589" s="4"/>
      <c r="E589" s="4"/>
      <c r="F589" s="4"/>
      <c r="G589" s="4"/>
      <c r="H589" s="4"/>
      <c r="I589" s="4"/>
      <c r="J589" s="4"/>
      <c r="K589" s="4"/>
      <c r="L589" s="4"/>
    </row>
    <row r="590" spans="1:12">
      <c r="A590" s="4"/>
      <c r="B590" s="4"/>
      <c r="C590" s="4"/>
      <c r="D590" s="4"/>
      <c r="E590" s="4"/>
      <c r="F590" s="4"/>
      <c r="G590" s="4"/>
      <c r="H590" s="4"/>
      <c r="I590" s="4"/>
      <c r="J590" s="4"/>
      <c r="K590" s="4"/>
      <c r="L590" s="4"/>
    </row>
    <row r="591" spans="1:12">
      <c r="A591" s="4"/>
      <c r="B591" s="4"/>
      <c r="C591" s="4"/>
      <c r="D591" s="4"/>
      <c r="E591" s="4"/>
      <c r="F591" s="4"/>
      <c r="G591" s="4"/>
      <c r="H591" s="4"/>
      <c r="I591" s="4"/>
      <c r="J591" s="4"/>
      <c r="K591" s="4"/>
      <c r="L591" s="4"/>
    </row>
    <row r="592" spans="1:12">
      <c r="A592" s="4"/>
      <c r="B592" s="4"/>
      <c r="C592" s="4"/>
      <c r="D592" s="4"/>
      <c r="E592" s="4"/>
      <c r="F592" s="4"/>
      <c r="G592" s="4"/>
      <c r="H592" s="4"/>
      <c r="I592" s="4"/>
      <c r="J592" s="4"/>
      <c r="K592" s="4"/>
      <c r="L592" s="4"/>
    </row>
    <row r="593" spans="1:12">
      <c r="A593" s="4"/>
      <c r="B593" s="4"/>
      <c r="C593" s="4"/>
      <c r="D593" s="4"/>
      <c r="E593" s="4"/>
      <c r="F593" s="4"/>
      <c r="G593" s="4"/>
      <c r="H593" s="4"/>
      <c r="I593" s="4"/>
      <c r="J593" s="4"/>
      <c r="K593" s="4"/>
      <c r="L593" s="4"/>
    </row>
    <row r="594" spans="1:12">
      <c r="A594" s="4"/>
      <c r="B594" s="4"/>
      <c r="C594" s="4"/>
      <c r="D594" s="4"/>
      <c r="E594" s="4"/>
      <c r="F594" s="4"/>
      <c r="G594" s="4"/>
      <c r="H594" s="4"/>
      <c r="I594" s="4"/>
      <c r="J594" s="4"/>
      <c r="K594" s="4"/>
      <c r="L594" s="4"/>
    </row>
    <row r="595" spans="1:12">
      <c r="A595" s="4"/>
      <c r="B595" s="4"/>
      <c r="C595" s="4"/>
      <c r="D595" s="4"/>
      <c r="E595" s="4"/>
      <c r="F595" s="4"/>
      <c r="G595" s="4"/>
      <c r="H595" s="4"/>
      <c r="I595" s="4"/>
      <c r="J595" s="4"/>
      <c r="K595" s="4"/>
      <c r="L595" s="4"/>
    </row>
    <row r="596" spans="1:12">
      <c r="A596" s="4"/>
      <c r="B596" s="4"/>
      <c r="C596" s="4"/>
      <c r="D596" s="4"/>
      <c r="E596" s="4"/>
      <c r="F596" s="4"/>
      <c r="G596" s="4"/>
      <c r="H596" s="4"/>
      <c r="I596" s="4"/>
      <c r="J596" s="4"/>
      <c r="K596" s="4"/>
      <c r="L596" s="4"/>
    </row>
    <row r="597" spans="1:12">
      <c r="A597" s="4"/>
      <c r="B597" s="4"/>
      <c r="C597" s="4"/>
      <c r="D597" s="4"/>
      <c r="E597" s="4"/>
      <c r="F597" s="4"/>
      <c r="G597" s="4"/>
      <c r="H597" s="4"/>
      <c r="I597" s="4"/>
      <c r="J597" s="4"/>
      <c r="K597" s="4"/>
      <c r="L597" s="4"/>
    </row>
    <row r="598" spans="1:12">
      <c r="A598" s="4"/>
      <c r="B598" s="4"/>
      <c r="C598" s="4"/>
      <c r="D598" s="4"/>
      <c r="E598" s="4"/>
      <c r="F598" s="4"/>
      <c r="G598" s="4"/>
      <c r="H598" s="4"/>
      <c r="I598" s="4"/>
      <c r="J598" s="4"/>
      <c r="K598" s="4"/>
      <c r="L598" s="4"/>
    </row>
    <row r="599" spans="1:12">
      <c r="A599" s="4"/>
      <c r="B599" s="4"/>
      <c r="C599" s="4"/>
      <c r="D599" s="4"/>
      <c r="E599" s="4"/>
      <c r="F599" s="4"/>
      <c r="G599" s="4"/>
      <c r="H599" s="4"/>
      <c r="I599" s="4"/>
      <c r="J599" s="4"/>
      <c r="K599" s="4"/>
      <c r="L599" s="4"/>
    </row>
    <row r="600" spans="1:12">
      <c r="A600" s="4"/>
      <c r="B600" s="4"/>
      <c r="C600" s="4"/>
      <c r="D600" s="4"/>
      <c r="E600" s="4"/>
      <c r="F600" s="4"/>
      <c r="G600" s="4"/>
      <c r="H600" s="4"/>
      <c r="I600" s="4"/>
      <c r="J600" s="4"/>
      <c r="K600" s="4"/>
      <c r="L600" s="4"/>
    </row>
    <row r="601" spans="1:12">
      <c r="A601" s="4"/>
      <c r="B601" s="4"/>
      <c r="C601" s="4"/>
      <c r="D601" s="4"/>
      <c r="E601" s="4"/>
      <c r="F601" s="4"/>
      <c r="G601" s="4"/>
      <c r="H601" s="4"/>
      <c r="I601" s="4"/>
      <c r="J601" s="4"/>
      <c r="K601" s="4"/>
      <c r="L601" s="4"/>
    </row>
    <row r="602" spans="1:12">
      <c r="A602" s="4"/>
      <c r="B602" s="4"/>
      <c r="C602" s="4"/>
      <c r="D602" s="4"/>
      <c r="E602" s="4"/>
      <c r="F602" s="4"/>
      <c r="G602" s="4"/>
      <c r="H602" s="4"/>
      <c r="I602" s="4"/>
      <c r="J602" s="4"/>
      <c r="K602" s="4"/>
      <c r="L602" s="4"/>
    </row>
    <row r="603" spans="1:12">
      <c r="A603" s="4"/>
      <c r="B603" s="4"/>
      <c r="C603" s="4"/>
      <c r="D603" s="4"/>
      <c r="E603" s="4"/>
      <c r="F603" s="4"/>
      <c r="G603" s="4"/>
      <c r="H603" s="4"/>
      <c r="I603" s="4"/>
      <c r="J603" s="4"/>
      <c r="K603" s="4"/>
      <c r="L603" s="4"/>
    </row>
    <row r="604" spans="1:12">
      <c r="A604" s="4"/>
      <c r="B604" s="4"/>
      <c r="C604" s="4"/>
      <c r="D604" s="4"/>
      <c r="E604" s="4"/>
      <c r="F604" s="4"/>
      <c r="G604" s="4"/>
      <c r="H604" s="4"/>
      <c r="I604" s="4"/>
      <c r="J604" s="4"/>
      <c r="K604" s="4"/>
      <c r="L604" s="4"/>
    </row>
    <row r="605" spans="1:12">
      <c r="A605" s="4"/>
      <c r="B605" s="4"/>
      <c r="C605" s="4"/>
      <c r="D605" s="4"/>
      <c r="E605" s="4"/>
      <c r="F605" s="4"/>
      <c r="G605" s="4"/>
      <c r="H605" s="4"/>
      <c r="I605" s="4"/>
      <c r="J605" s="4"/>
      <c r="K605" s="4"/>
      <c r="L605" s="4"/>
    </row>
    <row r="606" spans="1:12">
      <c r="A606" s="4"/>
      <c r="B606" s="4"/>
      <c r="C606" s="4"/>
      <c r="D606" s="4"/>
      <c r="E606" s="4"/>
      <c r="F606" s="4"/>
      <c r="G606" s="4"/>
      <c r="H606" s="4"/>
      <c r="I606" s="4"/>
      <c r="J606" s="4"/>
      <c r="K606" s="4"/>
      <c r="L606" s="4"/>
    </row>
    <row r="607" spans="1:12">
      <c r="A607" s="4"/>
      <c r="B607" s="4"/>
      <c r="C607" s="4"/>
      <c r="D607" s="4"/>
      <c r="E607" s="4"/>
      <c r="F607" s="4"/>
      <c r="G607" s="4"/>
      <c r="H607" s="4"/>
      <c r="I607" s="4"/>
      <c r="J607" s="4"/>
      <c r="K607" s="4"/>
      <c r="L607" s="4"/>
    </row>
    <row r="608" spans="1:12">
      <c r="A608" s="4"/>
      <c r="B608" s="4"/>
      <c r="C608" s="4"/>
      <c r="D608" s="4"/>
      <c r="E608" s="4"/>
      <c r="F608" s="4"/>
      <c r="G608" s="4"/>
      <c r="H608" s="4"/>
      <c r="I608" s="4"/>
      <c r="J608" s="4"/>
      <c r="K608" s="4"/>
      <c r="L608" s="4"/>
    </row>
    <row r="609" spans="1:12">
      <c r="A609" s="4"/>
      <c r="B609" s="4"/>
      <c r="C609" s="4"/>
      <c r="D609" s="4"/>
      <c r="E609" s="4"/>
      <c r="F609" s="4"/>
      <c r="G609" s="4"/>
      <c r="H609" s="4"/>
      <c r="I609" s="4"/>
      <c r="J609" s="4"/>
      <c r="K609" s="4"/>
      <c r="L609" s="4"/>
    </row>
    <row r="610" spans="1:12">
      <c r="A610" s="4"/>
      <c r="B610" s="4"/>
      <c r="C610" s="4"/>
      <c r="D610" s="4"/>
      <c r="E610" s="4"/>
      <c r="F610" s="4"/>
      <c r="G610" s="4"/>
      <c r="H610" s="4"/>
      <c r="I610" s="4"/>
      <c r="J610" s="4"/>
      <c r="K610" s="4"/>
      <c r="L610" s="4"/>
    </row>
    <row r="611" spans="1:12">
      <c r="A611" s="4"/>
      <c r="B611" s="4"/>
      <c r="C611" s="4"/>
      <c r="D611" s="4"/>
      <c r="E611" s="4"/>
      <c r="F611" s="4"/>
      <c r="G611" s="4"/>
      <c r="H611" s="4"/>
      <c r="I611" s="4"/>
      <c r="J611" s="4"/>
      <c r="K611" s="4"/>
      <c r="L611" s="4"/>
    </row>
    <row r="612" spans="1:12">
      <c r="A612" s="4"/>
      <c r="B612" s="4"/>
      <c r="C612" s="4"/>
      <c r="D612" s="4"/>
      <c r="E612" s="4"/>
      <c r="F612" s="4"/>
      <c r="G612" s="4"/>
      <c r="H612" s="4"/>
      <c r="I612" s="4"/>
      <c r="J612" s="4"/>
      <c r="K612" s="4"/>
      <c r="L612" s="4"/>
    </row>
    <row r="613" spans="1:12" customFormat="1"/>
    <row r="614" spans="1:12" customFormat="1"/>
    <row r="615" spans="1:12" customFormat="1"/>
    <row r="616" spans="1:12" customFormat="1"/>
    <row r="617" spans="1:12" customFormat="1"/>
    <row r="618" spans="1:12" customFormat="1"/>
    <row r="619" spans="1:12" customFormat="1"/>
    <row r="620" spans="1:12" customFormat="1"/>
    <row r="621" spans="1:12" customFormat="1"/>
    <row r="622" spans="1:12" customFormat="1"/>
    <row r="623" spans="1:12" customFormat="1"/>
    <row r="624" spans="1:12" customFormat="1"/>
    <row r="625" spans="1:12" customFormat="1"/>
    <row r="626" spans="1:12" customFormat="1"/>
    <row r="627" spans="1:12" customFormat="1"/>
    <row r="628" spans="1:12" customFormat="1"/>
    <row r="629" spans="1:12" customFormat="1"/>
    <row r="630" spans="1:12" customFormat="1"/>
    <row r="631" spans="1:12" customFormat="1"/>
    <row r="632" spans="1:12" customFormat="1"/>
    <row r="633" spans="1:12" customFormat="1"/>
    <row r="634" spans="1:12" customFormat="1"/>
    <row r="635" spans="1:12" customFormat="1"/>
    <row r="636" spans="1:12" customFormat="1"/>
    <row r="637" spans="1:12" customFormat="1"/>
    <row r="638" spans="1:12" customFormat="1"/>
    <row r="639" spans="1:12" customFormat="1"/>
    <row r="640" spans="1:12">
      <c r="A640" s="4"/>
      <c r="B640" s="4"/>
      <c r="C640" s="4"/>
      <c r="D640" s="4"/>
      <c r="E640" s="4"/>
      <c r="F640" s="4"/>
      <c r="G640" s="4"/>
      <c r="H640" s="4"/>
      <c r="I640" s="4"/>
      <c r="J640" s="4"/>
      <c r="K640" s="4"/>
      <c r="L640" s="4"/>
    </row>
    <row r="641" spans="1:12">
      <c r="A641" s="4"/>
      <c r="B641" s="4"/>
      <c r="C641" s="4"/>
      <c r="D641" s="4"/>
      <c r="E641" s="4"/>
      <c r="F641" s="4"/>
      <c r="G641" s="4"/>
      <c r="H641" s="4"/>
      <c r="I641" s="4"/>
      <c r="J641" s="4"/>
      <c r="K641" s="4"/>
      <c r="L641" s="4"/>
    </row>
    <row r="642" spans="1:12">
      <c r="A642" s="4"/>
      <c r="B642" s="4"/>
      <c r="C642" s="4"/>
      <c r="D642" s="4"/>
      <c r="E642" s="4"/>
      <c r="F642" s="4"/>
      <c r="G642" s="4"/>
      <c r="H642" s="4"/>
      <c r="I642" s="4"/>
      <c r="J642" s="4"/>
      <c r="K642" s="4"/>
      <c r="L642" s="4"/>
    </row>
    <row r="643" spans="1:12">
      <c r="A643" s="4"/>
      <c r="B643" s="4"/>
      <c r="C643" s="4"/>
      <c r="D643" s="4"/>
      <c r="E643" s="4"/>
      <c r="F643" s="4"/>
      <c r="G643" s="4"/>
      <c r="H643" s="4"/>
      <c r="I643" s="4"/>
      <c r="J643" s="4"/>
      <c r="K643" s="4"/>
      <c r="L643" s="4"/>
    </row>
    <row r="644" spans="1:12">
      <c r="A644" s="4"/>
      <c r="B644" s="4"/>
      <c r="C644" s="4"/>
      <c r="D644" s="4"/>
      <c r="E644" s="4"/>
      <c r="F644" s="4"/>
      <c r="G644" s="4"/>
      <c r="H644" s="4"/>
      <c r="I644" s="4"/>
      <c r="J644" s="4"/>
      <c r="K644" s="4"/>
      <c r="L644" s="4"/>
    </row>
    <row r="645" spans="1:12">
      <c r="A645" s="4"/>
      <c r="B645" s="4"/>
      <c r="C645" s="4"/>
      <c r="D645" s="4"/>
      <c r="E645" s="4"/>
      <c r="F645" s="4"/>
      <c r="G645" s="4"/>
      <c r="H645" s="4"/>
      <c r="I645" s="4"/>
      <c r="J645" s="4"/>
      <c r="K645" s="4"/>
      <c r="L645" s="4"/>
    </row>
    <row r="646" spans="1:12">
      <c r="A646" s="4"/>
      <c r="B646" s="4"/>
      <c r="C646" s="4"/>
      <c r="D646" s="4"/>
      <c r="E646" s="4"/>
      <c r="F646" s="4"/>
      <c r="G646" s="4"/>
      <c r="H646" s="4"/>
      <c r="I646" s="4"/>
      <c r="J646" s="4"/>
      <c r="K646" s="4"/>
      <c r="L646" s="4"/>
    </row>
    <row r="647" spans="1:12" customFormat="1"/>
    <row r="648" spans="1:12" customFormat="1"/>
    <row r="649" spans="1:12" customFormat="1"/>
    <row r="650" spans="1:12" customFormat="1"/>
    <row r="651" spans="1:12" customFormat="1"/>
    <row r="652" spans="1:12" customFormat="1"/>
    <row r="653" spans="1:12" customFormat="1"/>
    <row r="654" spans="1:12" customFormat="1" ht="19.5" customHeight="1"/>
    <row r="655" spans="1:12" customFormat="1"/>
    <row r="656" spans="1:12" customFormat="1" ht="19.5" customHeight="1"/>
    <row r="657" spans="1:12" customFormat="1"/>
    <row r="658" spans="1:12" customFormat="1"/>
    <row r="659" spans="1:12" customFormat="1"/>
    <row r="660" spans="1:12" customFormat="1"/>
    <row r="661" spans="1:12" customFormat="1"/>
    <row r="662" spans="1:12" customFormat="1"/>
    <row r="663" spans="1:12" customFormat="1"/>
    <row r="664" spans="1:12">
      <c r="A664" s="4"/>
      <c r="B664" s="4"/>
      <c r="C664" s="4"/>
      <c r="D664" s="4"/>
      <c r="E664" s="4"/>
      <c r="F664" s="4"/>
      <c r="G664" s="4"/>
      <c r="H664" s="4"/>
      <c r="I664" s="4"/>
      <c r="J664" s="4"/>
      <c r="K664" s="4"/>
      <c r="L664" s="4"/>
    </row>
    <row r="665" spans="1:12">
      <c r="A665" s="4"/>
      <c r="B665" s="4"/>
      <c r="C665" s="4"/>
      <c r="D665" s="4"/>
      <c r="E665" s="4"/>
      <c r="F665" s="4"/>
      <c r="G665" s="4"/>
      <c r="H665" s="4"/>
      <c r="I665" s="4"/>
      <c r="J665" s="4"/>
      <c r="K665" s="4"/>
      <c r="L665" s="4"/>
    </row>
    <row r="666" spans="1:12">
      <c r="A666" s="4"/>
      <c r="B666" s="4"/>
      <c r="C666" s="4"/>
      <c r="D666" s="4"/>
      <c r="E666" s="4"/>
      <c r="F666" s="4"/>
      <c r="G666" s="4"/>
      <c r="H666" s="4"/>
      <c r="I666" s="4"/>
      <c r="J666" s="4"/>
      <c r="K666" s="4"/>
      <c r="L666" s="4"/>
    </row>
    <row r="667" spans="1:12">
      <c r="A667" s="4"/>
      <c r="B667" s="4"/>
      <c r="C667" s="4"/>
      <c r="D667" s="4"/>
      <c r="E667" s="4"/>
      <c r="F667" s="4"/>
      <c r="G667" s="4"/>
      <c r="H667" s="4"/>
      <c r="I667" s="4"/>
      <c r="J667" s="4"/>
      <c r="K667" s="4"/>
      <c r="L667" s="4"/>
    </row>
    <row r="668" spans="1:12">
      <c r="A668" s="4"/>
      <c r="B668" s="4"/>
      <c r="C668" s="4"/>
      <c r="D668" s="4"/>
      <c r="E668" s="4"/>
      <c r="F668" s="4"/>
      <c r="G668" s="4"/>
      <c r="H668" s="4"/>
      <c r="I668" s="4"/>
      <c r="J668" s="4"/>
      <c r="K668" s="4"/>
      <c r="L668" s="4"/>
    </row>
    <row r="669" spans="1:12">
      <c r="A669" s="4"/>
      <c r="B669" s="4"/>
      <c r="C669" s="4"/>
      <c r="D669" s="4"/>
      <c r="E669" s="4"/>
      <c r="F669" s="4"/>
      <c r="G669" s="4"/>
      <c r="H669" s="4"/>
      <c r="I669" s="4"/>
      <c r="J669" s="4"/>
      <c r="K669" s="4"/>
      <c r="L669" s="4"/>
    </row>
    <row r="670" spans="1:12">
      <c r="A670" s="4"/>
      <c r="B670" s="4"/>
      <c r="C670" s="4"/>
      <c r="D670" s="4"/>
      <c r="E670" s="4"/>
      <c r="F670" s="4"/>
      <c r="G670" s="4"/>
      <c r="H670" s="4"/>
      <c r="I670" s="4"/>
      <c r="J670" s="4"/>
      <c r="K670" s="4"/>
      <c r="L670" s="4"/>
    </row>
    <row r="671" spans="1:12">
      <c r="A671" s="4"/>
      <c r="B671" s="4"/>
      <c r="C671" s="4"/>
      <c r="D671" s="4"/>
      <c r="E671" s="4"/>
      <c r="F671" s="4"/>
      <c r="G671" s="4"/>
      <c r="H671" s="4"/>
      <c r="I671" s="4"/>
      <c r="J671" s="4"/>
      <c r="K671" s="4"/>
      <c r="L671" s="4"/>
    </row>
    <row r="672" spans="1:12">
      <c r="A672" s="4"/>
      <c r="B672" s="4"/>
      <c r="C672" s="4"/>
      <c r="D672" s="4"/>
      <c r="E672" s="4"/>
      <c r="F672" s="4"/>
      <c r="G672" s="4"/>
      <c r="H672" s="4"/>
      <c r="I672" s="4"/>
      <c r="J672" s="4"/>
      <c r="K672" s="4"/>
      <c r="L672" s="4"/>
    </row>
    <row r="673" spans="1:12">
      <c r="A673" s="4"/>
      <c r="B673" s="4"/>
      <c r="C673" s="4"/>
      <c r="D673" s="4"/>
      <c r="E673" s="4"/>
      <c r="F673" s="4"/>
      <c r="G673" s="4"/>
      <c r="H673" s="4"/>
      <c r="I673" s="4"/>
      <c r="J673" s="4"/>
      <c r="K673" s="4"/>
      <c r="L673" s="4"/>
    </row>
    <row r="674" spans="1:12">
      <c r="A674" s="4"/>
      <c r="B674" s="4"/>
      <c r="C674" s="4"/>
      <c r="D674" s="4"/>
      <c r="E674" s="4"/>
      <c r="F674" s="4"/>
      <c r="G674" s="4"/>
      <c r="H674" s="4"/>
      <c r="I674" s="4"/>
      <c r="J674" s="4"/>
      <c r="K674" s="4"/>
      <c r="L674" s="4"/>
    </row>
    <row r="675" spans="1:12">
      <c r="A675" s="4"/>
      <c r="B675" s="4"/>
      <c r="C675" s="4"/>
      <c r="D675" s="4"/>
      <c r="E675" s="4"/>
      <c r="F675" s="4"/>
      <c r="G675" s="4"/>
      <c r="H675" s="4"/>
      <c r="I675" s="4"/>
      <c r="J675" s="4"/>
      <c r="K675" s="4"/>
      <c r="L675" s="4"/>
    </row>
    <row r="676" spans="1:12">
      <c r="A676" s="4"/>
      <c r="B676" s="4"/>
      <c r="C676" s="4"/>
      <c r="D676" s="4"/>
      <c r="E676" s="4"/>
      <c r="F676" s="4"/>
      <c r="G676" s="4"/>
      <c r="H676" s="4"/>
      <c r="I676" s="4"/>
      <c r="J676" s="4"/>
      <c r="K676" s="4"/>
      <c r="L676" s="4"/>
    </row>
    <row r="677" spans="1:12">
      <c r="A677" s="4"/>
      <c r="B677" s="4"/>
      <c r="C677" s="4"/>
      <c r="D677" s="4"/>
      <c r="E677" s="4"/>
      <c r="F677" s="4"/>
      <c r="G677" s="4"/>
      <c r="H677" s="4"/>
      <c r="I677" s="4"/>
      <c r="J677" s="4"/>
      <c r="K677" s="4"/>
      <c r="L677" s="4"/>
    </row>
    <row r="678" spans="1:12">
      <c r="A678" s="4"/>
      <c r="B678" s="4"/>
      <c r="C678" s="4"/>
      <c r="D678" s="4"/>
      <c r="E678" s="4"/>
      <c r="F678" s="4"/>
      <c r="G678" s="4"/>
      <c r="H678" s="4"/>
      <c r="I678" s="4"/>
      <c r="J678" s="4"/>
      <c r="K678" s="4"/>
      <c r="L678" s="4"/>
    </row>
    <row r="679" spans="1:12">
      <c r="A679" s="4"/>
      <c r="B679" s="4"/>
      <c r="C679" s="4"/>
      <c r="D679" s="4"/>
      <c r="E679" s="4"/>
      <c r="F679" s="4"/>
      <c r="G679" s="4"/>
      <c r="H679" s="4"/>
      <c r="I679" s="4"/>
      <c r="J679" s="4"/>
      <c r="K679" s="4"/>
      <c r="L679" s="4"/>
    </row>
    <row r="680" spans="1:12">
      <c r="A680" s="4"/>
      <c r="B680" s="4"/>
      <c r="C680" s="4"/>
      <c r="D680" s="4"/>
      <c r="E680" s="4"/>
      <c r="F680" s="4"/>
      <c r="G680" s="4"/>
      <c r="H680" s="4"/>
      <c r="I680" s="4"/>
      <c r="J680" s="4"/>
      <c r="K680" s="4"/>
      <c r="L680" s="4"/>
    </row>
    <row r="681" spans="1:12">
      <c r="A681" s="4"/>
      <c r="B681" s="4"/>
      <c r="C681" s="4"/>
      <c r="D681" s="4"/>
      <c r="E681" s="4"/>
      <c r="F681" s="4"/>
      <c r="G681" s="4"/>
      <c r="H681" s="4"/>
      <c r="I681" s="4"/>
      <c r="J681" s="4"/>
      <c r="K681" s="4"/>
      <c r="L681" s="4"/>
    </row>
    <row r="682" spans="1:12">
      <c r="A682" s="4"/>
      <c r="B682" s="4"/>
      <c r="C682" s="4"/>
      <c r="D682" s="4"/>
      <c r="E682" s="4"/>
      <c r="F682" s="4"/>
      <c r="G682" s="4"/>
      <c r="H682" s="4"/>
      <c r="I682" s="4"/>
      <c r="J682" s="4"/>
      <c r="K682" s="4"/>
      <c r="L682" s="4"/>
    </row>
    <row r="683" spans="1:12">
      <c r="A683" s="4"/>
      <c r="B683" s="4"/>
      <c r="C683" s="4"/>
      <c r="D683" s="4"/>
      <c r="E683" s="4"/>
      <c r="F683" s="4"/>
      <c r="G683" s="4"/>
      <c r="H683" s="4"/>
      <c r="I683" s="4"/>
      <c r="J683" s="4"/>
      <c r="K683" s="4"/>
      <c r="L683" s="4"/>
    </row>
    <row r="684" spans="1:12">
      <c r="A684" s="4"/>
      <c r="B684" s="4"/>
      <c r="C684" s="4"/>
      <c r="D684" s="4"/>
      <c r="E684" s="4"/>
      <c r="F684" s="4"/>
      <c r="G684" s="4"/>
      <c r="H684" s="4"/>
      <c r="I684" s="4"/>
      <c r="J684" s="4"/>
      <c r="K684" s="4"/>
      <c r="L684" s="4"/>
    </row>
    <row r="685" spans="1:12">
      <c r="A685" s="4"/>
      <c r="B685" s="4"/>
      <c r="C685" s="4"/>
      <c r="D685" s="4"/>
      <c r="E685" s="4"/>
      <c r="F685" s="4"/>
      <c r="G685" s="4"/>
      <c r="H685" s="4"/>
      <c r="I685" s="4"/>
      <c r="J685" s="4"/>
      <c r="K685" s="4"/>
      <c r="L685" s="4"/>
    </row>
    <row r="686" spans="1:12">
      <c r="A686" s="4"/>
      <c r="B686" s="4"/>
      <c r="C686" s="4"/>
      <c r="D686" s="4"/>
      <c r="E686" s="4"/>
      <c r="F686" s="4"/>
      <c r="G686" s="4"/>
      <c r="H686" s="4"/>
      <c r="I686" s="4"/>
      <c r="J686" s="4"/>
      <c r="K686" s="4"/>
      <c r="L686" s="4"/>
    </row>
    <row r="687" spans="1:12">
      <c r="A687" s="4"/>
      <c r="B687" s="4"/>
      <c r="C687" s="4"/>
      <c r="D687" s="4"/>
      <c r="E687" s="4"/>
      <c r="F687" s="4"/>
      <c r="G687" s="4"/>
      <c r="H687" s="4"/>
      <c r="I687" s="4"/>
      <c r="J687" s="4"/>
      <c r="K687" s="4"/>
      <c r="L687" s="4"/>
    </row>
    <row r="688" spans="1:12">
      <c r="A688" s="4"/>
      <c r="B688" s="4"/>
      <c r="C688" s="4"/>
      <c r="D688" s="4"/>
      <c r="E688" s="4"/>
      <c r="F688" s="4"/>
      <c r="G688" s="4"/>
      <c r="H688" s="4"/>
      <c r="I688" s="4"/>
      <c r="J688" s="4"/>
      <c r="K688" s="4"/>
      <c r="L688" s="4"/>
    </row>
    <row r="689" spans="1:12">
      <c r="A689" s="4"/>
      <c r="B689" s="4"/>
      <c r="C689" s="4"/>
      <c r="D689" s="4"/>
      <c r="E689" s="4"/>
      <c r="F689" s="4"/>
      <c r="G689" s="4"/>
      <c r="H689" s="4"/>
      <c r="I689" s="4"/>
      <c r="J689" s="4"/>
      <c r="K689" s="4"/>
      <c r="L689" s="4"/>
    </row>
    <row r="690" spans="1:12">
      <c r="A690" s="4"/>
      <c r="B690" s="4"/>
      <c r="C690" s="4"/>
      <c r="D690" s="4"/>
      <c r="E690" s="4"/>
      <c r="F690" s="4"/>
      <c r="G690" s="4"/>
      <c r="H690" s="4"/>
      <c r="I690" s="4"/>
      <c r="J690" s="4"/>
      <c r="K690" s="4"/>
      <c r="L690" s="4"/>
    </row>
    <row r="691" spans="1:12">
      <c r="A691" s="4"/>
      <c r="B691" s="4"/>
      <c r="C691" s="4"/>
      <c r="D691" s="4"/>
      <c r="E691" s="4"/>
      <c r="F691" s="4"/>
      <c r="G691" s="4"/>
      <c r="H691" s="4"/>
      <c r="I691" s="4"/>
      <c r="J691" s="4"/>
      <c r="K691" s="4"/>
      <c r="L691" s="4"/>
    </row>
    <row r="692" spans="1:12">
      <c r="A692" s="4"/>
      <c r="B692" s="4"/>
      <c r="C692" s="4"/>
      <c r="D692" s="4"/>
      <c r="E692" s="4"/>
      <c r="F692" s="4"/>
      <c r="G692" s="4"/>
      <c r="H692" s="4"/>
      <c r="I692" s="4"/>
      <c r="J692" s="4"/>
      <c r="K692" s="4"/>
      <c r="L692" s="4"/>
    </row>
    <row r="693" spans="1:12">
      <c r="A693" s="4"/>
      <c r="B693" s="4"/>
      <c r="C693" s="4"/>
      <c r="D693" s="4"/>
      <c r="E693" s="4"/>
      <c r="F693" s="4"/>
      <c r="G693" s="4"/>
      <c r="H693" s="4"/>
      <c r="I693" s="4"/>
      <c r="J693" s="4"/>
      <c r="K693" s="4"/>
      <c r="L693" s="4"/>
    </row>
    <row r="694" spans="1:12">
      <c r="A694" s="4"/>
      <c r="B694" s="4"/>
      <c r="C694" s="4"/>
      <c r="D694" s="4"/>
      <c r="E694" s="4"/>
      <c r="F694" s="4"/>
      <c r="G694" s="4"/>
      <c r="H694" s="4"/>
      <c r="I694" s="4"/>
      <c r="J694" s="4"/>
      <c r="K694" s="4"/>
      <c r="L694" s="4"/>
    </row>
    <row r="695" spans="1:12">
      <c r="A695" s="4"/>
      <c r="B695" s="4"/>
      <c r="C695" s="4"/>
      <c r="D695" s="4"/>
      <c r="E695" s="4"/>
      <c r="F695" s="4"/>
      <c r="G695" s="4"/>
      <c r="H695" s="4"/>
      <c r="I695" s="4"/>
      <c r="J695" s="4"/>
      <c r="K695" s="4"/>
      <c r="L695" s="4"/>
    </row>
    <row r="696" spans="1:12">
      <c r="A696" s="4"/>
      <c r="B696" s="4"/>
      <c r="C696" s="4"/>
      <c r="D696" s="4"/>
      <c r="E696" s="4"/>
      <c r="F696" s="4"/>
      <c r="G696" s="4"/>
      <c r="H696" s="4"/>
      <c r="I696" s="4"/>
      <c r="J696" s="4"/>
      <c r="K696" s="4"/>
      <c r="L696" s="4"/>
    </row>
    <row r="697" spans="1:12">
      <c r="A697" s="4"/>
      <c r="B697" s="4"/>
      <c r="C697" s="4"/>
      <c r="D697" s="4"/>
      <c r="E697" s="4"/>
      <c r="F697" s="4"/>
      <c r="G697" s="4"/>
      <c r="H697" s="4"/>
      <c r="I697" s="4"/>
      <c r="J697" s="4"/>
      <c r="K697" s="4"/>
      <c r="L697" s="4"/>
    </row>
    <row r="698" spans="1:12">
      <c r="A698" s="4"/>
      <c r="B698" s="4"/>
      <c r="C698" s="4"/>
      <c r="D698" s="4"/>
      <c r="E698" s="4"/>
      <c r="F698" s="4"/>
      <c r="G698" s="4"/>
      <c r="H698" s="4"/>
      <c r="I698" s="4"/>
      <c r="J698" s="4"/>
      <c r="K698" s="4"/>
      <c r="L698" s="4"/>
    </row>
    <row r="699" spans="1:12">
      <c r="A699" s="4"/>
      <c r="B699" s="4"/>
      <c r="C699" s="4"/>
      <c r="D699" s="4"/>
      <c r="E699" s="4"/>
      <c r="F699" s="4"/>
      <c r="G699" s="4"/>
      <c r="H699" s="4"/>
      <c r="I699" s="4"/>
      <c r="J699" s="4"/>
      <c r="K699" s="4"/>
      <c r="L699" s="4"/>
    </row>
    <row r="700" spans="1:12">
      <c r="A700" s="4"/>
      <c r="B700" s="4"/>
      <c r="C700" s="4"/>
      <c r="D700" s="4"/>
      <c r="E700" s="4"/>
      <c r="F700" s="4"/>
      <c r="G700" s="4"/>
      <c r="H700" s="4"/>
      <c r="I700" s="4"/>
      <c r="J700" s="4"/>
      <c r="K700" s="4"/>
      <c r="L700" s="4"/>
    </row>
    <row r="701" spans="1:12">
      <c r="A701" s="4"/>
      <c r="B701" s="4"/>
      <c r="C701" s="4"/>
      <c r="D701" s="4"/>
      <c r="E701" s="4"/>
      <c r="F701" s="4"/>
      <c r="G701" s="4"/>
      <c r="H701" s="4"/>
      <c r="I701" s="4"/>
      <c r="J701" s="4"/>
      <c r="K701" s="4"/>
      <c r="L701" s="4"/>
    </row>
    <row r="702" spans="1:12">
      <c r="A702" s="4"/>
      <c r="B702" s="4"/>
      <c r="C702" s="4"/>
      <c r="D702" s="4"/>
      <c r="E702" s="4"/>
      <c r="F702" s="4"/>
      <c r="G702" s="4"/>
      <c r="H702" s="4"/>
      <c r="I702" s="4"/>
      <c r="J702" s="4"/>
      <c r="K702" s="4"/>
      <c r="L702" s="4"/>
    </row>
    <row r="703" spans="1:12">
      <c r="A703" s="4"/>
      <c r="B703" s="4"/>
      <c r="C703" s="4"/>
      <c r="D703" s="4"/>
      <c r="E703" s="4"/>
      <c r="F703" s="4"/>
      <c r="G703" s="4"/>
      <c r="H703" s="4"/>
      <c r="I703" s="4"/>
      <c r="J703" s="4"/>
      <c r="K703" s="4"/>
      <c r="L703" s="4"/>
    </row>
    <row r="704" spans="1:12">
      <c r="A704" s="4"/>
      <c r="B704" s="4"/>
      <c r="C704" s="4"/>
      <c r="D704" s="4"/>
      <c r="E704" s="4"/>
      <c r="F704" s="4"/>
      <c r="G704" s="4"/>
      <c r="H704" s="4"/>
      <c r="I704" s="4"/>
      <c r="J704" s="4"/>
      <c r="K704" s="4"/>
      <c r="L704" s="4"/>
    </row>
    <row r="705" spans="1:12">
      <c r="A705" s="4"/>
      <c r="B705" s="4"/>
      <c r="C705" s="4"/>
      <c r="D705" s="4"/>
      <c r="E705" s="4"/>
      <c r="F705" s="4"/>
      <c r="G705" s="4"/>
      <c r="H705" s="4"/>
      <c r="I705" s="4"/>
      <c r="J705" s="4"/>
      <c r="K705" s="4"/>
      <c r="L705" s="4"/>
    </row>
    <row r="706" spans="1:12">
      <c r="A706" s="4"/>
      <c r="B706" s="4"/>
      <c r="C706" s="4"/>
      <c r="D706" s="4"/>
      <c r="E706" s="4"/>
      <c r="F706" s="4"/>
      <c r="G706" s="4"/>
      <c r="H706" s="4"/>
      <c r="I706" s="4"/>
      <c r="J706" s="4"/>
      <c r="K706" s="4"/>
      <c r="L706" s="4"/>
    </row>
    <row r="707" spans="1:12">
      <c r="A707" s="4"/>
      <c r="B707" s="4"/>
      <c r="C707" s="4"/>
      <c r="D707" s="4"/>
      <c r="E707" s="4"/>
      <c r="F707" s="4"/>
      <c r="G707" s="4"/>
      <c r="H707" s="4"/>
      <c r="I707" s="4"/>
      <c r="J707" s="4"/>
      <c r="K707" s="4"/>
      <c r="L707" s="4"/>
    </row>
    <row r="708" spans="1:12">
      <c r="A708" s="4"/>
      <c r="B708" s="4"/>
      <c r="C708" s="4"/>
      <c r="D708" s="4"/>
      <c r="E708" s="4"/>
      <c r="F708" s="4"/>
      <c r="G708" s="4"/>
      <c r="H708" s="4"/>
      <c r="I708" s="4"/>
      <c r="J708" s="4"/>
      <c r="K708" s="4"/>
      <c r="L708" s="4"/>
    </row>
    <row r="709" spans="1:12">
      <c r="A709" s="4"/>
      <c r="B709" s="4"/>
      <c r="C709" s="4"/>
      <c r="D709" s="4"/>
      <c r="E709" s="4"/>
      <c r="F709" s="4"/>
      <c r="G709" s="4"/>
      <c r="H709" s="4"/>
      <c r="I709" s="4"/>
      <c r="J709" s="4"/>
      <c r="K709" s="4"/>
      <c r="L709" s="4"/>
    </row>
    <row r="710" spans="1:12">
      <c r="A710" s="4"/>
      <c r="B710" s="4"/>
      <c r="C710" s="4"/>
      <c r="D710" s="4"/>
      <c r="E710" s="4"/>
      <c r="F710" s="4"/>
      <c r="G710" s="4"/>
      <c r="H710" s="4"/>
      <c r="I710" s="4"/>
      <c r="J710" s="4"/>
      <c r="K710" s="4"/>
      <c r="L710" s="4"/>
    </row>
    <row r="711" spans="1:12">
      <c r="A711" s="4"/>
      <c r="B711" s="4"/>
      <c r="C711" s="4"/>
      <c r="D711" s="4"/>
      <c r="E711" s="4"/>
      <c r="F711" s="4"/>
      <c r="G711" s="4"/>
      <c r="H711" s="4"/>
      <c r="I711" s="4"/>
      <c r="J711" s="4"/>
      <c r="K711" s="4"/>
      <c r="L711" s="4"/>
    </row>
    <row r="712" spans="1:12">
      <c r="A712" s="4"/>
      <c r="B712" s="4"/>
      <c r="C712" s="4"/>
      <c r="D712" s="4"/>
      <c r="E712" s="4"/>
      <c r="F712" s="4"/>
      <c r="G712" s="4"/>
      <c r="H712" s="4"/>
      <c r="I712" s="4"/>
      <c r="J712" s="4"/>
      <c r="K712" s="4"/>
      <c r="L712" s="4"/>
    </row>
    <row r="713" spans="1:12">
      <c r="A713" s="4"/>
      <c r="B713" s="4"/>
      <c r="C713" s="4"/>
      <c r="D713" s="4"/>
      <c r="E713" s="4"/>
      <c r="F713" s="4"/>
      <c r="G713" s="4"/>
      <c r="H713" s="4"/>
      <c r="I713" s="4"/>
      <c r="J713" s="4"/>
      <c r="K713" s="4"/>
      <c r="L713" s="4"/>
    </row>
    <row r="714" spans="1:12">
      <c r="A714" s="4"/>
      <c r="B714" s="4"/>
      <c r="C714" s="4"/>
      <c r="D714" s="4"/>
      <c r="E714" s="4"/>
      <c r="F714" s="4"/>
      <c r="G714" s="4"/>
      <c r="H714" s="4"/>
      <c r="I714" s="4"/>
      <c r="J714" s="4"/>
      <c r="K714" s="4"/>
      <c r="L714" s="4"/>
    </row>
    <row r="715" spans="1:12">
      <c r="A715" s="4"/>
      <c r="B715" s="4"/>
      <c r="C715" s="4"/>
      <c r="D715" s="4"/>
      <c r="E715" s="4"/>
      <c r="F715" s="4"/>
      <c r="G715" s="4"/>
      <c r="H715" s="4"/>
      <c r="I715" s="4"/>
      <c r="J715" s="4"/>
      <c r="K715" s="4"/>
      <c r="L715" s="4"/>
    </row>
    <row r="716" spans="1:12">
      <c r="A716" s="4"/>
      <c r="B716" s="4"/>
      <c r="C716" s="4"/>
      <c r="D716" s="4"/>
      <c r="E716" s="4"/>
      <c r="F716" s="4"/>
      <c r="G716" s="4"/>
      <c r="H716" s="4"/>
      <c r="I716" s="4"/>
      <c r="J716" s="4"/>
      <c r="K716" s="4"/>
      <c r="L716" s="4"/>
    </row>
    <row r="717" spans="1:12">
      <c r="A717" s="4"/>
      <c r="B717" s="4"/>
      <c r="C717" s="4"/>
      <c r="D717" s="4"/>
      <c r="E717" s="4"/>
      <c r="F717" s="4"/>
      <c r="G717" s="4"/>
      <c r="H717" s="4"/>
      <c r="I717" s="4"/>
      <c r="J717" s="4"/>
      <c r="K717" s="4"/>
      <c r="L717" s="4"/>
    </row>
    <row r="718" spans="1:12">
      <c r="A718" s="4"/>
      <c r="B718" s="4"/>
      <c r="C718" s="4"/>
      <c r="D718" s="4"/>
      <c r="E718" s="4"/>
      <c r="F718" s="4"/>
      <c r="G718" s="4"/>
      <c r="H718" s="4"/>
      <c r="I718" s="4"/>
      <c r="J718" s="4"/>
      <c r="K718" s="4"/>
      <c r="L718" s="4"/>
    </row>
    <row r="719" spans="1:12">
      <c r="A719" s="4"/>
      <c r="B719" s="4"/>
      <c r="C719" s="4"/>
      <c r="D719" s="4"/>
      <c r="E719" s="4"/>
      <c r="F719" s="4"/>
      <c r="G719" s="4"/>
      <c r="H719" s="4"/>
      <c r="I719" s="4"/>
      <c r="J719" s="4"/>
      <c r="K719" s="4"/>
      <c r="L719" s="4"/>
    </row>
    <row r="720" spans="1:12">
      <c r="A720" s="4"/>
      <c r="B720" s="4"/>
      <c r="C720" s="4"/>
      <c r="D720" s="4"/>
      <c r="E720" s="4"/>
      <c r="F720" s="4"/>
      <c r="G720" s="4"/>
      <c r="H720" s="4"/>
      <c r="I720" s="4"/>
      <c r="J720" s="4"/>
      <c r="K720" s="4"/>
      <c r="L720" s="4"/>
    </row>
    <row r="721" spans="1:12">
      <c r="A721" s="4"/>
      <c r="B721" s="4"/>
      <c r="C721" s="4"/>
      <c r="D721" s="4"/>
      <c r="E721" s="4"/>
      <c r="F721" s="4"/>
      <c r="G721" s="4"/>
      <c r="H721" s="4"/>
      <c r="I721" s="4"/>
      <c r="J721" s="4"/>
      <c r="K721" s="4"/>
      <c r="L721" s="4"/>
    </row>
    <row r="722" spans="1:12">
      <c r="A722" s="4"/>
      <c r="B722" s="4"/>
      <c r="C722" s="4"/>
      <c r="D722" s="4"/>
      <c r="E722" s="4"/>
      <c r="F722" s="4"/>
      <c r="G722" s="4"/>
      <c r="H722" s="4"/>
      <c r="I722" s="4"/>
      <c r="J722" s="4"/>
      <c r="K722" s="4"/>
      <c r="L722" s="4"/>
    </row>
    <row r="723" spans="1:12">
      <c r="A723" s="4"/>
      <c r="B723" s="4"/>
      <c r="C723" s="4"/>
      <c r="D723" s="4"/>
      <c r="E723" s="4"/>
      <c r="F723" s="4"/>
      <c r="G723" s="4"/>
      <c r="H723" s="4"/>
      <c r="I723" s="4"/>
      <c r="J723" s="4"/>
      <c r="K723" s="4"/>
      <c r="L723" s="4"/>
    </row>
    <row r="724" spans="1:12">
      <c r="A724" s="4"/>
      <c r="B724" s="4"/>
      <c r="C724" s="4"/>
      <c r="D724" s="4"/>
      <c r="E724" s="4"/>
      <c r="F724" s="4"/>
      <c r="G724" s="4"/>
      <c r="H724" s="4"/>
      <c r="I724" s="4"/>
      <c r="J724" s="4"/>
      <c r="K724" s="4"/>
      <c r="L724" s="4"/>
    </row>
    <row r="725" spans="1:12">
      <c r="A725" s="4"/>
      <c r="B725" s="4"/>
      <c r="C725" s="4"/>
      <c r="D725" s="4"/>
      <c r="E725" s="4"/>
      <c r="F725" s="4"/>
      <c r="G725" s="4"/>
      <c r="H725" s="4"/>
      <c r="I725" s="4"/>
      <c r="J725" s="4"/>
      <c r="K725" s="4"/>
      <c r="L725" s="4"/>
    </row>
    <row r="726" spans="1:12">
      <c r="A726" s="4"/>
      <c r="B726" s="4"/>
      <c r="C726" s="4"/>
      <c r="D726" s="4"/>
      <c r="E726" s="4"/>
      <c r="F726" s="4"/>
      <c r="G726" s="4"/>
      <c r="H726" s="4"/>
      <c r="I726" s="4"/>
      <c r="J726" s="4"/>
      <c r="K726" s="4"/>
      <c r="L726" s="4"/>
    </row>
    <row r="727" spans="1:12">
      <c r="A727" s="4"/>
      <c r="B727" s="4"/>
      <c r="C727" s="4"/>
      <c r="D727" s="4"/>
      <c r="E727" s="4"/>
      <c r="F727" s="4"/>
      <c r="G727" s="4"/>
      <c r="H727" s="4"/>
      <c r="I727" s="4"/>
      <c r="J727" s="4"/>
      <c r="K727" s="4"/>
      <c r="L727" s="4"/>
    </row>
    <row r="728" spans="1:12">
      <c r="A728" s="4"/>
      <c r="B728" s="4"/>
      <c r="C728" s="4"/>
      <c r="D728" s="4"/>
      <c r="E728" s="4"/>
      <c r="F728" s="4"/>
      <c r="G728" s="4"/>
      <c r="H728" s="4"/>
      <c r="I728" s="4"/>
      <c r="J728" s="4"/>
      <c r="K728" s="4"/>
      <c r="L728" s="4"/>
    </row>
    <row r="729" spans="1:12">
      <c r="A729" s="4"/>
      <c r="B729" s="4"/>
      <c r="C729" s="4"/>
      <c r="D729" s="4"/>
      <c r="E729" s="4"/>
      <c r="F729" s="4"/>
      <c r="G729" s="4"/>
      <c r="H729" s="4"/>
      <c r="I729" s="4"/>
      <c r="J729" s="4"/>
      <c r="K729" s="4"/>
      <c r="L729" s="4"/>
    </row>
    <row r="730" spans="1:12">
      <c r="A730" s="4"/>
      <c r="B730" s="4"/>
      <c r="C730" s="4"/>
      <c r="D730" s="4"/>
      <c r="E730" s="4"/>
      <c r="F730" s="4"/>
      <c r="G730" s="4"/>
      <c r="H730" s="4"/>
      <c r="I730" s="4"/>
      <c r="J730" s="4"/>
      <c r="K730" s="4"/>
      <c r="L730" s="4"/>
    </row>
    <row r="731" spans="1:12">
      <c r="A731" s="4"/>
      <c r="B731" s="4"/>
      <c r="C731" s="4"/>
      <c r="D731" s="4"/>
      <c r="E731" s="4"/>
      <c r="F731" s="4"/>
      <c r="G731" s="4"/>
      <c r="H731" s="4"/>
      <c r="I731" s="4"/>
      <c r="J731" s="4"/>
      <c r="K731" s="4"/>
      <c r="L731" s="4"/>
    </row>
    <row r="732" spans="1:12">
      <c r="A732" s="4"/>
      <c r="B732" s="4"/>
      <c r="C732" s="4"/>
      <c r="D732" s="4"/>
      <c r="E732" s="4"/>
      <c r="F732" s="4"/>
      <c r="G732" s="4"/>
      <c r="H732" s="4"/>
      <c r="I732" s="4"/>
      <c r="J732" s="4"/>
      <c r="K732" s="4"/>
      <c r="L732" s="4"/>
    </row>
    <row r="733" spans="1:12">
      <c r="A733" s="4"/>
      <c r="B733" s="4"/>
      <c r="C733" s="4"/>
      <c r="D733" s="4"/>
      <c r="E733" s="4"/>
      <c r="F733" s="4"/>
      <c r="G733" s="4"/>
      <c r="H733" s="4"/>
      <c r="I733" s="4"/>
      <c r="J733" s="4"/>
      <c r="K733" s="4"/>
      <c r="L733" s="4"/>
    </row>
    <row r="734" spans="1:12">
      <c r="A734" s="4"/>
      <c r="B734" s="4"/>
      <c r="C734" s="4"/>
      <c r="D734" s="4"/>
      <c r="E734" s="4"/>
      <c r="F734" s="4"/>
      <c r="G734" s="4"/>
      <c r="H734" s="4"/>
      <c r="I734" s="4"/>
      <c r="J734" s="4"/>
      <c r="K734" s="4"/>
      <c r="L734" s="4"/>
    </row>
    <row r="735" spans="1:12">
      <c r="A735" s="4"/>
      <c r="B735" s="4"/>
      <c r="C735" s="4"/>
      <c r="D735" s="4"/>
      <c r="E735" s="4"/>
      <c r="F735" s="4"/>
      <c r="G735" s="4"/>
      <c r="H735" s="4"/>
      <c r="I735" s="4"/>
      <c r="J735" s="4"/>
      <c r="K735" s="4"/>
      <c r="L735" s="4"/>
    </row>
    <row r="736" spans="1:12">
      <c r="A736" s="4"/>
      <c r="B736" s="4"/>
      <c r="C736" s="4"/>
      <c r="D736" s="4"/>
      <c r="E736" s="4"/>
      <c r="F736" s="4"/>
      <c r="G736" s="4"/>
      <c r="H736" s="4"/>
      <c r="I736" s="4"/>
      <c r="J736" s="4"/>
      <c r="K736" s="4"/>
      <c r="L736" s="4"/>
    </row>
    <row r="737" spans="1:12">
      <c r="A737" s="4"/>
      <c r="B737" s="4"/>
      <c r="C737" s="4"/>
      <c r="D737" s="4"/>
      <c r="E737" s="4"/>
      <c r="F737" s="4"/>
      <c r="G737" s="4"/>
      <c r="H737" s="4"/>
      <c r="I737" s="4"/>
      <c r="J737" s="4"/>
      <c r="K737" s="4"/>
      <c r="L737" s="4"/>
    </row>
    <row r="738" spans="1:12">
      <c r="A738" s="4"/>
      <c r="B738" s="4"/>
      <c r="C738" s="4"/>
      <c r="D738" s="4"/>
      <c r="E738" s="4"/>
      <c r="F738" s="4"/>
      <c r="G738" s="4"/>
      <c r="H738" s="4"/>
      <c r="I738" s="4"/>
      <c r="J738" s="4"/>
      <c r="K738" s="4"/>
      <c r="L738" s="4"/>
    </row>
    <row r="739" spans="1:12">
      <c r="A739" s="4"/>
      <c r="B739" s="4"/>
      <c r="C739" s="4"/>
      <c r="D739" s="4"/>
      <c r="E739" s="4"/>
      <c r="F739" s="4"/>
      <c r="G739" s="4"/>
      <c r="H739" s="4"/>
      <c r="I739" s="4"/>
      <c r="J739" s="4"/>
      <c r="K739" s="4"/>
      <c r="L739" s="4"/>
    </row>
    <row r="740" spans="1:12">
      <c r="A740" s="4"/>
      <c r="B740" s="4"/>
      <c r="C740" s="4"/>
      <c r="D740" s="4"/>
      <c r="E740" s="4"/>
      <c r="F740" s="4"/>
      <c r="G740" s="4"/>
      <c r="H740" s="4"/>
      <c r="I740" s="4"/>
      <c r="J740" s="4"/>
      <c r="K740" s="4"/>
      <c r="L740" s="4"/>
    </row>
    <row r="741" spans="1:12">
      <c r="A741" s="4"/>
      <c r="B741" s="4"/>
      <c r="C741" s="4"/>
      <c r="D741" s="4"/>
      <c r="E741" s="4"/>
      <c r="F741" s="4"/>
      <c r="G741" s="4"/>
      <c r="H741" s="4"/>
      <c r="I741" s="4"/>
      <c r="J741" s="4"/>
      <c r="K741" s="4"/>
      <c r="L741" s="4"/>
    </row>
    <row r="742" spans="1:12">
      <c r="A742" s="4"/>
      <c r="B742" s="4"/>
      <c r="C742" s="4"/>
      <c r="D742" s="4"/>
      <c r="E742" s="4"/>
      <c r="F742" s="4"/>
      <c r="G742" s="4"/>
      <c r="H742" s="4"/>
      <c r="I742" s="4"/>
      <c r="J742" s="4"/>
      <c r="K742" s="4"/>
      <c r="L742" s="4"/>
    </row>
    <row r="743" spans="1:12">
      <c r="A743" s="4"/>
      <c r="B743" s="4"/>
      <c r="C743" s="4"/>
      <c r="D743" s="4"/>
      <c r="E743" s="4"/>
      <c r="F743" s="4"/>
      <c r="G743" s="4"/>
      <c r="H743" s="4"/>
      <c r="I743" s="4"/>
      <c r="J743" s="4"/>
      <c r="K743" s="4"/>
      <c r="L743" s="4"/>
    </row>
    <row r="744" spans="1:12">
      <c r="A744" s="4"/>
      <c r="B744" s="4"/>
      <c r="C744" s="4"/>
      <c r="D744" s="4"/>
      <c r="E744" s="4"/>
      <c r="F744" s="4"/>
      <c r="G744" s="4"/>
      <c r="H744" s="4"/>
      <c r="I744" s="4"/>
      <c r="J744" s="4"/>
      <c r="K744" s="4"/>
      <c r="L744" s="4"/>
    </row>
    <row r="745" spans="1:12">
      <c r="A745" s="4"/>
      <c r="B745" s="4"/>
      <c r="C745" s="4"/>
      <c r="D745" s="4"/>
      <c r="E745" s="4"/>
      <c r="F745" s="4"/>
      <c r="G745" s="4"/>
      <c r="H745" s="4"/>
      <c r="I745" s="4"/>
      <c r="J745" s="4"/>
      <c r="K745" s="4"/>
      <c r="L745" s="4"/>
    </row>
    <row r="746" spans="1:12">
      <c r="A746" s="4"/>
      <c r="B746" s="4"/>
      <c r="C746" s="4"/>
      <c r="D746" s="4"/>
      <c r="E746" s="4"/>
      <c r="F746" s="4"/>
      <c r="G746" s="4"/>
      <c r="H746" s="4"/>
      <c r="I746" s="4"/>
      <c r="J746" s="4"/>
      <c r="K746" s="4"/>
      <c r="L746" s="4"/>
    </row>
    <row r="747" spans="1:12">
      <c r="A747" s="4"/>
      <c r="B747" s="4"/>
      <c r="C747" s="4"/>
      <c r="D747" s="4"/>
      <c r="E747" s="4"/>
      <c r="F747" s="4"/>
      <c r="G747" s="4"/>
      <c r="H747" s="4"/>
      <c r="I747" s="4"/>
      <c r="J747" s="4"/>
      <c r="K747" s="4"/>
      <c r="L747" s="4"/>
    </row>
    <row r="748" spans="1:12" customFormat="1"/>
    <row r="749" spans="1:12" ht="15.75" customHeight="1">
      <c r="A749" s="4"/>
      <c r="B749" s="4"/>
      <c r="C749" s="4"/>
      <c r="D749" s="4"/>
      <c r="E749" s="4"/>
      <c r="F749" s="4"/>
      <c r="G749" s="4"/>
      <c r="H749" s="4"/>
      <c r="I749" s="4"/>
      <c r="J749" s="4"/>
      <c r="K749" s="4"/>
      <c r="L749" s="4"/>
    </row>
    <row r="750" spans="1:12">
      <c r="A750" s="4"/>
      <c r="B750" s="4"/>
      <c r="C750" s="4"/>
      <c r="D750" s="4"/>
      <c r="E750" s="4"/>
      <c r="F750" s="4"/>
      <c r="G750" s="4"/>
      <c r="H750" s="4"/>
      <c r="I750" s="4"/>
      <c r="J750" s="4"/>
      <c r="K750" s="4"/>
      <c r="L750" s="4"/>
    </row>
    <row r="751" spans="1:12">
      <c r="A751" s="4"/>
      <c r="B751" s="4"/>
      <c r="C751" s="4"/>
      <c r="D751" s="4"/>
      <c r="E751" s="4"/>
      <c r="F751" s="4"/>
      <c r="G751" s="4"/>
      <c r="H751" s="4"/>
      <c r="I751" s="4"/>
      <c r="J751" s="4"/>
      <c r="K751" s="4"/>
      <c r="L751" s="4"/>
    </row>
    <row r="752" spans="1:12">
      <c r="A752" s="4"/>
      <c r="B752" s="4"/>
      <c r="C752" s="4"/>
      <c r="D752" s="4"/>
      <c r="E752" s="4"/>
      <c r="F752" s="4"/>
      <c r="G752" s="4"/>
      <c r="H752" s="4"/>
      <c r="I752" s="4"/>
      <c r="J752" s="4"/>
      <c r="K752" s="4"/>
      <c r="L752" s="4"/>
    </row>
    <row r="753" spans="1:12">
      <c r="A753" s="4"/>
      <c r="B753" s="4"/>
      <c r="C753" s="4"/>
      <c r="D753" s="4"/>
      <c r="E753" s="4"/>
      <c r="F753" s="4"/>
      <c r="G753" s="4"/>
      <c r="H753" s="4"/>
      <c r="I753" s="4"/>
      <c r="J753" s="4"/>
      <c r="K753" s="4"/>
      <c r="L753" s="4"/>
    </row>
    <row r="754" spans="1:12" ht="15.75" customHeight="1">
      <c r="A754" s="4"/>
      <c r="B754" s="4"/>
      <c r="C754" s="4"/>
      <c r="D754" s="4"/>
      <c r="E754" s="4"/>
      <c r="F754" s="4"/>
      <c r="G754" s="4"/>
      <c r="H754" s="4"/>
      <c r="I754" s="4"/>
      <c r="J754" s="4"/>
      <c r="K754" s="4"/>
      <c r="L754" s="4"/>
    </row>
    <row r="755" spans="1:12">
      <c r="A755" s="4"/>
      <c r="B755" s="4"/>
      <c r="C755" s="4"/>
      <c r="D755" s="4"/>
      <c r="E755" s="4"/>
      <c r="F755" s="4"/>
      <c r="G755" s="4"/>
      <c r="H755" s="4"/>
      <c r="I755" s="4"/>
      <c r="J755" s="4"/>
      <c r="K755" s="4"/>
      <c r="L755" s="4"/>
    </row>
    <row r="756" spans="1:12">
      <c r="A756" s="4"/>
      <c r="B756" s="4"/>
      <c r="C756" s="4"/>
      <c r="D756" s="4"/>
      <c r="E756" s="4"/>
      <c r="F756" s="4"/>
      <c r="G756" s="4"/>
      <c r="H756" s="4"/>
      <c r="I756" s="4"/>
      <c r="J756" s="4"/>
      <c r="K756" s="4"/>
      <c r="L756" s="4"/>
    </row>
    <row r="757" spans="1:12">
      <c r="A757" s="4"/>
      <c r="B757" s="4"/>
      <c r="C757" s="4"/>
      <c r="D757" s="4"/>
      <c r="E757" s="4"/>
      <c r="F757" s="4"/>
      <c r="G757" s="4"/>
      <c r="H757" s="4"/>
      <c r="I757" s="4"/>
      <c r="J757" s="4"/>
      <c r="K757" s="4"/>
      <c r="L757" s="4"/>
    </row>
    <row r="758" spans="1:12">
      <c r="A758" s="4"/>
      <c r="B758" s="4"/>
      <c r="C758" s="4"/>
      <c r="D758" s="4"/>
      <c r="E758" s="4"/>
      <c r="F758" s="4"/>
      <c r="G758" s="4"/>
      <c r="H758" s="4"/>
      <c r="I758" s="4"/>
      <c r="J758" s="4"/>
      <c r="K758" s="4"/>
      <c r="L758" s="4"/>
    </row>
    <row r="759" spans="1:12" ht="15.75" customHeight="1">
      <c r="A759" s="4"/>
      <c r="B759" s="4"/>
      <c r="C759" s="4"/>
      <c r="D759" s="4"/>
      <c r="E759" s="4"/>
      <c r="F759" s="4"/>
      <c r="G759" s="4"/>
      <c r="H759" s="4"/>
      <c r="I759" s="4"/>
      <c r="J759" s="4"/>
      <c r="K759" s="4"/>
      <c r="L759" s="4"/>
    </row>
    <row r="760" spans="1:12">
      <c r="A760" s="4"/>
      <c r="B760" s="4"/>
      <c r="C760" s="4"/>
      <c r="D760" s="4"/>
      <c r="E760" s="4"/>
      <c r="F760" s="4"/>
      <c r="G760" s="4"/>
      <c r="H760" s="4"/>
      <c r="I760" s="4"/>
      <c r="J760" s="4"/>
      <c r="K760" s="4"/>
      <c r="L760" s="4"/>
    </row>
    <row r="761" spans="1:12">
      <c r="A761" s="4"/>
      <c r="B761" s="4"/>
      <c r="C761" s="4"/>
      <c r="D761" s="4"/>
      <c r="E761" s="4"/>
      <c r="F761" s="4"/>
      <c r="G761" s="4"/>
      <c r="H761" s="4"/>
      <c r="I761" s="4"/>
      <c r="J761" s="4"/>
      <c r="K761" s="4"/>
      <c r="L761" s="4"/>
    </row>
    <row r="762" spans="1:12">
      <c r="A762" s="4"/>
      <c r="B762" s="4"/>
      <c r="C762" s="4"/>
      <c r="D762" s="4"/>
      <c r="E762" s="4"/>
      <c r="F762" s="4"/>
      <c r="G762" s="4"/>
      <c r="H762" s="4"/>
      <c r="I762" s="4"/>
      <c r="J762" s="4"/>
      <c r="K762" s="4"/>
      <c r="L762" s="4"/>
    </row>
    <row r="763" spans="1:12">
      <c r="A763" s="4"/>
      <c r="B763" s="4"/>
      <c r="C763" s="4"/>
      <c r="D763" s="4"/>
      <c r="E763" s="4"/>
      <c r="F763" s="4"/>
      <c r="G763" s="4"/>
      <c r="H763" s="4"/>
      <c r="I763" s="4"/>
      <c r="J763" s="4"/>
      <c r="K763" s="4"/>
      <c r="L763" s="4"/>
    </row>
    <row r="764" spans="1:12">
      <c r="A764" s="4"/>
      <c r="B764" s="4"/>
      <c r="C764" s="4"/>
      <c r="D764" s="4"/>
      <c r="E764" s="4"/>
      <c r="F764" s="4"/>
      <c r="G764" s="4"/>
      <c r="H764" s="4"/>
      <c r="I764" s="4"/>
      <c r="J764" s="4"/>
      <c r="K764" s="4"/>
      <c r="L764" s="4"/>
    </row>
    <row r="765" spans="1:12">
      <c r="A765" s="4"/>
      <c r="B765" s="4"/>
      <c r="C765" s="4"/>
      <c r="D765" s="4"/>
      <c r="E765" s="4"/>
      <c r="F765" s="4"/>
      <c r="G765" s="4"/>
      <c r="H765" s="4"/>
      <c r="I765" s="4"/>
      <c r="J765" s="4"/>
      <c r="K765" s="4"/>
      <c r="L765" s="4"/>
    </row>
    <row r="766" spans="1:12">
      <c r="A766" s="4"/>
      <c r="B766" s="4"/>
      <c r="C766" s="4"/>
      <c r="D766" s="4"/>
      <c r="E766" s="4"/>
      <c r="F766" s="4"/>
      <c r="G766" s="4"/>
      <c r="H766" s="4"/>
      <c r="I766" s="4"/>
      <c r="J766" s="4"/>
      <c r="K766" s="4"/>
      <c r="L766" s="4"/>
    </row>
    <row r="767" spans="1:12" ht="15.75" customHeight="1">
      <c r="A767" s="4"/>
      <c r="B767" s="4"/>
      <c r="C767" s="4"/>
      <c r="D767" s="4"/>
      <c r="E767" s="4"/>
      <c r="F767" s="4"/>
      <c r="G767" s="4"/>
      <c r="H767" s="4"/>
      <c r="I767" s="4"/>
      <c r="J767" s="4"/>
      <c r="K767" s="4"/>
      <c r="L767" s="4"/>
    </row>
    <row r="768" spans="1:12">
      <c r="A768" s="4"/>
      <c r="B768" s="4"/>
      <c r="C768" s="4"/>
      <c r="D768" s="4"/>
      <c r="E768" s="4"/>
      <c r="F768" s="4"/>
      <c r="G768" s="4"/>
      <c r="H768" s="4"/>
      <c r="I768" s="4"/>
      <c r="J768" s="4"/>
      <c r="K768" s="4"/>
      <c r="L768" s="4"/>
    </row>
    <row r="769" spans="1:12">
      <c r="A769" s="4"/>
      <c r="B769" s="4"/>
      <c r="C769" s="4"/>
      <c r="D769" s="4"/>
      <c r="E769" s="4"/>
      <c r="F769" s="4"/>
      <c r="G769" s="4"/>
      <c r="H769" s="4"/>
      <c r="I769" s="4"/>
      <c r="J769" s="4"/>
      <c r="K769" s="4"/>
      <c r="L769" s="4"/>
    </row>
    <row r="770" spans="1:12">
      <c r="A770" s="4"/>
      <c r="B770" s="4"/>
      <c r="C770" s="4"/>
      <c r="D770" s="4"/>
      <c r="E770" s="4"/>
      <c r="F770" s="4"/>
      <c r="G770" s="4"/>
      <c r="H770" s="4"/>
      <c r="I770" s="4"/>
      <c r="J770" s="4"/>
      <c r="K770" s="4"/>
      <c r="L770" s="4"/>
    </row>
    <row r="771" spans="1:12">
      <c r="A771" s="4"/>
      <c r="B771" s="4"/>
      <c r="C771" s="4"/>
      <c r="D771" s="4"/>
      <c r="E771" s="4"/>
      <c r="F771" s="4"/>
      <c r="G771" s="4"/>
      <c r="H771" s="4"/>
      <c r="I771" s="4"/>
      <c r="J771" s="4"/>
      <c r="K771" s="4"/>
      <c r="L771" s="4"/>
    </row>
    <row r="772" spans="1:12" ht="15.75" customHeight="1">
      <c r="A772" s="4"/>
      <c r="B772" s="4"/>
      <c r="C772" s="4"/>
      <c r="D772" s="4"/>
      <c r="E772" s="4"/>
      <c r="F772" s="4"/>
      <c r="G772" s="4"/>
      <c r="H772" s="4"/>
      <c r="I772" s="4"/>
      <c r="J772" s="4"/>
      <c r="K772" s="4"/>
      <c r="L772" s="4"/>
    </row>
    <row r="773" spans="1:12">
      <c r="A773" s="4"/>
      <c r="B773" s="4"/>
      <c r="C773" s="4"/>
      <c r="D773" s="4"/>
      <c r="E773" s="4"/>
      <c r="F773" s="4"/>
      <c r="G773" s="4"/>
      <c r="H773" s="4"/>
      <c r="I773" s="4"/>
      <c r="J773" s="4"/>
      <c r="K773" s="4"/>
      <c r="L773" s="4"/>
    </row>
    <row r="774" spans="1:12">
      <c r="A774" s="4"/>
      <c r="B774" s="4"/>
      <c r="C774" s="4"/>
      <c r="D774" s="4"/>
      <c r="E774" s="4"/>
      <c r="F774" s="4"/>
      <c r="G774" s="4"/>
      <c r="H774" s="4"/>
      <c r="I774" s="4"/>
      <c r="J774" s="4"/>
      <c r="K774" s="4"/>
      <c r="L774" s="4"/>
    </row>
    <row r="775" spans="1:12">
      <c r="A775" s="4"/>
      <c r="B775" s="4"/>
      <c r="C775" s="4"/>
      <c r="D775" s="4"/>
      <c r="E775" s="4"/>
      <c r="F775" s="4"/>
      <c r="G775" s="4"/>
      <c r="H775" s="4"/>
      <c r="I775" s="4"/>
      <c r="J775" s="4"/>
      <c r="K775" s="4"/>
      <c r="L775" s="4"/>
    </row>
    <row r="776" spans="1:12">
      <c r="A776" s="4"/>
      <c r="B776" s="4"/>
      <c r="C776" s="4"/>
      <c r="D776" s="4"/>
      <c r="E776" s="4"/>
      <c r="F776" s="4"/>
      <c r="G776" s="4"/>
      <c r="H776" s="4"/>
      <c r="I776" s="4"/>
      <c r="J776" s="4"/>
      <c r="K776" s="4"/>
      <c r="L776" s="4"/>
    </row>
    <row r="777" spans="1:12">
      <c r="A777" s="4"/>
      <c r="B777" s="4"/>
      <c r="C777" s="4"/>
      <c r="D777" s="4"/>
      <c r="E777" s="4"/>
      <c r="F777" s="4"/>
      <c r="G777" s="4"/>
      <c r="H777" s="4"/>
      <c r="I777" s="4"/>
      <c r="J777" s="4"/>
      <c r="K777" s="4"/>
      <c r="L777" s="4"/>
    </row>
    <row r="778" spans="1:12">
      <c r="A778" s="4"/>
      <c r="B778" s="4"/>
      <c r="C778" s="4"/>
      <c r="D778" s="4"/>
      <c r="E778" s="4"/>
      <c r="F778" s="4"/>
      <c r="G778" s="4"/>
      <c r="H778" s="4"/>
      <c r="I778" s="4"/>
      <c r="J778" s="4"/>
      <c r="K778" s="4"/>
      <c r="L778" s="4"/>
    </row>
    <row r="779" spans="1:12">
      <c r="A779" s="4"/>
      <c r="B779" s="4"/>
      <c r="C779" s="4"/>
      <c r="D779" s="4"/>
      <c r="E779" s="4"/>
      <c r="F779" s="4"/>
      <c r="G779" s="4"/>
      <c r="H779" s="4"/>
      <c r="I779" s="4"/>
      <c r="J779" s="4"/>
      <c r="K779" s="4"/>
      <c r="L779" s="4"/>
    </row>
    <row r="780" spans="1:12">
      <c r="A780" s="4"/>
      <c r="B780" s="4"/>
      <c r="C780" s="4"/>
      <c r="D780" s="4"/>
      <c r="E780" s="4"/>
      <c r="F780" s="4"/>
      <c r="G780" s="4"/>
      <c r="H780" s="4"/>
      <c r="I780" s="4"/>
      <c r="J780" s="4"/>
      <c r="K780" s="4"/>
      <c r="L780" s="4"/>
    </row>
    <row r="781" spans="1:12">
      <c r="A781" s="4"/>
      <c r="B781" s="4"/>
      <c r="C781" s="4"/>
      <c r="D781" s="4"/>
      <c r="E781" s="4"/>
      <c r="F781" s="4"/>
      <c r="G781" s="4"/>
      <c r="H781" s="4"/>
      <c r="I781" s="4"/>
      <c r="J781" s="4"/>
      <c r="K781" s="4"/>
      <c r="L781" s="4"/>
    </row>
    <row r="782" spans="1:12">
      <c r="A782" s="4"/>
      <c r="B782" s="4"/>
      <c r="C782" s="4"/>
      <c r="D782" s="4"/>
      <c r="E782" s="4"/>
      <c r="F782" s="4"/>
      <c r="G782" s="4"/>
      <c r="H782" s="4"/>
      <c r="I782" s="4"/>
      <c r="J782" s="4"/>
      <c r="K782" s="4"/>
      <c r="L782" s="4"/>
    </row>
    <row r="783" spans="1:12">
      <c r="A783" s="4"/>
      <c r="B783" s="4"/>
      <c r="C783" s="4"/>
      <c r="D783" s="4"/>
      <c r="E783" s="4"/>
      <c r="F783" s="4"/>
      <c r="G783" s="4"/>
      <c r="H783" s="4"/>
      <c r="I783" s="4"/>
      <c r="J783" s="4"/>
      <c r="K783" s="4"/>
      <c r="L783" s="4"/>
    </row>
    <row r="784" spans="1:12" ht="15.75" customHeight="1">
      <c r="A784" s="4"/>
      <c r="B784" s="4"/>
      <c r="C784" s="4"/>
      <c r="D784" s="4"/>
      <c r="E784" s="4"/>
      <c r="F784" s="4"/>
      <c r="G784" s="4"/>
      <c r="H784" s="4"/>
      <c r="I784" s="4"/>
      <c r="J784" s="4"/>
      <c r="K784" s="4"/>
      <c r="L784" s="4"/>
    </row>
    <row r="785" spans="1:12">
      <c r="A785" s="4"/>
      <c r="B785" s="4"/>
      <c r="C785" s="4"/>
      <c r="D785" s="4"/>
      <c r="E785" s="4"/>
      <c r="F785" s="4"/>
      <c r="G785" s="4"/>
      <c r="H785" s="4"/>
      <c r="I785" s="4"/>
      <c r="J785" s="4"/>
      <c r="K785" s="4"/>
      <c r="L785" s="4"/>
    </row>
    <row r="786" spans="1:12">
      <c r="A786" s="4"/>
      <c r="B786" s="4"/>
      <c r="C786" s="4"/>
      <c r="D786" s="4"/>
      <c r="E786" s="4"/>
      <c r="F786" s="4"/>
      <c r="G786" s="4"/>
      <c r="H786" s="4"/>
      <c r="I786" s="4"/>
      <c r="J786" s="4"/>
      <c r="K786" s="4"/>
      <c r="L786" s="4"/>
    </row>
    <row r="787" spans="1:12">
      <c r="A787" s="4"/>
      <c r="B787" s="4"/>
      <c r="C787" s="4"/>
      <c r="D787" s="4"/>
      <c r="E787" s="4"/>
      <c r="F787" s="4"/>
      <c r="G787" s="4"/>
      <c r="H787" s="4"/>
      <c r="I787" s="4"/>
      <c r="J787" s="4"/>
      <c r="K787" s="4"/>
      <c r="L787" s="4"/>
    </row>
    <row r="788" spans="1:12" ht="15.75" customHeight="1">
      <c r="A788" s="4"/>
      <c r="B788" s="4"/>
      <c r="C788" s="4"/>
      <c r="D788" s="4"/>
      <c r="E788" s="4"/>
      <c r="F788" s="4"/>
      <c r="G788" s="4"/>
      <c r="H788" s="4"/>
      <c r="I788" s="4"/>
      <c r="J788" s="4"/>
      <c r="K788" s="4"/>
      <c r="L788" s="4"/>
    </row>
    <row r="789" spans="1:12" ht="22.5" customHeight="1">
      <c r="A789" s="4"/>
      <c r="B789" s="4"/>
      <c r="C789" s="4"/>
      <c r="D789" s="4"/>
      <c r="E789" s="4"/>
      <c r="F789" s="4"/>
      <c r="G789" s="4"/>
      <c r="H789" s="4"/>
      <c r="I789" s="4"/>
      <c r="J789" s="4"/>
      <c r="K789" s="4"/>
      <c r="L789" s="4"/>
    </row>
    <row r="790" spans="1:12" ht="15.75" customHeight="1">
      <c r="A790" s="4"/>
      <c r="B790" s="4"/>
      <c r="C790" s="4"/>
      <c r="D790" s="4"/>
      <c r="E790" s="4"/>
      <c r="F790" s="4"/>
      <c r="G790" s="4"/>
      <c r="H790" s="4"/>
      <c r="I790" s="4"/>
      <c r="J790" s="4"/>
      <c r="K790" s="4"/>
      <c r="L790" s="4"/>
    </row>
    <row r="791" spans="1:12" ht="15.75" customHeight="1">
      <c r="A791" s="4"/>
      <c r="B791" s="4"/>
      <c r="C791" s="4"/>
      <c r="D791" s="4"/>
      <c r="E791" s="4"/>
      <c r="F791" s="4"/>
      <c r="G791" s="4"/>
      <c r="H791" s="4"/>
      <c r="I791" s="4"/>
      <c r="J791" s="4"/>
      <c r="K791" s="4"/>
      <c r="L791" s="4"/>
    </row>
    <row r="792" spans="1:12" ht="15.75" customHeight="1">
      <c r="A792" s="4"/>
      <c r="B792" s="4"/>
      <c r="C792" s="4"/>
      <c r="D792" s="4"/>
      <c r="E792" s="4"/>
      <c r="F792" s="4"/>
      <c r="G792" s="4"/>
      <c r="H792" s="4"/>
      <c r="I792" s="4"/>
      <c r="J792" s="4"/>
      <c r="K792" s="4"/>
      <c r="L792" s="4"/>
    </row>
    <row r="793" spans="1:12" ht="15.75" customHeight="1">
      <c r="A793" s="4"/>
      <c r="B793" s="4"/>
      <c r="C793" s="4"/>
      <c r="D793" s="4"/>
      <c r="E793" s="4"/>
      <c r="F793" s="4"/>
      <c r="G793" s="4"/>
      <c r="H793" s="4"/>
      <c r="I793" s="4"/>
      <c r="J793" s="4"/>
      <c r="K793" s="4"/>
      <c r="L793" s="4"/>
    </row>
    <row r="794" spans="1:12" ht="15.75" customHeight="1">
      <c r="A794" s="4"/>
      <c r="B794" s="4"/>
      <c r="C794" s="4"/>
      <c r="D794" s="4"/>
      <c r="E794" s="4"/>
      <c r="F794" s="4"/>
      <c r="G794" s="4"/>
      <c r="H794" s="4"/>
      <c r="I794" s="4"/>
      <c r="J794" s="4"/>
      <c r="K794" s="4"/>
      <c r="L794" s="4"/>
    </row>
    <row r="795" spans="1:12" ht="15.75" customHeight="1">
      <c r="A795" s="4"/>
      <c r="B795" s="4"/>
      <c r="C795" s="4"/>
      <c r="D795" s="4"/>
      <c r="E795" s="4"/>
      <c r="F795" s="4"/>
      <c r="G795" s="4"/>
      <c r="H795" s="4"/>
      <c r="I795" s="4"/>
      <c r="J795" s="4"/>
      <c r="K795" s="4"/>
      <c r="L795" s="4"/>
    </row>
    <row r="796" spans="1:12" ht="15.75" customHeight="1">
      <c r="A796" s="4"/>
      <c r="B796" s="4"/>
      <c r="C796" s="4"/>
      <c r="D796" s="4"/>
      <c r="E796" s="4"/>
      <c r="F796" s="4"/>
      <c r="G796" s="4"/>
      <c r="H796" s="4"/>
      <c r="I796" s="4"/>
      <c r="J796" s="4"/>
      <c r="K796" s="4"/>
      <c r="L796" s="4"/>
    </row>
    <row r="797" spans="1:12" ht="15.75" customHeight="1">
      <c r="A797" s="4"/>
      <c r="B797" s="4"/>
      <c r="C797" s="4"/>
      <c r="D797" s="4"/>
      <c r="E797" s="4"/>
      <c r="F797" s="4"/>
      <c r="G797" s="4"/>
      <c r="H797" s="4"/>
      <c r="I797" s="4"/>
      <c r="J797" s="4"/>
      <c r="K797" s="4"/>
      <c r="L797" s="4"/>
    </row>
    <row r="798" spans="1:12" ht="15.75" customHeight="1">
      <c r="A798" s="4"/>
      <c r="B798" s="4"/>
      <c r="C798" s="4"/>
      <c r="D798" s="4"/>
      <c r="E798" s="4"/>
      <c r="F798" s="4"/>
      <c r="G798" s="4"/>
      <c r="H798" s="4"/>
      <c r="I798" s="4"/>
      <c r="J798" s="4"/>
      <c r="K798" s="4"/>
      <c r="L798" s="4"/>
    </row>
    <row r="799" spans="1:12" ht="15.75" customHeight="1">
      <c r="A799" s="4"/>
      <c r="B799" s="4"/>
      <c r="C799" s="4"/>
      <c r="D799" s="4"/>
      <c r="E799" s="4"/>
      <c r="F799" s="4"/>
      <c r="G799" s="4"/>
      <c r="H799" s="4"/>
      <c r="I799" s="4"/>
      <c r="J799" s="4"/>
      <c r="K799" s="4"/>
      <c r="L799" s="4"/>
    </row>
    <row r="800" spans="1:12" ht="15.75" customHeight="1">
      <c r="A800" s="4"/>
      <c r="B800" s="4"/>
      <c r="C800" s="4"/>
      <c r="D800" s="4"/>
      <c r="E800" s="4"/>
      <c r="F800" s="4"/>
      <c r="G800" s="4"/>
      <c r="H800" s="4"/>
      <c r="I800" s="4"/>
      <c r="J800" s="4"/>
      <c r="K800" s="4"/>
      <c r="L800" s="4"/>
    </row>
    <row r="801" spans="1:12" ht="15.75" customHeight="1">
      <c r="A801" s="4"/>
      <c r="B801" s="4"/>
      <c r="C801" s="4"/>
      <c r="D801" s="4"/>
      <c r="E801" s="4"/>
      <c r="F801" s="4"/>
      <c r="G801" s="4"/>
      <c r="H801" s="4"/>
      <c r="I801" s="4"/>
      <c r="J801" s="4"/>
      <c r="K801" s="4"/>
      <c r="L801" s="4"/>
    </row>
    <row r="802" spans="1:12" ht="15.75" customHeight="1">
      <c r="A802" s="4"/>
      <c r="B802" s="4"/>
      <c r="C802" s="4"/>
      <c r="D802" s="4"/>
      <c r="E802" s="4"/>
      <c r="F802" s="4"/>
      <c r="G802" s="4"/>
      <c r="H802" s="4"/>
      <c r="I802" s="4"/>
      <c r="J802" s="4"/>
      <c r="K802" s="4"/>
      <c r="L802" s="4"/>
    </row>
    <row r="803" spans="1:12" ht="15.75" customHeight="1">
      <c r="A803" s="4"/>
      <c r="B803" s="4"/>
      <c r="C803" s="4"/>
      <c r="D803" s="4"/>
      <c r="E803" s="4"/>
      <c r="F803" s="4"/>
      <c r="G803" s="4"/>
      <c r="H803" s="4"/>
      <c r="I803" s="4"/>
      <c r="J803" s="4"/>
      <c r="K803" s="4"/>
      <c r="L803" s="4"/>
    </row>
    <row r="804" spans="1:12" ht="15.75" customHeight="1">
      <c r="A804" s="4"/>
      <c r="B804" s="4"/>
      <c r="C804" s="4"/>
      <c r="D804" s="4"/>
      <c r="E804" s="4"/>
      <c r="F804" s="4"/>
      <c r="G804" s="4"/>
      <c r="H804" s="4"/>
      <c r="I804" s="4"/>
      <c r="J804" s="4"/>
      <c r="K804" s="4"/>
      <c r="L804" s="4"/>
    </row>
    <row r="805" spans="1:12" ht="15.75" customHeight="1">
      <c r="A805" s="4"/>
      <c r="B805" s="4"/>
      <c r="C805" s="4"/>
      <c r="D805" s="4"/>
      <c r="E805" s="4"/>
      <c r="F805" s="4"/>
      <c r="G805" s="4"/>
      <c r="H805" s="4"/>
      <c r="I805" s="4"/>
      <c r="J805" s="4"/>
      <c r="K805" s="4"/>
      <c r="L805" s="4"/>
    </row>
    <row r="806" spans="1:12" ht="15.75" customHeight="1">
      <c r="A806" s="4"/>
      <c r="B806" s="4"/>
      <c r="C806" s="4"/>
      <c r="D806" s="4"/>
      <c r="E806" s="4"/>
      <c r="F806" s="4"/>
      <c r="G806" s="4"/>
      <c r="H806" s="4"/>
      <c r="I806" s="4"/>
      <c r="J806" s="4"/>
      <c r="K806" s="4"/>
      <c r="L806" s="4"/>
    </row>
    <row r="807" spans="1:12" ht="15.75" customHeight="1">
      <c r="A807" s="4"/>
      <c r="B807" s="4"/>
      <c r="C807" s="4"/>
      <c r="D807" s="4"/>
      <c r="E807" s="4"/>
      <c r="F807" s="4"/>
      <c r="G807" s="4"/>
      <c r="H807" s="4"/>
      <c r="I807" s="4"/>
      <c r="J807" s="4"/>
      <c r="K807" s="4"/>
      <c r="L807" s="4"/>
    </row>
    <row r="808" spans="1:12" ht="15.75" customHeight="1" outlineLevel="1">
      <c r="A808" s="4"/>
      <c r="B808" s="4"/>
      <c r="C808" s="4"/>
      <c r="D808" s="4"/>
      <c r="E808" s="4"/>
      <c r="F808" s="4"/>
      <c r="G808" s="4"/>
      <c r="H808" s="4"/>
      <c r="I808" s="4"/>
      <c r="J808" s="4"/>
      <c r="K808" s="4"/>
      <c r="L808" s="4"/>
    </row>
    <row r="809" spans="1:12" outlineLevel="1">
      <c r="A809" s="4"/>
      <c r="B809" s="4"/>
      <c r="C809" s="4"/>
      <c r="D809" s="4"/>
      <c r="E809" s="4"/>
      <c r="F809" s="4"/>
      <c r="G809" s="4"/>
      <c r="H809" s="4"/>
      <c r="I809" s="4"/>
      <c r="J809" s="4"/>
      <c r="K809" s="4"/>
      <c r="L809" s="4"/>
    </row>
    <row r="810" spans="1:12" outlineLevel="1">
      <c r="A810" s="4"/>
      <c r="B810" s="4"/>
      <c r="C810" s="4"/>
      <c r="D810" s="4"/>
      <c r="E810" s="4"/>
      <c r="F810" s="4"/>
      <c r="G810" s="4"/>
      <c r="H810" s="4"/>
      <c r="I810" s="4"/>
      <c r="J810" s="4"/>
      <c r="K810" s="4"/>
      <c r="L810" s="4"/>
    </row>
    <row r="811" spans="1:12" outlineLevel="1">
      <c r="A811" s="4"/>
      <c r="B811" s="4"/>
      <c r="C811" s="4"/>
      <c r="D811" s="4"/>
      <c r="E811" s="4"/>
      <c r="F811" s="4"/>
      <c r="G811" s="4"/>
      <c r="H811" s="4"/>
      <c r="I811" s="4"/>
      <c r="J811" s="4"/>
      <c r="K811" s="4"/>
      <c r="L811" s="4"/>
    </row>
    <row r="812" spans="1:12" outlineLevel="1">
      <c r="A812" s="4"/>
      <c r="B812" s="4"/>
      <c r="C812" s="4"/>
      <c r="D812" s="4"/>
      <c r="E812" s="4"/>
      <c r="F812" s="4"/>
      <c r="G812" s="4"/>
      <c r="H812" s="4"/>
      <c r="I812" s="4"/>
      <c r="J812" s="4"/>
      <c r="K812" s="4"/>
      <c r="L812" s="4"/>
    </row>
    <row r="813" spans="1:12" ht="15.75" customHeight="1" outlineLevel="1">
      <c r="A813" s="4"/>
      <c r="B813" s="4"/>
      <c r="C813" s="4"/>
      <c r="D813" s="4"/>
      <c r="E813" s="4"/>
      <c r="F813" s="4"/>
      <c r="G813" s="4"/>
      <c r="H813" s="4"/>
      <c r="I813" s="4"/>
      <c r="J813" s="4"/>
      <c r="K813" s="4"/>
      <c r="L813" s="4"/>
    </row>
    <row r="814" spans="1:12" outlineLevel="1">
      <c r="A814" s="4"/>
      <c r="B814" s="4"/>
      <c r="C814" s="4"/>
      <c r="D814" s="4"/>
      <c r="E814" s="4"/>
      <c r="F814" s="4"/>
      <c r="G814" s="4"/>
      <c r="H814" s="4"/>
      <c r="I814" s="4"/>
      <c r="J814" s="4"/>
      <c r="K814" s="4"/>
      <c r="L814" s="4"/>
    </row>
    <row r="815" spans="1:12" outlineLevel="1">
      <c r="A815" s="4"/>
      <c r="B815" s="4"/>
      <c r="C815" s="4"/>
      <c r="D815" s="4"/>
      <c r="E815" s="4"/>
      <c r="F815" s="4"/>
      <c r="G815" s="4"/>
      <c r="H815" s="4"/>
      <c r="I815" s="4"/>
      <c r="J815" s="4"/>
      <c r="K815" s="4"/>
      <c r="L815" s="4"/>
    </row>
    <row r="816" spans="1:12" outlineLevel="1">
      <c r="A816" s="4"/>
      <c r="B816" s="4"/>
      <c r="C816" s="4"/>
      <c r="D816" s="4"/>
      <c r="E816" s="4"/>
      <c r="F816" s="4"/>
      <c r="G816" s="4"/>
      <c r="H816" s="4"/>
      <c r="I816" s="4"/>
      <c r="J816" s="4"/>
      <c r="K816" s="4"/>
      <c r="L816" s="4"/>
    </row>
    <row r="817" spans="1:12" outlineLevel="1">
      <c r="A817" s="4"/>
      <c r="B817" s="4"/>
      <c r="C817" s="4"/>
      <c r="D817" s="4"/>
      <c r="E817" s="4"/>
      <c r="F817" s="4"/>
      <c r="G817" s="4"/>
      <c r="H817" s="4"/>
      <c r="I817" s="4"/>
      <c r="J817" s="4"/>
      <c r="K817" s="4"/>
      <c r="L817" s="4"/>
    </row>
    <row r="818" spans="1:12" ht="15.75" customHeight="1" outlineLevel="1">
      <c r="A818" s="4"/>
      <c r="B818" s="4"/>
      <c r="C818" s="4"/>
      <c r="D818" s="4"/>
      <c r="E818" s="4"/>
      <c r="F818" s="4"/>
      <c r="G818" s="4"/>
      <c r="H818" s="4"/>
      <c r="I818" s="4"/>
      <c r="J818" s="4"/>
      <c r="K818" s="4"/>
      <c r="L818" s="4"/>
    </row>
    <row r="819" spans="1:12" outlineLevel="1">
      <c r="A819" s="4"/>
      <c r="B819" s="4"/>
      <c r="C819" s="4"/>
      <c r="D819" s="4"/>
      <c r="E819" s="4"/>
      <c r="F819" s="4"/>
      <c r="G819" s="4"/>
      <c r="H819" s="4"/>
      <c r="I819" s="4"/>
      <c r="J819" s="4"/>
      <c r="K819" s="4"/>
      <c r="L819" s="4"/>
    </row>
    <row r="820" spans="1:12" outlineLevel="1">
      <c r="A820" s="4"/>
      <c r="B820" s="4"/>
      <c r="C820" s="4"/>
      <c r="D820" s="4"/>
      <c r="E820" s="4"/>
      <c r="F820" s="4"/>
      <c r="G820" s="4"/>
      <c r="H820" s="4"/>
      <c r="I820" s="4"/>
      <c r="J820" s="4"/>
      <c r="K820" s="4"/>
      <c r="L820" s="4"/>
    </row>
    <row r="821" spans="1:12" outlineLevel="1">
      <c r="A821" s="4"/>
      <c r="B821" s="4"/>
      <c r="C821" s="4"/>
      <c r="D821" s="4"/>
      <c r="E821" s="4"/>
      <c r="F821" s="4"/>
      <c r="G821" s="4"/>
      <c r="H821" s="4"/>
      <c r="I821" s="4"/>
      <c r="J821" s="4"/>
      <c r="K821" s="4"/>
      <c r="L821" s="4"/>
    </row>
    <row r="822" spans="1:12" outlineLevel="1">
      <c r="A822" s="4"/>
      <c r="B822" s="4"/>
      <c r="C822" s="4"/>
      <c r="D822" s="4"/>
      <c r="E822" s="4"/>
      <c r="F822" s="4"/>
      <c r="G822" s="4"/>
      <c r="H822" s="4"/>
      <c r="I822" s="4"/>
      <c r="J822" s="4"/>
      <c r="K822" s="4"/>
      <c r="L822" s="4"/>
    </row>
    <row r="823" spans="1:12" outlineLevel="1">
      <c r="A823" s="4"/>
      <c r="B823" s="4"/>
      <c r="C823" s="4"/>
      <c r="D823" s="4"/>
      <c r="E823" s="4"/>
      <c r="F823" s="4"/>
      <c r="G823" s="4"/>
      <c r="H823" s="4"/>
      <c r="I823" s="4"/>
      <c r="J823" s="4"/>
      <c r="K823" s="4"/>
      <c r="L823" s="4"/>
    </row>
    <row r="824" spans="1:12" outlineLevel="1">
      <c r="A824" s="4"/>
      <c r="B824" s="4"/>
      <c r="C824" s="4"/>
      <c r="D824" s="4"/>
      <c r="E824" s="4"/>
      <c r="F824" s="4"/>
      <c r="G824" s="4"/>
      <c r="H824" s="4"/>
      <c r="I824" s="4"/>
      <c r="J824" s="4"/>
      <c r="K824" s="4"/>
      <c r="L824" s="4"/>
    </row>
    <row r="825" spans="1:12" outlineLevel="1">
      <c r="A825" s="4"/>
      <c r="B825" s="4"/>
      <c r="C825" s="4"/>
      <c r="D825" s="4"/>
      <c r="E825" s="4"/>
      <c r="F825" s="4"/>
      <c r="G825" s="4"/>
      <c r="H825" s="4"/>
      <c r="I825" s="4"/>
      <c r="J825" s="4"/>
      <c r="K825" s="4"/>
      <c r="L825" s="4"/>
    </row>
    <row r="826" spans="1:12" ht="15.75" customHeight="1" outlineLevel="1">
      <c r="A826" s="4"/>
      <c r="B826" s="4"/>
      <c r="C826" s="4"/>
      <c r="D826" s="4"/>
      <c r="E826" s="4"/>
      <c r="F826" s="4"/>
      <c r="G826" s="4"/>
      <c r="H826" s="4"/>
      <c r="I826" s="4"/>
      <c r="J826" s="4"/>
      <c r="K826" s="4"/>
      <c r="L826" s="4"/>
    </row>
    <row r="827" spans="1:12" outlineLevel="1">
      <c r="A827" s="4"/>
      <c r="B827" s="4"/>
      <c r="C827" s="4"/>
      <c r="D827" s="4"/>
      <c r="E827" s="4"/>
      <c r="F827" s="4"/>
      <c r="G827" s="4"/>
      <c r="H827" s="4"/>
      <c r="I827" s="4"/>
      <c r="J827" s="4"/>
      <c r="K827" s="4"/>
      <c r="L827" s="4"/>
    </row>
    <row r="828" spans="1:12" outlineLevel="1">
      <c r="A828" s="4"/>
      <c r="B828" s="4"/>
      <c r="C828" s="4"/>
      <c r="D828" s="4"/>
      <c r="E828" s="4"/>
      <c r="F828" s="4"/>
      <c r="G828" s="4"/>
      <c r="H828" s="4"/>
      <c r="I828" s="4"/>
      <c r="J828" s="4"/>
      <c r="K828" s="4"/>
      <c r="L828" s="4"/>
    </row>
    <row r="829" spans="1:12" outlineLevel="1">
      <c r="A829" s="4"/>
      <c r="B829" s="4"/>
      <c r="C829" s="4"/>
      <c r="D829" s="4"/>
      <c r="E829" s="4"/>
      <c r="F829" s="4"/>
      <c r="G829" s="4"/>
      <c r="H829" s="4"/>
      <c r="I829" s="4"/>
      <c r="J829" s="4"/>
      <c r="K829" s="4"/>
      <c r="L829" s="4"/>
    </row>
    <row r="830" spans="1:12" outlineLevel="1">
      <c r="A830" s="4"/>
      <c r="B830" s="4"/>
      <c r="C830" s="4"/>
      <c r="D830" s="4"/>
      <c r="E830" s="4"/>
      <c r="F830" s="4"/>
      <c r="G830" s="4"/>
      <c r="H830" s="4"/>
      <c r="I830" s="4"/>
      <c r="J830" s="4"/>
      <c r="K830" s="4"/>
      <c r="L830" s="4"/>
    </row>
    <row r="831" spans="1:12" ht="15.75" customHeight="1" outlineLevel="1">
      <c r="A831" s="4"/>
      <c r="B831" s="4"/>
      <c r="C831" s="4"/>
      <c r="D831" s="4"/>
      <c r="E831" s="4"/>
      <c r="F831" s="4"/>
      <c r="G831" s="4"/>
      <c r="H831" s="4"/>
      <c r="I831" s="4"/>
      <c r="J831" s="4"/>
      <c r="K831" s="4"/>
      <c r="L831" s="4"/>
    </row>
    <row r="832" spans="1:12" outlineLevel="1">
      <c r="A832" s="4"/>
      <c r="B832" s="4"/>
      <c r="C832" s="4"/>
      <c r="D832" s="4"/>
      <c r="E832" s="4"/>
      <c r="F832" s="4"/>
      <c r="G832" s="4"/>
      <c r="H832" s="4"/>
      <c r="I832" s="4"/>
      <c r="J832" s="4"/>
      <c r="K832" s="4"/>
      <c r="L832" s="4"/>
    </row>
    <row r="833" spans="1:12" outlineLevel="1">
      <c r="A833" s="4"/>
      <c r="B833" s="4"/>
      <c r="C833" s="4"/>
      <c r="D833" s="4"/>
      <c r="E833" s="4"/>
      <c r="F833" s="4"/>
      <c r="G833" s="4"/>
      <c r="H833" s="4"/>
      <c r="I833" s="4"/>
      <c r="J833" s="4"/>
      <c r="K833" s="4"/>
      <c r="L833" s="4"/>
    </row>
    <row r="834" spans="1:12" outlineLevel="1">
      <c r="A834" s="4"/>
      <c r="B834" s="4"/>
      <c r="C834" s="4"/>
      <c r="D834" s="4"/>
      <c r="E834" s="4"/>
      <c r="F834" s="4"/>
      <c r="G834" s="4"/>
      <c r="H834" s="4"/>
      <c r="I834" s="4"/>
      <c r="J834" s="4"/>
      <c r="K834" s="4"/>
      <c r="L834" s="4"/>
    </row>
    <row r="835" spans="1:12" outlineLevel="1">
      <c r="A835" s="4"/>
      <c r="B835" s="4"/>
      <c r="C835" s="4"/>
      <c r="D835" s="4"/>
      <c r="E835" s="4"/>
      <c r="F835" s="4"/>
      <c r="G835" s="4"/>
      <c r="H835" s="4"/>
      <c r="I835" s="4"/>
      <c r="J835" s="4"/>
      <c r="K835" s="4"/>
      <c r="L835" s="4"/>
    </row>
    <row r="836" spans="1:12" outlineLevel="1">
      <c r="A836" s="4"/>
      <c r="B836" s="4"/>
      <c r="C836" s="4"/>
      <c r="D836" s="4"/>
      <c r="E836" s="4"/>
      <c r="F836" s="4"/>
      <c r="G836" s="4"/>
      <c r="H836" s="4"/>
      <c r="I836" s="4"/>
      <c r="J836" s="4"/>
      <c r="K836" s="4"/>
      <c r="L836" s="4"/>
    </row>
    <row r="837" spans="1:12" outlineLevel="1">
      <c r="A837" s="4"/>
      <c r="B837" s="4"/>
      <c r="C837" s="4"/>
      <c r="D837" s="4"/>
      <c r="E837" s="4"/>
      <c r="F837" s="4"/>
      <c r="G837" s="4"/>
      <c r="H837" s="4"/>
      <c r="I837" s="4"/>
      <c r="J837" s="4"/>
      <c r="K837" s="4"/>
      <c r="L837" s="4"/>
    </row>
    <row r="838" spans="1:12" outlineLevel="1">
      <c r="A838" s="4"/>
      <c r="B838" s="4"/>
      <c r="C838" s="4"/>
      <c r="D838" s="4"/>
      <c r="E838" s="4"/>
      <c r="F838" s="4"/>
      <c r="G838" s="4"/>
      <c r="H838" s="4"/>
      <c r="I838" s="4"/>
      <c r="J838" s="4"/>
      <c r="K838" s="4"/>
      <c r="L838" s="4"/>
    </row>
    <row r="839" spans="1:12" outlineLevel="1">
      <c r="A839" s="4"/>
      <c r="B839" s="4"/>
      <c r="C839" s="4"/>
      <c r="D839" s="4"/>
      <c r="E839" s="4"/>
      <c r="F839" s="4"/>
      <c r="G839" s="4"/>
      <c r="H839" s="4"/>
      <c r="I839" s="4"/>
      <c r="J839" s="4"/>
      <c r="K839" s="4"/>
      <c r="L839" s="4"/>
    </row>
    <row r="840" spans="1:12" outlineLevel="1">
      <c r="A840" s="4"/>
      <c r="B840" s="4"/>
      <c r="C840" s="4"/>
      <c r="D840" s="4"/>
      <c r="E840" s="4"/>
      <c r="F840" s="4"/>
      <c r="G840" s="4"/>
      <c r="H840" s="4"/>
      <c r="I840" s="4"/>
      <c r="J840" s="4"/>
      <c r="K840" s="4"/>
      <c r="L840" s="4"/>
    </row>
    <row r="841" spans="1:12" outlineLevel="1">
      <c r="A841" s="4"/>
      <c r="B841" s="4"/>
      <c r="C841" s="4"/>
      <c r="D841" s="4"/>
      <c r="E841" s="4"/>
      <c r="F841" s="4"/>
      <c r="G841" s="4"/>
      <c r="H841" s="4"/>
      <c r="I841" s="4"/>
      <c r="J841" s="4"/>
      <c r="K841" s="4"/>
      <c r="L841" s="4"/>
    </row>
    <row r="842" spans="1:12" outlineLevel="1">
      <c r="A842" s="4"/>
      <c r="B842" s="4"/>
      <c r="C842" s="4"/>
      <c r="D842" s="4"/>
      <c r="E842" s="4"/>
      <c r="F842" s="4"/>
      <c r="G842" s="4"/>
      <c r="H842" s="4"/>
      <c r="I842" s="4"/>
      <c r="J842" s="4"/>
      <c r="K842" s="4"/>
      <c r="L842" s="4"/>
    </row>
    <row r="843" spans="1:12" ht="15.75" customHeight="1" outlineLevel="1">
      <c r="A843" s="4"/>
      <c r="B843" s="4"/>
      <c r="C843" s="4"/>
      <c r="D843" s="4"/>
      <c r="E843" s="4"/>
      <c r="F843" s="4"/>
      <c r="G843" s="4"/>
      <c r="H843" s="4"/>
      <c r="I843" s="4"/>
      <c r="J843" s="4"/>
      <c r="K843" s="4"/>
      <c r="L843" s="4"/>
    </row>
    <row r="844" spans="1:12" outlineLevel="1">
      <c r="A844" s="4"/>
      <c r="B844" s="4"/>
      <c r="C844" s="4"/>
      <c r="D844" s="4"/>
      <c r="E844" s="4"/>
      <c r="F844" s="4"/>
      <c r="G844" s="4"/>
      <c r="H844" s="4"/>
      <c r="I844" s="4"/>
      <c r="J844" s="4"/>
      <c r="K844" s="4"/>
      <c r="L844" s="4"/>
    </row>
    <row r="845" spans="1:12" outlineLevel="1">
      <c r="A845" s="4"/>
      <c r="B845" s="4"/>
      <c r="C845" s="4"/>
      <c r="D845" s="4"/>
      <c r="E845" s="4"/>
      <c r="F845" s="4"/>
      <c r="G845" s="4"/>
      <c r="H845" s="4"/>
      <c r="I845" s="4"/>
      <c r="J845" s="4"/>
      <c r="K845" s="4"/>
      <c r="L845" s="4"/>
    </row>
    <row r="846" spans="1:12" outlineLevel="1">
      <c r="A846" s="4"/>
      <c r="B846" s="4"/>
      <c r="C846" s="4"/>
      <c r="D846" s="4"/>
      <c r="E846" s="4"/>
      <c r="F846" s="4"/>
      <c r="G846" s="4"/>
      <c r="H846" s="4"/>
      <c r="I846" s="4"/>
      <c r="J846" s="4"/>
      <c r="K846" s="4"/>
      <c r="L846" s="4"/>
    </row>
    <row r="847" spans="1:12" outlineLevel="1">
      <c r="A847" s="4"/>
      <c r="B847" s="4"/>
      <c r="C847" s="4"/>
      <c r="D847" s="4"/>
      <c r="E847" s="4"/>
      <c r="F847" s="4"/>
      <c r="G847" s="4"/>
      <c r="H847" s="4"/>
      <c r="I847" s="4"/>
      <c r="J847" s="4"/>
      <c r="K847" s="4"/>
      <c r="L847" s="4"/>
    </row>
    <row r="848" spans="1:12" ht="15.75" customHeight="1" outlineLevel="1">
      <c r="A848" s="4"/>
      <c r="B848" s="4"/>
      <c r="C848" s="4"/>
      <c r="D848" s="4"/>
      <c r="E848" s="4"/>
      <c r="F848" s="4"/>
      <c r="G848" s="4"/>
      <c r="H848" s="4"/>
      <c r="I848" s="4"/>
      <c r="J848" s="4"/>
      <c r="K848" s="4"/>
      <c r="L848" s="4"/>
    </row>
    <row r="849" spans="1:12" outlineLevel="1">
      <c r="A849" s="4"/>
      <c r="B849" s="4"/>
      <c r="C849" s="4"/>
      <c r="D849" s="4"/>
      <c r="E849" s="4"/>
      <c r="F849" s="4"/>
      <c r="G849" s="4"/>
      <c r="H849" s="4"/>
      <c r="I849" s="4"/>
      <c r="J849" s="4"/>
      <c r="K849" s="4"/>
      <c r="L849" s="4"/>
    </row>
    <row r="850" spans="1:12" outlineLevel="1">
      <c r="A850" s="4"/>
      <c r="B850" s="4"/>
      <c r="C850" s="4"/>
      <c r="D850" s="4"/>
      <c r="E850" s="4"/>
      <c r="F850" s="4"/>
      <c r="G850" s="4"/>
      <c r="H850" s="4"/>
      <c r="I850" s="4"/>
      <c r="J850" s="4"/>
      <c r="K850" s="4"/>
      <c r="L850" s="4"/>
    </row>
    <row r="851" spans="1:12" outlineLevel="1">
      <c r="A851" s="4"/>
      <c r="B851" s="4"/>
      <c r="C851" s="4"/>
      <c r="D851" s="4"/>
      <c r="E851" s="4"/>
      <c r="F851" s="4"/>
      <c r="G851" s="4"/>
      <c r="H851" s="4"/>
      <c r="I851" s="4"/>
      <c r="J851" s="4"/>
      <c r="K851" s="4"/>
      <c r="L851" s="4"/>
    </row>
    <row r="852" spans="1:12" outlineLevel="1">
      <c r="A852" s="4"/>
      <c r="B852" s="4"/>
      <c r="C852" s="4"/>
      <c r="D852" s="4"/>
      <c r="E852" s="4"/>
      <c r="F852" s="4"/>
      <c r="G852" s="4"/>
      <c r="H852" s="4"/>
      <c r="I852" s="4"/>
      <c r="J852" s="4"/>
      <c r="K852" s="4"/>
      <c r="L852" s="4"/>
    </row>
    <row r="853" spans="1:12" outlineLevel="1">
      <c r="A853" s="4"/>
      <c r="B853" s="4"/>
      <c r="C853" s="4"/>
      <c r="D853" s="4"/>
      <c r="E853" s="4"/>
      <c r="F853" s="4"/>
      <c r="G853" s="4"/>
      <c r="H853" s="4"/>
      <c r="I853" s="4"/>
      <c r="J853" s="4"/>
      <c r="K853" s="4"/>
      <c r="L853" s="4"/>
    </row>
    <row r="854" spans="1:12" outlineLevel="1">
      <c r="A854" s="4"/>
      <c r="B854" s="4"/>
      <c r="C854" s="4"/>
      <c r="D854" s="4"/>
      <c r="E854" s="4"/>
      <c r="F854" s="4"/>
      <c r="G854" s="4"/>
      <c r="H854" s="4"/>
      <c r="I854" s="4"/>
      <c r="J854" s="4"/>
      <c r="K854" s="4"/>
      <c r="L854" s="4"/>
    </row>
    <row r="855" spans="1:12" outlineLevel="1">
      <c r="A855" s="4"/>
      <c r="B855" s="4"/>
      <c r="C855" s="4"/>
      <c r="D855" s="4"/>
      <c r="E855" s="4"/>
      <c r="F855" s="4"/>
      <c r="G855" s="4"/>
      <c r="H855" s="4"/>
      <c r="I855" s="4"/>
      <c r="J855" s="4"/>
      <c r="K855" s="4"/>
      <c r="L855" s="4"/>
    </row>
    <row r="856" spans="1:12" outlineLevel="1">
      <c r="A856" s="4"/>
      <c r="B856" s="4"/>
      <c r="C856" s="4"/>
      <c r="D856" s="4"/>
      <c r="E856" s="4"/>
      <c r="F856" s="4"/>
      <c r="G856" s="4"/>
      <c r="H856" s="4"/>
      <c r="I856" s="4"/>
      <c r="J856" s="4"/>
      <c r="K856" s="4"/>
      <c r="L856" s="4"/>
    </row>
    <row r="857" spans="1:12" outlineLevel="1">
      <c r="A857" s="4"/>
      <c r="B857" s="4"/>
      <c r="C857" s="4"/>
      <c r="D857" s="4"/>
      <c r="E857" s="4"/>
      <c r="F857" s="4"/>
      <c r="G857" s="4"/>
      <c r="H857" s="4"/>
      <c r="I857" s="4"/>
      <c r="J857" s="4"/>
      <c r="K857" s="4"/>
      <c r="L857" s="4"/>
    </row>
    <row r="858" spans="1:12" outlineLevel="1">
      <c r="A858" s="4"/>
      <c r="B858" s="4"/>
      <c r="C858" s="4"/>
      <c r="D858" s="4"/>
      <c r="E858" s="4"/>
      <c r="F858" s="4"/>
      <c r="G858" s="4"/>
      <c r="H858" s="4"/>
      <c r="I858" s="4"/>
      <c r="J858" s="4"/>
      <c r="K858" s="4"/>
      <c r="L858" s="4"/>
    </row>
    <row r="859" spans="1:12" outlineLevel="1">
      <c r="A859" s="4"/>
      <c r="B859" s="4"/>
      <c r="C859" s="4"/>
      <c r="D859" s="4"/>
      <c r="E859" s="4"/>
      <c r="F859" s="4"/>
      <c r="G859" s="4"/>
      <c r="H859" s="4"/>
      <c r="I859" s="4"/>
      <c r="J859" s="4"/>
      <c r="K859" s="4"/>
      <c r="L859" s="4"/>
    </row>
    <row r="860" spans="1:12" outlineLevel="1">
      <c r="A860" s="4"/>
      <c r="B860" s="4"/>
      <c r="C860" s="4"/>
      <c r="D860" s="4"/>
      <c r="E860" s="4"/>
      <c r="F860" s="4"/>
      <c r="G860" s="4"/>
      <c r="H860" s="4"/>
      <c r="I860" s="4"/>
      <c r="J860" s="4"/>
      <c r="K860" s="4"/>
      <c r="L860" s="4"/>
    </row>
    <row r="861" spans="1:12" outlineLevel="1">
      <c r="A861" s="4"/>
      <c r="B861" s="4"/>
      <c r="C861" s="4"/>
      <c r="D861" s="4"/>
      <c r="E861" s="4"/>
      <c r="F861" s="4"/>
      <c r="G861" s="4"/>
      <c r="H861" s="4"/>
      <c r="I861" s="4"/>
      <c r="J861" s="4"/>
      <c r="K861" s="4"/>
      <c r="L861" s="4"/>
    </row>
    <row r="862" spans="1:12" outlineLevel="1">
      <c r="A862" s="4"/>
      <c r="B862" s="4"/>
      <c r="C862" s="4"/>
      <c r="D862" s="4"/>
      <c r="E862" s="4"/>
      <c r="F862" s="4"/>
      <c r="G862" s="4"/>
      <c r="H862" s="4"/>
      <c r="I862" s="4"/>
      <c r="J862" s="4"/>
      <c r="K862" s="4"/>
      <c r="L862" s="4"/>
    </row>
    <row r="863" spans="1:12" outlineLevel="1">
      <c r="A863" s="4"/>
      <c r="B863" s="4"/>
      <c r="C863" s="4"/>
      <c r="D863" s="4"/>
      <c r="E863" s="4"/>
      <c r="F863" s="4"/>
      <c r="G863" s="4"/>
      <c r="H863" s="4"/>
      <c r="I863" s="4"/>
      <c r="J863" s="4"/>
      <c r="K863" s="4"/>
      <c r="L863" s="4"/>
    </row>
    <row r="864" spans="1:12" outlineLevel="1">
      <c r="A864" s="4"/>
      <c r="B864" s="4"/>
      <c r="C864" s="4"/>
      <c r="D864" s="4"/>
      <c r="E864" s="4"/>
      <c r="F864" s="4"/>
      <c r="G864" s="4"/>
      <c r="H864" s="4"/>
      <c r="I864" s="4"/>
      <c r="J864" s="4"/>
      <c r="K864" s="4"/>
      <c r="L864" s="4"/>
    </row>
    <row r="865" spans="1:12" outlineLevel="1">
      <c r="A865" s="4"/>
      <c r="B865" s="4"/>
      <c r="C865" s="4"/>
      <c r="D865" s="4"/>
      <c r="E865" s="4"/>
      <c r="F865" s="4"/>
      <c r="G865" s="4"/>
      <c r="H865" s="4"/>
      <c r="I865" s="4"/>
      <c r="J865" s="4"/>
      <c r="K865" s="4"/>
      <c r="L865" s="4"/>
    </row>
    <row r="866" spans="1:12" outlineLevel="1">
      <c r="A866" s="4"/>
      <c r="B866" s="4"/>
      <c r="C866" s="4"/>
      <c r="D866" s="4"/>
      <c r="E866" s="4"/>
      <c r="F866" s="4"/>
      <c r="G866" s="4"/>
      <c r="H866" s="4"/>
      <c r="I866" s="4"/>
      <c r="J866" s="4"/>
      <c r="K866" s="4"/>
      <c r="L866" s="4"/>
    </row>
    <row r="867" spans="1:12" outlineLevel="1">
      <c r="A867" s="4"/>
      <c r="B867" s="4"/>
      <c r="C867" s="4"/>
      <c r="D867" s="4"/>
      <c r="E867" s="4"/>
      <c r="F867" s="4"/>
      <c r="G867" s="4"/>
      <c r="H867" s="4"/>
      <c r="I867" s="4"/>
      <c r="J867" s="4"/>
      <c r="K867" s="4"/>
      <c r="L867" s="4"/>
    </row>
    <row r="868" spans="1:12" outlineLevel="1">
      <c r="A868" s="4"/>
      <c r="B868" s="4"/>
      <c r="C868" s="4"/>
      <c r="D868" s="4"/>
      <c r="E868" s="4"/>
      <c r="F868" s="4"/>
      <c r="G868" s="4"/>
      <c r="H868" s="4"/>
      <c r="I868" s="4"/>
      <c r="J868" s="4"/>
      <c r="K868" s="4"/>
      <c r="L868" s="4"/>
    </row>
    <row r="869" spans="1:12" outlineLevel="1">
      <c r="A869" s="4"/>
      <c r="B869" s="4"/>
      <c r="C869" s="4"/>
      <c r="D869" s="4"/>
      <c r="E869" s="4"/>
      <c r="F869" s="4"/>
      <c r="G869" s="4"/>
      <c r="H869" s="4"/>
      <c r="I869" s="4"/>
      <c r="J869" s="4"/>
      <c r="K869" s="4"/>
      <c r="L869" s="4"/>
    </row>
    <row r="870" spans="1:12" outlineLevel="1">
      <c r="A870" s="4"/>
      <c r="B870" s="4"/>
      <c r="C870" s="4"/>
      <c r="D870" s="4"/>
      <c r="E870" s="4"/>
      <c r="F870" s="4"/>
      <c r="G870" s="4"/>
      <c r="H870" s="4"/>
      <c r="I870" s="4"/>
      <c r="J870" s="4"/>
      <c r="K870" s="4"/>
      <c r="L870" s="4"/>
    </row>
    <row r="871" spans="1:12" outlineLevel="1">
      <c r="A871" s="4"/>
      <c r="B871" s="4"/>
      <c r="C871" s="4"/>
      <c r="D871" s="4"/>
      <c r="E871" s="4"/>
      <c r="F871" s="4"/>
      <c r="G871" s="4"/>
      <c r="H871" s="4"/>
      <c r="I871" s="4"/>
      <c r="J871" s="4"/>
      <c r="K871" s="4"/>
      <c r="L871" s="4"/>
    </row>
    <row r="872" spans="1:12" outlineLevel="1">
      <c r="A872" s="4"/>
      <c r="B872" s="4"/>
      <c r="C872" s="4"/>
      <c r="D872" s="4"/>
      <c r="E872" s="4"/>
      <c r="F872" s="4"/>
      <c r="G872" s="4"/>
      <c r="H872" s="4"/>
      <c r="I872" s="4"/>
      <c r="J872" s="4"/>
      <c r="K872" s="4"/>
      <c r="L872" s="4"/>
    </row>
    <row r="873" spans="1:12" outlineLevel="1">
      <c r="A873" s="4"/>
      <c r="B873" s="4"/>
      <c r="C873" s="4"/>
      <c r="D873" s="4"/>
      <c r="E873" s="4"/>
      <c r="F873" s="4"/>
      <c r="G873" s="4"/>
      <c r="H873" s="4"/>
      <c r="I873" s="4"/>
      <c r="J873" s="4"/>
      <c r="K873" s="4"/>
      <c r="L873" s="4"/>
    </row>
    <row r="874" spans="1:12" outlineLevel="1">
      <c r="A874" s="4"/>
      <c r="B874" s="4"/>
      <c r="C874" s="4"/>
      <c r="D874" s="4"/>
      <c r="E874" s="4"/>
      <c r="F874" s="4"/>
      <c r="G874" s="4"/>
      <c r="H874" s="4"/>
      <c r="I874" s="4"/>
      <c r="J874" s="4"/>
      <c r="K874" s="4"/>
      <c r="L874" s="4"/>
    </row>
    <row r="875" spans="1:12" outlineLevel="1">
      <c r="A875" s="4"/>
      <c r="B875" s="4"/>
      <c r="C875" s="4"/>
      <c r="D875" s="4"/>
      <c r="E875" s="4"/>
      <c r="F875" s="4"/>
      <c r="G875" s="4"/>
      <c r="H875" s="4"/>
      <c r="I875" s="4"/>
      <c r="J875" s="4"/>
      <c r="K875" s="4"/>
      <c r="L875" s="4"/>
    </row>
    <row r="876" spans="1:12" outlineLevel="1">
      <c r="A876" s="4"/>
      <c r="B876" s="4"/>
      <c r="C876" s="4"/>
      <c r="D876" s="4"/>
      <c r="E876" s="4"/>
      <c r="F876" s="4"/>
      <c r="G876" s="4"/>
      <c r="H876" s="4"/>
      <c r="I876" s="4"/>
      <c r="J876" s="4"/>
      <c r="K876" s="4"/>
      <c r="L876" s="4"/>
    </row>
    <row r="877" spans="1:12" outlineLevel="1">
      <c r="A877" s="4"/>
      <c r="B877" s="4"/>
      <c r="C877" s="4"/>
      <c r="D877" s="4"/>
      <c r="E877" s="4"/>
      <c r="F877" s="4"/>
      <c r="G877" s="4"/>
      <c r="H877" s="4"/>
      <c r="I877" s="4"/>
      <c r="J877" s="4"/>
      <c r="K877" s="4"/>
      <c r="L877" s="4"/>
    </row>
    <row r="878" spans="1:12">
      <c r="A878" s="4"/>
      <c r="B878" s="4"/>
      <c r="C878" s="4"/>
      <c r="D878" s="4"/>
      <c r="E878" s="4"/>
      <c r="F878" s="4"/>
      <c r="G878" s="4"/>
      <c r="H878" s="4"/>
      <c r="I878" s="4"/>
      <c r="J878" s="4"/>
      <c r="K878" s="4"/>
      <c r="L878" s="4"/>
    </row>
    <row r="879" spans="1:12">
      <c r="G879" s="209"/>
    </row>
    <row r="880" spans="1:12">
      <c r="G880" s="209"/>
    </row>
    <row r="881" spans="5:7">
      <c r="G881" s="209"/>
    </row>
    <row r="882" spans="5:7">
      <c r="G882" s="209"/>
    </row>
    <row r="883" spans="5:7">
      <c r="G883" s="209"/>
    </row>
    <row r="884" spans="5:7">
      <c r="E884" s="2"/>
      <c r="G884" s="209"/>
    </row>
    <row r="885" spans="5:7">
      <c r="E885" s="2"/>
      <c r="G885" s="209"/>
    </row>
    <row r="886" spans="5:7">
      <c r="E886" s="2"/>
      <c r="G886" s="209"/>
    </row>
    <row r="887" spans="5:7">
      <c r="E887" s="2"/>
      <c r="G887" s="209"/>
    </row>
    <row r="888" spans="5:7">
      <c r="E888" s="2"/>
      <c r="G888" s="209"/>
    </row>
    <row r="889" spans="5:7">
      <c r="E889" s="2"/>
      <c r="G889" s="209"/>
    </row>
    <row r="890" spans="5:7">
      <c r="E890" s="2"/>
      <c r="G890" s="209"/>
    </row>
    <row r="891" spans="5:7">
      <c r="E891" s="2"/>
      <c r="G891" s="209"/>
    </row>
    <row r="892" spans="5:7">
      <c r="E892" s="2"/>
      <c r="G892" s="209"/>
    </row>
    <row r="893" spans="5:7">
      <c r="E893" s="2"/>
      <c r="G893" s="209"/>
    </row>
    <row r="894" spans="5:7">
      <c r="E894" s="2"/>
      <c r="G894" s="209"/>
    </row>
    <row r="895" spans="5:7">
      <c r="E895" s="2"/>
      <c r="G895" s="209"/>
    </row>
    <row r="896" spans="5:7">
      <c r="E896" s="2"/>
      <c r="G896" s="209"/>
    </row>
    <row r="897" spans="5:7">
      <c r="E897" s="2"/>
      <c r="G897" s="209"/>
    </row>
    <row r="898" spans="5:7">
      <c r="E898" s="2"/>
      <c r="G898" s="209"/>
    </row>
    <row r="899" spans="5:7">
      <c r="E899" s="2"/>
      <c r="G899" s="209"/>
    </row>
    <row r="900" spans="5:7">
      <c r="E900" s="2"/>
      <c r="G900" s="209"/>
    </row>
    <row r="901" spans="5:7">
      <c r="E901" s="2"/>
      <c r="G901" s="209"/>
    </row>
    <row r="902" spans="5:7">
      <c r="E902" s="2"/>
      <c r="G902" s="209"/>
    </row>
    <row r="903" spans="5:7">
      <c r="E903" s="2"/>
      <c r="G903" s="209"/>
    </row>
    <row r="904" spans="5:7">
      <c r="E904" s="2"/>
      <c r="G904" s="209"/>
    </row>
    <row r="905" spans="5:7">
      <c r="E905" s="2"/>
      <c r="G905" s="209"/>
    </row>
    <row r="906" spans="5:7">
      <c r="E906" s="2"/>
      <c r="G906" s="209"/>
    </row>
    <row r="907" spans="5:7">
      <c r="E907" s="2"/>
      <c r="G907" s="209"/>
    </row>
    <row r="908" spans="5:7">
      <c r="E908" s="2"/>
      <c r="G908" s="209"/>
    </row>
    <row r="909" spans="5:7">
      <c r="E909" s="2"/>
      <c r="G909" s="209"/>
    </row>
    <row r="910" spans="5:7">
      <c r="E910" s="2"/>
      <c r="G910" s="209"/>
    </row>
    <row r="911" spans="5:7">
      <c r="E911" s="2"/>
      <c r="G911" s="209"/>
    </row>
    <row r="912" spans="5:7">
      <c r="E912" s="2"/>
      <c r="G912" s="209"/>
    </row>
    <row r="913" spans="5:7">
      <c r="E913" s="2"/>
      <c r="G913" s="209"/>
    </row>
    <row r="914" spans="5:7">
      <c r="E914" s="2"/>
      <c r="G914" s="209"/>
    </row>
    <row r="915" spans="5:7">
      <c r="E915" s="2"/>
      <c r="G915" s="209"/>
    </row>
    <row r="916" spans="5:7">
      <c r="E916" s="2"/>
      <c r="G916" s="209"/>
    </row>
    <row r="917" spans="5:7">
      <c r="E917" s="2"/>
      <c r="G917" s="209"/>
    </row>
    <row r="918" spans="5:7">
      <c r="E918" s="2"/>
      <c r="G918" s="209"/>
    </row>
    <row r="919" spans="5:7">
      <c r="E919" s="2"/>
      <c r="G919" s="209"/>
    </row>
    <row r="920" spans="5:7">
      <c r="E920" s="2"/>
      <c r="G920" s="209"/>
    </row>
    <row r="921" spans="5:7">
      <c r="E921" s="2"/>
      <c r="G921" s="209"/>
    </row>
    <row r="922" spans="5:7">
      <c r="E922" s="2"/>
      <c r="G922" s="209"/>
    </row>
    <row r="923" spans="5:7">
      <c r="E923" s="2"/>
      <c r="G923" s="209"/>
    </row>
    <row r="924" spans="5:7">
      <c r="E924" s="2"/>
      <c r="G924" s="209"/>
    </row>
    <row r="925" spans="5:7">
      <c r="E925" s="2"/>
      <c r="G925" s="209"/>
    </row>
    <row r="926" spans="5:7">
      <c r="E926" s="2"/>
      <c r="G926" s="209"/>
    </row>
    <row r="927" spans="5:7">
      <c r="E927" s="2"/>
      <c r="G927" s="209"/>
    </row>
    <row r="928" spans="5:7">
      <c r="E928" s="2"/>
      <c r="G928" s="209"/>
    </row>
    <row r="929" spans="5:7">
      <c r="E929" s="2"/>
      <c r="G929" s="209"/>
    </row>
    <row r="930" spans="5:7">
      <c r="E930" s="2"/>
      <c r="G930" s="209"/>
    </row>
    <row r="931" spans="5:7">
      <c r="E931" s="2"/>
      <c r="G931" s="209"/>
    </row>
    <row r="932" spans="5:7">
      <c r="E932" s="2"/>
      <c r="G932" s="209"/>
    </row>
    <row r="933" spans="5:7">
      <c r="E933" s="2"/>
      <c r="G933" s="209"/>
    </row>
    <row r="934" spans="5:7">
      <c r="E934" s="2"/>
      <c r="G934" s="209"/>
    </row>
    <row r="935" spans="5:7">
      <c r="E935" s="2"/>
      <c r="G935" s="209"/>
    </row>
    <row r="936" spans="5:7">
      <c r="E936" s="2"/>
      <c r="G936" s="209"/>
    </row>
    <row r="937" spans="5:7">
      <c r="E937" s="2"/>
      <c r="G937" s="209"/>
    </row>
    <row r="938" spans="5:7">
      <c r="E938" s="2"/>
      <c r="G938" s="209"/>
    </row>
    <row r="939" spans="5:7">
      <c r="E939" s="2"/>
      <c r="G939" s="209"/>
    </row>
    <row r="940" spans="5:7">
      <c r="E940" s="2"/>
      <c r="G940" s="209"/>
    </row>
    <row r="941" spans="5:7">
      <c r="E941" s="2"/>
      <c r="G941" s="209"/>
    </row>
    <row r="942" spans="5:7">
      <c r="E942" s="2"/>
      <c r="G942" s="209"/>
    </row>
    <row r="943" spans="5:7">
      <c r="E943" s="2"/>
      <c r="G943" s="209"/>
    </row>
    <row r="944" spans="5:7">
      <c r="E944" s="2"/>
      <c r="G944" s="209"/>
    </row>
    <row r="945" spans="5:7">
      <c r="E945" s="2"/>
      <c r="G945" s="209"/>
    </row>
    <row r="946" spans="5:7">
      <c r="E946" s="2"/>
      <c r="G946" s="209"/>
    </row>
    <row r="947" spans="5:7">
      <c r="E947" s="2"/>
      <c r="G947" s="209"/>
    </row>
    <row r="948" spans="5:7">
      <c r="E948" s="2"/>
      <c r="G948" s="209"/>
    </row>
    <row r="949" spans="5:7">
      <c r="E949" s="2"/>
      <c r="G949" s="209"/>
    </row>
    <row r="950" spans="5:7">
      <c r="E950" s="2"/>
      <c r="G950" s="209"/>
    </row>
    <row r="951" spans="5:7">
      <c r="E951" s="2"/>
      <c r="G951" s="209"/>
    </row>
    <row r="952" spans="5:7">
      <c r="E952" s="2"/>
      <c r="G952" s="209"/>
    </row>
    <row r="953" spans="5:7">
      <c r="E953" s="2"/>
      <c r="G953" s="209"/>
    </row>
    <row r="954" spans="5:7">
      <c r="E954" s="2"/>
      <c r="G954" s="209"/>
    </row>
    <row r="955" spans="5:7">
      <c r="E955" s="2"/>
      <c r="G955" s="209"/>
    </row>
    <row r="956" spans="5:7">
      <c r="E956" s="2"/>
      <c r="G956" s="209"/>
    </row>
    <row r="957" spans="5:7">
      <c r="E957" s="2"/>
      <c r="G957" s="209"/>
    </row>
    <row r="958" spans="5:7">
      <c r="E958" s="2"/>
      <c r="G958" s="209"/>
    </row>
    <row r="959" spans="5:7">
      <c r="E959" s="2"/>
      <c r="G959" s="209"/>
    </row>
    <row r="960" spans="5:7">
      <c r="E960" s="2"/>
      <c r="G960" s="209"/>
    </row>
    <row r="961" spans="5:7">
      <c r="E961" s="2"/>
      <c r="G961" s="209"/>
    </row>
    <row r="962" spans="5:7">
      <c r="E962" s="2"/>
      <c r="G962" s="209"/>
    </row>
    <row r="963" spans="5:7">
      <c r="E963" s="2"/>
      <c r="G963" s="209"/>
    </row>
    <row r="964" spans="5:7">
      <c r="E964" s="2"/>
      <c r="G964" s="209"/>
    </row>
    <row r="965" spans="5:7">
      <c r="E965" s="2"/>
      <c r="G965" s="209"/>
    </row>
    <row r="966" spans="5:7">
      <c r="E966" s="2"/>
      <c r="G966" s="209"/>
    </row>
    <row r="967" spans="5:7">
      <c r="E967" s="2"/>
      <c r="G967" s="209"/>
    </row>
    <row r="968" spans="5:7">
      <c r="E968" s="2"/>
      <c r="G968" s="209"/>
    </row>
    <row r="969" spans="5:7">
      <c r="E969" s="2"/>
      <c r="G969" s="209"/>
    </row>
    <row r="970" spans="5:7">
      <c r="E970" s="2"/>
      <c r="G970" s="209"/>
    </row>
    <row r="971" spans="5:7">
      <c r="E971" s="2"/>
      <c r="G971" s="209"/>
    </row>
    <row r="972" spans="5:7">
      <c r="E972" s="2"/>
      <c r="G972" s="209"/>
    </row>
    <row r="973" spans="5:7">
      <c r="E973" s="2"/>
      <c r="G973" s="209"/>
    </row>
    <row r="974" spans="5:7">
      <c r="E974" s="2"/>
      <c r="G974" s="209"/>
    </row>
    <row r="975" spans="5:7">
      <c r="E975" s="2"/>
      <c r="G975" s="209"/>
    </row>
    <row r="976" spans="5:7">
      <c r="E976" s="2"/>
      <c r="G976" s="209"/>
    </row>
    <row r="977" spans="5:7">
      <c r="E977" s="2"/>
      <c r="G977" s="209"/>
    </row>
    <row r="978" spans="5:7">
      <c r="E978" s="2"/>
      <c r="G978" s="209"/>
    </row>
    <row r="979" spans="5:7">
      <c r="E979" s="2"/>
      <c r="G979" s="209"/>
    </row>
    <row r="980" spans="5:7">
      <c r="E980" s="2"/>
      <c r="G980" s="209"/>
    </row>
    <row r="981" spans="5:7">
      <c r="E981" s="2"/>
      <c r="G981" s="209"/>
    </row>
    <row r="982" spans="5:7">
      <c r="E982" s="2"/>
      <c r="G982" s="209"/>
    </row>
    <row r="983" spans="5:7">
      <c r="E983" s="2"/>
      <c r="G983" s="209"/>
    </row>
    <row r="984" spans="5:7">
      <c r="E984" s="2"/>
      <c r="G984" s="209"/>
    </row>
    <row r="985" spans="5:7">
      <c r="E985" s="2"/>
      <c r="G985" s="209"/>
    </row>
    <row r="986" spans="5:7">
      <c r="E986" s="2"/>
      <c r="G986" s="209"/>
    </row>
    <row r="987" spans="5:7">
      <c r="E987" s="2"/>
      <c r="G987" s="209"/>
    </row>
    <row r="988" spans="5:7">
      <c r="E988" s="2"/>
      <c r="G988" s="209"/>
    </row>
    <row r="989" spans="5:7">
      <c r="E989" s="2"/>
      <c r="G989" s="209"/>
    </row>
    <row r="990" spans="5:7">
      <c r="E990" s="2"/>
      <c r="G990" s="209"/>
    </row>
    <row r="991" spans="5:7">
      <c r="E991" s="2"/>
      <c r="G991" s="209"/>
    </row>
    <row r="992" spans="5:7">
      <c r="E992" s="2"/>
      <c r="G992" s="209"/>
    </row>
    <row r="993" spans="5:7">
      <c r="E993" s="2"/>
      <c r="G993" s="209"/>
    </row>
    <row r="994" spans="5:7">
      <c r="E994" s="2"/>
      <c r="G994" s="209"/>
    </row>
    <row r="995" spans="5:7">
      <c r="E995" s="2"/>
      <c r="G995" s="209"/>
    </row>
    <row r="996" spans="5:7">
      <c r="E996" s="2"/>
      <c r="G996" s="209"/>
    </row>
    <row r="997" spans="5:7">
      <c r="E997" s="2"/>
      <c r="G997" s="209"/>
    </row>
    <row r="998" spans="5:7">
      <c r="E998" s="2"/>
      <c r="G998" s="209"/>
    </row>
    <row r="999" spans="5:7">
      <c r="E999" s="2"/>
      <c r="G999" s="209"/>
    </row>
    <row r="1000" spans="5:7">
      <c r="E1000" s="2"/>
      <c r="G1000" s="209"/>
    </row>
    <row r="1001" spans="5:7">
      <c r="E1001" s="2"/>
      <c r="G1001" s="209"/>
    </row>
    <row r="1002" spans="5:7">
      <c r="E1002" s="2"/>
      <c r="G1002" s="209"/>
    </row>
    <row r="1003" spans="5:7">
      <c r="E1003" s="2"/>
      <c r="G1003" s="209"/>
    </row>
    <row r="1004" spans="5:7">
      <c r="E1004" s="2"/>
      <c r="G1004" s="209"/>
    </row>
    <row r="1005" spans="5:7">
      <c r="E1005" s="2"/>
      <c r="G1005" s="209"/>
    </row>
    <row r="1006" spans="5:7">
      <c r="E1006" s="2"/>
      <c r="G1006" s="209"/>
    </row>
    <row r="1007" spans="5:7">
      <c r="E1007" s="2"/>
      <c r="G1007" s="209"/>
    </row>
    <row r="1008" spans="5:7">
      <c r="E1008" s="2"/>
      <c r="G1008" s="209"/>
    </row>
    <row r="1009" spans="5:7">
      <c r="E1009" s="2"/>
      <c r="G1009" s="209"/>
    </row>
    <row r="1010" spans="5:7">
      <c r="E1010" s="2"/>
      <c r="G1010" s="209"/>
    </row>
    <row r="1011" spans="5:7">
      <c r="E1011" s="2"/>
      <c r="G1011" s="209"/>
    </row>
    <row r="1012" spans="5:7">
      <c r="E1012" s="2"/>
      <c r="G1012" s="209"/>
    </row>
    <row r="1013" spans="5:7">
      <c r="E1013" s="2"/>
      <c r="G1013" s="209"/>
    </row>
    <row r="1014" spans="5:7">
      <c r="E1014" s="2"/>
      <c r="G1014" s="209"/>
    </row>
    <row r="1015" spans="5:7">
      <c r="E1015" s="2"/>
      <c r="G1015" s="209"/>
    </row>
    <row r="1016" spans="5:7">
      <c r="E1016" s="2"/>
      <c r="G1016" s="209"/>
    </row>
    <row r="1017" spans="5:7">
      <c r="E1017" s="2"/>
      <c r="G1017" s="209"/>
    </row>
    <row r="1018" spans="5:7">
      <c r="E1018" s="2"/>
      <c r="G1018" s="209"/>
    </row>
    <row r="1019" spans="5:7">
      <c r="E1019" s="2"/>
      <c r="G1019" s="209"/>
    </row>
    <row r="1020" spans="5:7">
      <c r="E1020" s="2"/>
      <c r="G1020" s="209"/>
    </row>
    <row r="1021" spans="5:7">
      <c r="E1021" s="2"/>
      <c r="G1021" s="209"/>
    </row>
    <row r="1022" spans="5:7">
      <c r="E1022" s="2"/>
      <c r="G1022" s="209"/>
    </row>
    <row r="1023" spans="5:7">
      <c r="E1023" s="2"/>
      <c r="G1023" s="209"/>
    </row>
    <row r="1024" spans="5:7">
      <c r="E1024" s="2"/>
      <c r="G1024" s="209"/>
    </row>
    <row r="1025" spans="5:7">
      <c r="E1025" s="2"/>
      <c r="G1025" s="209"/>
    </row>
    <row r="1026" spans="5:7">
      <c r="E1026" s="2"/>
      <c r="G1026" s="209"/>
    </row>
    <row r="1027" spans="5:7">
      <c r="E1027" s="2"/>
      <c r="G1027" s="209"/>
    </row>
    <row r="1028" spans="5:7">
      <c r="E1028" s="2"/>
      <c r="G1028" s="209"/>
    </row>
    <row r="1029" spans="5:7">
      <c r="E1029" s="2"/>
      <c r="G1029" s="209"/>
    </row>
    <row r="1030" spans="5:7">
      <c r="E1030" s="2"/>
      <c r="G1030" s="209"/>
    </row>
    <row r="1031" spans="5:7">
      <c r="E1031" s="2"/>
      <c r="G1031" s="209"/>
    </row>
    <row r="1032" spans="5:7">
      <c r="E1032" s="2"/>
      <c r="G1032" s="209"/>
    </row>
    <row r="1033" spans="5:7">
      <c r="E1033" s="2"/>
      <c r="G1033" s="209"/>
    </row>
    <row r="1034" spans="5:7">
      <c r="E1034" s="2"/>
      <c r="G1034" s="209"/>
    </row>
    <row r="1035" spans="5:7">
      <c r="E1035" s="2"/>
      <c r="G1035" s="209"/>
    </row>
    <row r="1036" spans="5:7">
      <c r="E1036" s="2"/>
      <c r="G1036" s="209"/>
    </row>
    <row r="1037" spans="5:7">
      <c r="E1037" s="2"/>
      <c r="G1037" s="209"/>
    </row>
    <row r="1038" spans="5:7">
      <c r="E1038" s="2"/>
      <c r="G1038" s="209"/>
    </row>
    <row r="1039" spans="5:7">
      <c r="E1039" s="2"/>
      <c r="G1039" s="209"/>
    </row>
    <row r="1040" spans="5:7">
      <c r="E1040" s="2"/>
      <c r="G1040" s="209"/>
    </row>
    <row r="1041" spans="5:7">
      <c r="E1041" s="2"/>
      <c r="G1041" s="209"/>
    </row>
    <row r="1042" spans="5:7">
      <c r="E1042" s="2"/>
      <c r="G1042" s="209"/>
    </row>
    <row r="1043" spans="5:7">
      <c r="E1043" s="2"/>
      <c r="G1043" s="209"/>
    </row>
    <row r="1044" spans="5:7">
      <c r="E1044" s="2"/>
      <c r="G1044" s="209"/>
    </row>
    <row r="1045" spans="5:7">
      <c r="E1045" s="2"/>
      <c r="G1045" s="209"/>
    </row>
    <row r="1046" spans="5:7">
      <c r="E1046" s="2"/>
      <c r="G1046" s="209"/>
    </row>
    <row r="1047" spans="5:7">
      <c r="E1047" s="2"/>
      <c r="G1047" s="209"/>
    </row>
    <row r="1048" spans="5:7">
      <c r="E1048" s="2"/>
      <c r="G1048" s="209"/>
    </row>
    <row r="1049" spans="5:7">
      <c r="E1049" s="2"/>
      <c r="G1049" s="209"/>
    </row>
    <row r="1050" spans="5:7">
      <c r="E1050" s="2"/>
      <c r="G1050" s="209"/>
    </row>
    <row r="1051" spans="5:7">
      <c r="E1051" s="2"/>
      <c r="G1051" s="209"/>
    </row>
    <row r="1052" spans="5:7">
      <c r="E1052" s="2"/>
      <c r="G1052" s="209"/>
    </row>
    <row r="1053" spans="5:7">
      <c r="E1053" s="2"/>
      <c r="G1053" s="209"/>
    </row>
    <row r="1054" spans="5:7">
      <c r="E1054" s="2"/>
      <c r="G1054" s="209"/>
    </row>
    <row r="1055" spans="5:7">
      <c r="E1055" s="2"/>
      <c r="G1055" s="209"/>
    </row>
    <row r="1056" spans="5:7">
      <c r="E1056" s="2"/>
      <c r="G1056" s="209"/>
    </row>
    <row r="1057" spans="5:7">
      <c r="E1057" s="2"/>
      <c r="G1057" s="209"/>
    </row>
    <row r="1058" spans="5:7">
      <c r="E1058" s="2"/>
      <c r="G1058" s="209"/>
    </row>
    <row r="1059" spans="5:7">
      <c r="E1059" s="2"/>
      <c r="G1059" s="209"/>
    </row>
    <row r="1060" spans="5:7">
      <c r="E1060" s="2"/>
      <c r="G1060" s="209"/>
    </row>
    <row r="1061" spans="5:7">
      <c r="E1061" s="2"/>
      <c r="G1061" s="209"/>
    </row>
    <row r="1062" spans="5:7">
      <c r="E1062" s="2"/>
      <c r="G1062" s="209"/>
    </row>
    <row r="1063" spans="5:7">
      <c r="E1063" s="2"/>
      <c r="G1063" s="209"/>
    </row>
    <row r="1064" spans="5:7">
      <c r="E1064" s="2"/>
      <c r="G1064" s="209"/>
    </row>
    <row r="1065" spans="5:7">
      <c r="E1065" s="2"/>
      <c r="G1065" s="209"/>
    </row>
    <row r="1066" spans="5:7">
      <c r="E1066" s="2"/>
      <c r="G1066" s="209"/>
    </row>
    <row r="1067" spans="5:7">
      <c r="E1067" s="2"/>
      <c r="G1067" s="209"/>
    </row>
    <row r="1068" spans="5:7">
      <c r="E1068" s="2"/>
      <c r="G1068" s="209"/>
    </row>
    <row r="1069" spans="5:7">
      <c r="E1069" s="2"/>
      <c r="G1069" s="209"/>
    </row>
    <row r="1070" spans="5:7">
      <c r="E1070" s="2"/>
      <c r="G1070" s="209"/>
    </row>
    <row r="1071" spans="5:7">
      <c r="E1071" s="2"/>
      <c r="G1071" s="209"/>
    </row>
    <row r="1072" spans="5:7">
      <c r="E1072" s="2"/>
      <c r="G1072" s="209"/>
    </row>
    <row r="1073" spans="5:7">
      <c r="E1073" s="2"/>
      <c r="G1073" s="209"/>
    </row>
    <row r="1074" spans="5:7">
      <c r="E1074" s="2"/>
      <c r="G1074" s="209"/>
    </row>
    <row r="1075" spans="5:7">
      <c r="E1075" s="2"/>
      <c r="G1075" s="209"/>
    </row>
    <row r="1076" spans="5:7">
      <c r="E1076" s="2"/>
      <c r="G1076" s="209"/>
    </row>
    <row r="1077" spans="5:7">
      <c r="E1077" s="2"/>
      <c r="G1077" s="209"/>
    </row>
    <row r="1078" spans="5:7">
      <c r="E1078" s="2"/>
      <c r="G1078" s="209"/>
    </row>
    <row r="1079" spans="5:7">
      <c r="E1079" s="2"/>
      <c r="G1079" s="209"/>
    </row>
    <row r="1080" spans="5:7">
      <c r="E1080" s="2"/>
      <c r="G1080" s="209"/>
    </row>
    <row r="1081" spans="5:7">
      <c r="E1081" s="2"/>
      <c r="G1081" s="209"/>
    </row>
    <row r="1082" spans="5:7">
      <c r="E1082" s="2"/>
      <c r="G1082" s="209"/>
    </row>
    <row r="1083" spans="5:7">
      <c r="E1083" s="2"/>
      <c r="G1083" s="209"/>
    </row>
    <row r="1084" spans="5:7">
      <c r="E1084" s="2"/>
      <c r="G1084" s="209"/>
    </row>
    <row r="1085" spans="5:7">
      <c r="E1085" s="2"/>
      <c r="G1085" s="209"/>
    </row>
    <row r="1086" spans="5:7">
      <c r="E1086" s="2"/>
      <c r="G1086" s="209"/>
    </row>
    <row r="1087" spans="5:7">
      <c r="E1087" s="2"/>
      <c r="G1087" s="209"/>
    </row>
    <row r="1088" spans="5:7">
      <c r="E1088" s="2"/>
      <c r="G1088" s="209"/>
    </row>
    <row r="1089" spans="5:7">
      <c r="E1089" s="2"/>
      <c r="G1089" s="209"/>
    </row>
    <row r="1090" spans="5:7">
      <c r="E1090" s="2"/>
      <c r="G1090" s="209"/>
    </row>
    <row r="1091" spans="5:7">
      <c r="E1091" s="2"/>
      <c r="G1091" s="209"/>
    </row>
    <row r="1092" spans="5:7">
      <c r="E1092" s="2"/>
      <c r="G1092" s="209"/>
    </row>
    <row r="1093" spans="5:7">
      <c r="E1093" s="2"/>
      <c r="G1093" s="209"/>
    </row>
    <row r="1094" spans="5:7">
      <c r="E1094" s="2"/>
      <c r="G1094" s="209"/>
    </row>
    <row r="1095" spans="5:7">
      <c r="E1095" s="2"/>
      <c r="G1095" s="209"/>
    </row>
    <row r="1096" spans="5:7">
      <c r="E1096" s="2"/>
      <c r="G1096" s="209"/>
    </row>
    <row r="1097" spans="5:7">
      <c r="E1097" s="2"/>
      <c r="G1097" s="209"/>
    </row>
    <row r="1098" spans="5:7">
      <c r="E1098" s="2"/>
      <c r="G1098" s="209"/>
    </row>
    <row r="1099" spans="5:7">
      <c r="E1099" s="2"/>
      <c r="G1099" s="209"/>
    </row>
    <row r="1100" spans="5:7">
      <c r="E1100" s="2"/>
      <c r="G1100" s="209"/>
    </row>
    <row r="1101" spans="5:7">
      <c r="E1101" s="2"/>
      <c r="G1101" s="209"/>
    </row>
    <row r="1102" spans="5:7">
      <c r="E1102" s="2"/>
      <c r="G1102" s="209"/>
    </row>
    <row r="1103" spans="5:7">
      <c r="E1103" s="2"/>
      <c r="G1103" s="209"/>
    </row>
    <row r="1104" spans="5:7">
      <c r="E1104" s="2"/>
      <c r="G1104" s="209"/>
    </row>
    <row r="1105" spans="5:7">
      <c r="E1105" s="2"/>
      <c r="G1105" s="209"/>
    </row>
    <row r="1106" spans="5:7">
      <c r="E1106" s="2"/>
      <c r="G1106" s="209"/>
    </row>
    <row r="1107" spans="5:7">
      <c r="E1107" s="2"/>
      <c r="G1107" s="209"/>
    </row>
    <row r="1108" spans="5:7">
      <c r="E1108" s="2"/>
      <c r="G1108" s="209"/>
    </row>
    <row r="1109" spans="5:7">
      <c r="E1109" s="2"/>
      <c r="G1109" s="209"/>
    </row>
    <row r="1110" spans="5:7">
      <c r="E1110" s="2"/>
      <c r="G1110" s="209"/>
    </row>
    <row r="1111" spans="5:7">
      <c r="E1111" s="2"/>
      <c r="G1111" s="209"/>
    </row>
    <row r="1112" spans="5:7">
      <c r="E1112" s="2"/>
      <c r="G1112" s="209"/>
    </row>
    <row r="1113" spans="5:7">
      <c r="E1113" s="2"/>
      <c r="G1113" s="209"/>
    </row>
    <row r="1114" spans="5:7">
      <c r="E1114" s="2"/>
      <c r="G1114" s="209"/>
    </row>
    <row r="1115" spans="5:7">
      <c r="E1115" s="2"/>
      <c r="G1115" s="209"/>
    </row>
    <row r="1116" spans="5:7">
      <c r="E1116" s="2"/>
      <c r="G1116" s="209"/>
    </row>
    <row r="1117" spans="5:7">
      <c r="E1117" s="2"/>
      <c r="G1117" s="209"/>
    </row>
    <row r="1118" spans="5:7">
      <c r="E1118" s="2"/>
      <c r="G1118" s="209"/>
    </row>
    <row r="1119" spans="5:7">
      <c r="E1119" s="2"/>
      <c r="G1119" s="209"/>
    </row>
    <row r="1120" spans="5:7">
      <c r="E1120" s="2"/>
      <c r="G1120" s="209"/>
    </row>
    <row r="1121" spans="5:7">
      <c r="E1121" s="2"/>
      <c r="G1121" s="209"/>
    </row>
    <row r="1122" spans="5:7">
      <c r="E1122" s="2"/>
      <c r="G1122" s="209"/>
    </row>
    <row r="1123" spans="5:7">
      <c r="E1123" s="2"/>
      <c r="G1123" s="209"/>
    </row>
    <row r="1124" spans="5:7">
      <c r="E1124" s="2"/>
      <c r="G1124" s="209"/>
    </row>
    <row r="1125" spans="5:7">
      <c r="E1125" s="2"/>
      <c r="G1125" s="209"/>
    </row>
    <row r="1126" spans="5:7">
      <c r="E1126" s="2"/>
      <c r="G1126" s="209"/>
    </row>
    <row r="1127" spans="5:7">
      <c r="E1127" s="2"/>
      <c r="G1127" s="209"/>
    </row>
    <row r="1128" spans="5:7">
      <c r="E1128" s="2"/>
      <c r="G1128" s="209"/>
    </row>
    <row r="1129" spans="5:7">
      <c r="E1129" s="2"/>
      <c r="G1129" s="209"/>
    </row>
    <row r="1130" spans="5:7">
      <c r="E1130" s="2"/>
      <c r="G1130" s="209"/>
    </row>
    <row r="1131" spans="5:7">
      <c r="E1131" s="2"/>
      <c r="G1131" s="209"/>
    </row>
    <row r="1132" spans="5:7">
      <c r="E1132" s="2"/>
      <c r="G1132" s="209"/>
    </row>
    <row r="1133" spans="5:7">
      <c r="E1133" s="2"/>
      <c r="G1133" s="209"/>
    </row>
    <row r="1134" spans="5:7">
      <c r="E1134" s="2"/>
      <c r="G1134" s="209"/>
    </row>
    <row r="1135" spans="5:7">
      <c r="E1135" s="2"/>
      <c r="G1135" s="209"/>
    </row>
    <row r="1136" spans="5:7">
      <c r="E1136" s="2"/>
      <c r="G1136" s="209"/>
    </row>
    <row r="1137" spans="5:7">
      <c r="E1137" s="2"/>
      <c r="G1137" s="209"/>
    </row>
    <row r="1138" spans="5:7">
      <c r="E1138" s="2"/>
      <c r="G1138" s="209"/>
    </row>
    <row r="1139" spans="5:7">
      <c r="E1139" s="2"/>
      <c r="G1139" s="209"/>
    </row>
    <row r="1140" spans="5:7">
      <c r="E1140" s="2"/>
      <c r="G1140" s="209"/>
    </row>
    <row r="1141" spans="5:7">
      <c r="E1141" s="2"/>
      <c r="G1141" s="209"/>
    </row>
    <row r="1142" spans="5:7">
      <c r="E1142" s="2"/>
      <c r="G1142" s="209"/>
    </row>
    <row r="1143" spans="5:7">
      <c r="E1143" s="2"/>
      <c r="G1143" s="209"/>
    </row>
    <row r="1144" spans="5:7">
      <c r="E1144" s="2"/>
      <c r="G1144" s="209"/>
    </row>
    <row r="1145" spans="5:7">
      <c r="E1145" s="2"/>
      <c r="G1145" s="209"/>
    </row>
    <row r="1146" spans="5:7">
      <c r="E1146" s="2"/>
      <c r="G1146" s="209"/>
    </row>
    <row r="1147" spans="5:7">
      <c r="E1147" s="2"/>
      <c r="G1147" s="209"/>
    </row>
    <row r="1148" spans="5:7">
      <c r="E1148" s="2"/>
      <c r="G1148" s="209"/>
    </row>
    <row r="1149" spans="5:7">
      <c r="E1149" s="2"/>
      <c r="G1149" s="209"/>
    </row>
    <row r="1150" spans="5:7">
      <c r="E1150" s="2"/>
      <c r="G1150" s="209"/>
    </row>
    <row r="1151" spans="5:7">
      <c r="E1151" s="2"/>
      <c r="G1151" s="209"/>
    </row>
    <row r="1152" spans="5:7">
      <c r="E1152" s="2"/>
      <c r="G1152" s="209"/>
    </row>
    <row r="1153" spans="5:7">
      <c r="E1153" s="2"/>
      <c r="G1153" s="209"/>
    </row>
    <row r="1154" spans="5:7">
      <c r="E1154" s="2"/>
      <c r="G1154" s="209"/>
    </row>
    <row r="1155" spans="5:7">
      <c r="E1155" s="2"/>
      <c r="G1155" s="209"/>
    </row>
    <row r="1156" spans="5:7">
      <c r="E1156" s="2"/>
      <c r="G1156" s="209"/>
    </row>
    <row r="1157" spans="5:7">
      <c r="E1157" s="2"/>
      <c r="G1157" s="209"/>
    </row>
    <row r="1158" spans="5:7">
      <c r="E1158" s="2"/>
      <c r="G1158" s="209"/>
    </row>
    <row r="1159" spans="5:7">
      <c r="E1159" s="2"/>
      <c r="G1159" s="209"/>
    </row>
    <row r="1160" spans="5:7">
      <c r="E1160" s="2"/>
      <c r="G1160" s="209"/>
    </row>
    <row r="1161" spans="5:7">
      <c r="E1161" s="2"/>
      <c r="G1161" s="209"/>
    </row>
    <row r="1162" spans="5:7">
      <c r="E1162" s="2"/>
      <c r="G1162" s="209"/>
    </row>
    <row r="1163" spans="5:7">
      <c r="E1163" s="2"/>
      <c r="G1163" s="209"/>
    </row>
    <row r="1164" spans="5:7">
      <c r="E1164" s="2"/>
      <c r="G1164" s="209"/>
    </row>
    <row r="1165" spans="5:7">
      <c r="E1165" s="2"/>
      <c r="G1165" s="209"/>
    </row>
    <row r="1166" spans="5:7">
      <c r="E1166" s="2"/>
      <c r="G1166" s="209"/>
    </row>
    <row r="1167" spans="5:7">
      <c r="E1167" s="2"/>
      <c r="G1167" s="209"/>
    </row>
    <row r="1168" spans="5:7">
      <c r="E1168" s="2"/>
      <c r="G1168" s="209"/>
    </row>
    <row r="1169" spans="5:7">
      <c r="E1169" s="2"/>
      <c r="G1169" s="209"/>
    </row>
    <row r="1170" spans="5:7">
      <c r="E1170" s="2"/>
      <c r="G1170" s="209"/>
    </row>
    <row r="1171" spans="5:7">
      <c r="E1171" s="2"/>
      <c r="G1171" s="209"/>
    </row>
    <row r="1172" spans="5:7">
      <c r="E1172" s="2"/>
      <c r="G1172" s="209"/>
    </row>
    <row r="1173" spans="5:7">
      <c r="E1173" s="2"/>
      <c r="G1173" s="209"/>
    </row>
    <row r="1174" spans="5:7">
      <c r="E1174" s="2"/>
      <c r="G1174" s="209"/>
    </row>
    <row r="1175" spans="5:7">
      <c r="E1175" s="2"/>
      <c r="G1175" s="209"/>
    </row>
    <row r="1176" spans="5:7">
      <c r="E1176" s="2"/>
      <c r="G1176" s="209"/>
    </row>
    <row r="1177" spans="5:7">
      <c r="E1177" s="2"/>
      <c r="G1177" s="209"/>
    </row>
    <row r="1178" spans="5:7">
      <c r="E1178" s="2"/>
      <c r="G1178" s="209"/>
    </row>
    <row r="1179" spans="5:7">
      <c r="E1179" s="2"/>
      <c r="G1179" s="209"/>
    </row>
    <row r="1180" spans="5:7">
      <c r="E1180" s="2"/>
      <c r="G1180" s="209"/>
    </row>
    <row r="1181" spans="5:7">
      <c r="E1181" s="2"/>
      <c r="G1181" s="209"/>
    </row>
    <row r="1182" spans="5:7">
      <c r="E1182" s="2"/>
      <c r="G1182" s="209"/>
    </row>
    <row r="1183" spans="5:7">
      <c r="E1183" s="2"/>
      <c r="G1183" s="209"/>
    </row>
    <row r="1184" spans="5:7">
      <c r="E1184" s="2"/>
      <c r="G1184" s="209"/>
    </row>
    <row r="1185" spans="5:7">
      <c r="E1185" s="2"/>
      <c r="G1185" s="209"/>
    </row>
    <row r="1186" spans="5:7">
      <c r="E1186" s="2"/>
      <c r="G1186" s="209"/>
    </row>
    <row r="1187" spans="5:7">
      <c r="E1187" s="2"/>
      <c r="G1187" s="209"/>
    </row>
    <row r="1188" spans="5:7">
      <c r="E1188" s="2"/>
      <c r="G1188" s="209"/>
    </row>
    <row r="1189" spans="5:7">
      <c r="E1189" s="2"/>
      <c r="G1189" s="209"/>
    </row>
    <row r="1190" spans="5:7">
      <c r="E1190" s="2"/>
      <c r="G1190" s="209"/>
    </row>
    <row r="1191" spans="5:7">
      <c r="E1191" s="2"/>
      <c r="G1191" s="209"/>
    </row>
    <row r="1192" spans="5:7">
      <c r="E1192" s="2"/>
      <c r="G1192" s="209"/>
    </row>
    <row r="1193" spans="5:7">
      <c r="E1193" s="2"/>
      <c r="G1193" s="209"/>
    </row>
    <row r="1194" spans="5:7">
      <c r="E1194" s="2"/>
      <c r="G1194" s="209"/>
    </row>
    <row r="1195" spans="5:7">
      <c r="E1195" s="2"/>
      <c r="G1195" s="209"/>
    </row>
    <row r="1196" spans="5:7">
      <c r="E1196" s="2"/>
      <c r="G1196" s="209"/>
    </row>
    <row r="1197" spans="5:7">
      <c r="E1197" s="2"/>
      <c r="G1197" s="209"/>
    </row>
    <row r="1198" spans="5:7">
      <c r="E1198" s="2"/>
      <c r="G1198" s="209"/>
    </row>
    <row r="1199" spans="5:7">
      <c r="E1199" s="2"/>
      <c r="G1199" s="209"/>
    </row>
    <row r="1200" spans="5:7">
      <c r="E1200" s="2"/>
      <c r="G1200" s="209"/>
    </row>
    <row r="1201" spans="5:7">
      <c r="E1201" s="2"/>
      <c r="G1201" s="209"/>
    </row>
    <row r="1202" spans="5:7">
      <c r="E1202" s="2"/>
      <c r="G1202" s="209"/>
    </row>
    <row r="1203" spans="5:7">
      <c r="E1203" s="2"/>
      <c r="G1203" s="209"/>
    </row>
    <row r="1204" spans="5:7">
      <c r="E1204" s="2"/>
      <c r="G1204" s="209"/>
    </row>
    <row r="1205" spans="5:7">
      <c r="E1205" s="2"/>
      <c r="G1205" s="209"/>
    </row>
    <row r="1206" spans="5:7">
      <c r="E1206" s="2"/>
      <c r="G1206" s="209"/>
    </row>
    <row r="1207" spans="5:7">
      <c r="E1207" s="2"/>
      <c r="G1207" s="209"/>
    </row>
    <row r="1208" spans="5:7">
      <c r="E1208" s="2"/>
      <c r="G1208" s="209"/>
    </row>
    <row r="1209" spans="5:7">
      <c r="E1209" s="2"/>
      <c r="G1209" s="209"/>
    </row>
    <row r="1210" spans="5:7">
      <c r="E1210" s="2"/>
      <c r="G1210" s="209"/>
    </row>
    <row r="1211" spans="5:7">
      <c r="E1211" s="2"/>
      <c r="G1211" s="209"/>
    </row>
    <row r="1212" spans="5:7">
      <c r="E1212" s="2"/>
      <c r="G1212" s="209"/>
    </row>
    <row r="1213" spans="5:7">
      <c r="E1213" s="2"/>
      <c r="G1213" s="209"/>
    </row>
    <row r="1214" spans="5:7">
      <c r="E1214" s="2"/>
      <c r="G1214" s="209"/>
    </row>
    <row r="1215" spans="5:7">
      <c r="E1215" s="2"/>
      <c r="G1215" s="209"/>
    </row>
    <row r="1216" spans="5:7">
      <c r="E1216" s="2"/>
      <c r="G1216" s="209"/>
    </row>
    <row r="1217" spans="5:7">
      <c r="E1217" s="2"/>
      <c r="G1217" s="209"/>
    </row>
    <row r="1218" spans="5:7">
      <c r="E1218" s="2"/>
      <c r="G1218" s="209"/>
    </row>
    <row r="1219" spans="5:7">
      <c r="E1219" s="2"/>
      <c r="G1219" s="209"/>
    </row>
    <row r="1220" spans="5:7">
      <c r="E1220" s="2"/>
      <c r="G1220" s="209"/>
    </row>
    <row r="1221" spans="5:7">
      <c r="E1221" s="2"/>
      <c r="G1221" s="209"/>
    </row>
    <row r="1222" spans="5:7">
      <c r="E1222" s="2"/>
      <c r="G1222" s="209"/>
    </row>
    <row r="1223" spans="5:7">
      <c r="E1223" s="2"/>
      <c r="G1223" s="209"/>
    </row>
    <row r="1224" spans="5:7">
      <c r="E1224" s="2"/>
      <c r="G1224" s="209"/>
    </row>
    <row r="1225" spans="5:7">
      <c r="E1225" s="2"/>
      <c r="G1225" s="209"/>
    </row>
    <row r="1226" spans="5:7">
      <c r="E1226" s="2"/>
      <c r="G1226" s="209"/>
    </row>
    <row r="1227" spans="5:7">
      <c r="E1227" s="2"/>
      <c r="G1227" s="209"/>
    </row>
    <row r="1228" spans="5:7">
      <c r="E1228" s="2"/>
      <c r="G1228" s="209"/>
    </row>
    <row r="1229" spans="5:7">
      <c r="E1229" s="2"/>
      <c r="G1229" s="209"/>
    </row>
    <row r="1230" spans="5:7">
      <c r="E1230" s="2"/>
      <c r="G1230" s="209"/>
    </row>
    <row r="1231" spans="5:7">
      <c r="E1231" s="2"/>
      <c r="G1231" s="209"/>
    </row>
    <row r="1232" spans="5:7">
      <c r="E1232" s="2"/>
      <c r="G1232" s="209"/>
    </row>
    <row r="1233" spans="5:7">
      <c r="E1233" s="2"/>
      <c r="G1233" s="209"/>
    </row>
    <row r="1234" spans="5:7">
      <c r="E1234" s="2"/>
      <c r="G1234" s="209"/>
    </row>
    <row r="1235" spans="5:7">
      <c r="E1235" s="2"/>
      <c r="G1235" s="209"/>
    </row>
    <row r="1236" spans="5:7">
      <c r="E1236" s="2"/>
      <c r="G1236" s="209"/>
    </row>
    <row r="1237" spans="5:7">
      <c r="E1237" s="2"/>
      <c r="G1237" s="209"/>
    </row>
    <row r="1238" spans="5:7">
      <c r="E1238" s="2"/>
      <c r="G1238" s="209"/>
    </row>
    <row r="1239" spans="5:7">
      <c r="E1239" s="2"/>
      <c r="G1239" s="209"/>
    </row>
    <row r="1240" spans="5:7">
      <c r="E1240" s="2"/>
      <c r="G1240" s="209"/>
    </row>
    <row r="1241" spans="5:7">
      <c r="E1241" s="2"/>
      <c r="G1241" s="209"/>
    </row>
    <row r="1242" spans="5:7">
      <c r="E1242" s="2"/>
      <c r="G1242" s="209"/>
    </row>
    <row r="1243" spans="5:7">
      <c r="E1243" s="2"/>
      <c r="G1243" s="209"/>
    </row>
    <row r="1244" spans="5:7">
      <c r="E1244" s="2"/>
      <c r="G1244" s="209"/>
    </row>
    <row r="1245" spans="5:7">
      <c r="E1245" s="2"/>
      <c r="G1245" s="209"/>
    </row>
    <row r="1246" spans="5:7">
      <c r="E1246" s="2"/>
      <c r="G1246" s="209"/>
    </row>
    <row r="1247" spans="5:7">
      <c r="E1247" s="2"/>
      <c r="G1247" s="209"/>
    </row>
    <row r="1248" spans="5:7">
      <c r="E1248" s="2"/>
      <c r="G1248" s="209"/>
    </row>
    <row r="1249" spans="5:7">
      <c r="E1249" s="2"/>
      <c r="G1249" s="209"/>
    </row>
    <row r="1250" spans="5:7">
      <c r="E1250" s="2"/>
      <c r="G1250" s="209"/>
    </row>
    <row r="1251" spans="5:7">
      <c r="E1251" s="2"/>
      <c r="G1251" s="209"/>
    </row>
    <row r="1252" spans="5:7">
      <c r="E1252" s="2"/>
      <c r="G1252" s="209"/>
    </row>
    <row r="1253" spans="5:7">
      <c r="E1253" s="2"/>
      <c r="G1253" s="209"/>
    </row>
    <row r="1254" spans="5:7">
      <c r="E1254" s="2"/>
      <c r="G1254" s="209"/>
    </row>
    <row r="1255" spans="5:7">
      <c r="E1255" s="2"/>
      <c r="G1255" s="209"/>
    </row>
    <row r="1256" spans="5:7">
      <c r="E1256" s="2"/>
      <c r="G1256" s="209"/>
    </row>
    <row r="1257" spans="5:7">
      <c r="E1257" s="2"/>
      <c r="G1257" s="209"/>
    </row>
    <row r="1258" spans="5:7">
      <c r="E1258" s="2"/>
      <c r="G1258" s="209"/>
    </row>
    <row r="1259" spans="5:7">
      <c r="E1259" s="2"/>
      <c r="G1259" s="209"/>
    </row>
    <row r="1260" spans="5:7">
      <c r="E1260" s="2"/>
      <c r="G1260" s="209"/>
    </row>
    <row r="1261" spans="5:7">
      <c r="E1261" s="2"/>
      <c r="G1261" s="209"/>
    </row>
    <row r="1262" spans="5:7">
      <c r="E1262" s="2"/>
      <c r="G1262" s="209"/>
    </row>
    <row r="1263" spans="5:7">
      <c r="E1263" s="2"/>
      <c r="G1263" s="209"/>
    </row>
    <row r="1264" spans="5:7">
      <c r="E1264" s="2"/>
      <c r="G1264" s="209"/>
    </row>
    <row r="1265" spans="5:7">
      <c r="E1265" s="2"/>
      <c r="G1265" s="209"/>
    </row>
    <row r="1266" spans="5:7">
      <c r="E1266" s="2"/>
      <c r="G1266" s="209"/>
    </row>
    <row r="1267" spans="5:7">
      <c r="E1267" s="2"/>
      <c r="G1267" s="209"/>
    </row>
    <row r="1268" spans="5:7">
      <c r="E1268" s="2"/>
      <c r="G1268" s="209"/>
    </row>
    <row r="1269" spans="5:7">
      <c r="E1269" s="2"/>
      <c r="G1269" s="209"/>
    </row>
    <row r="1270" spans="5:7">
      <c r="E1270" s="2"/>
      <c r="G1270" s="209"/>
    </row>
    <row r="1271" spans="5:7">
      <c r="E1271" s="2"/>
      <c r="G1271" s="209"/>
    </row>
    <row r="1272" spans="5:7">
      <c r="E1272" s="2"/>
      <c r="G1272" s="209"/>
    </row>
    <row r="1273" spans="5:7">
      <c r="E1273" s="2"/>
      <c r="G1273" s="209"/>
    </row>
    <row r="1274" spans="5:7">
      <c r="E1274" s="2"/>
      <c r="G1274" s="209"/>
    </row>
    <row r="1275" spans="5:7">
      <c r="E1275" s="2"/>
      <c r="G1275" s="209"/>
    </row>
    <row r="1276" spans="5:7">
      <c r="E1276" s="2"/>
      <c r="G1276" s="209"/>
    </row>
    <row r="1277" spans="5:7">
      <c r="E1277" s="2"/>
      <c r="G1277" s="209"/>
    </row>
    <row r="1278" spans="5:7">
      <c r="E1278" s="2"/>
      <c r="G1278" s="209"/>
    </row>
    <row r="1279" spans="5:7">
      <c r="E1279" s="2"/>
      <c r="G1279" s="209"/>
    </row>
    <row r="1280" spans="5:7">
      <c r="E1280" s="2"/>
      <c r="G1280" s="209"/>
    </row>
    <row r="1281" spans="5:7">
      <c r="E1281" s="2"/>
      <c r="G1281" s="209"/>
    </row>
    <row r="1282" spans="5:7">
      <c r="E1282" s="2"/>
      <c r="G1282" s="209"/>
    </row>
    <row r="1283" spans="5:7">
      <c r="E1283" s="2"/>
      <c r="G1283" s="209"/>
    </row>
    <row r="1284" spans="5:7">
      <c r="E1284" s="2"/>
      <c r="G1284" s="209"/>
    </row>
    <row r="1285" spans="5:7">
      <c r="E1285" s="2"/>
      <c r="G1285" s="209"/>
    </row>
    <row r="1286" spans="5:7">
      <c r="E1286" s="2"/>
      <c r="G1286" s="209"/>
    </row>
    <row r="1287" spans="5:7">
      <c r="E1287" s="2"/>
      <c r="G1287" s="209"/>
    </row>
    <row r="1288" spans="5:7">
      <c r="E1288" s="2"/>
      <c r="G1288" s="209"/>
    </row>
    <row r="1289" spans="5:7">
      <c r="E1289" s="2"/>
      <c r="G1289" s="209"/>
    </row>
    <row r="1290" spans="5:7">
      <c r="E1290" s="2"/>
      <c r="G1290" s="209"/>
    </row>
    <row r="1291" spans="5:7">
      <c r="E1291" s="2"/>
      <c r="G1291" s="209"/>
    </row>
    <row r="1292" spans="5:7">
      <c r="E1292" s="2"/>
      <c r="G1292" s="209"/>
    </row>
    <row r="1293" spans="5:7">
      <c r="E1293" s="2"/>
      <c r="G1293" s="209"/>
    </row>
    <row r="1294" spans="5:7">
      <c r="E1294" s="2"/>
      <c r="G1294" s="209"/>
    </row>
    <row r="1295" spans="5:7">
      <c r="E1295" s="2"/>
      <c r="G1295" s="209"/>
    </row>
    <row r="1296" spans="5:7">
      <c r="E1296" s="2"/>
      <c r="G1296" s="209"/>
    </row>
    <row r="1297" spans="5:7">
      <c r="E1297" s="2"/>
      <c r="G1297" s="209"/>
    </row>
    <row r="1298" spans="5:7">
      <c r="E1298" s="2"/>
      <c r="G1298" s="209"/>
    </row>
    <row r="1299" spans="5:7">
      <c r="E1299" s="2"/>
      <c r="G1299" s="209"/>
    </row>
    <row r="1300" spans="5:7">
      <c r="E1300" s="2"/>
      <c r="G1300" s="209"/>
    </row>
    <row r="1301" spans="5:7">
      <c r="E1301" s="2"/>
      <c r="G1301" s="209"/>
    </row>
    <row r="1302" spans="5:7">
      <c r="E1302" s="2"/>
      <c r="G1302" s="209"/>
    </row>
    <row r="1303" spans="5:7">
      <c r="E1303" s="2"/>
      <c r="G1303" s="209"/>
    </row>
    <row r="1304" spans="5:7">
      <c r="E1304" s="2"/>
      <c r="G1304" s="209"/>
    </row>
    <row r="1305" spans="5:7">
      <c r="E1305" s="2"/>
      <c r="G1305" s="209"/>
    </row>
    <row r="1306" spans="5:7">
      <c r="E1306" s="2"/>
      <c r="G1306" s="209"/>
    </row>
    <row r="1307" spans="5:7">
      <c r="E1307" s="2"/>
      <c r="G1307" s="209"/>
    </row>
    <row r="1308" spans="5:7">
      <c r="E1308" s="2"/>
      <c r="G1308" s="209"/>
    </row>
    <row r="1309" spans="5:7">
      <c r="E1309" s="2"/>
      <c r="G1309" s="209"/>
    </row>
    <row r="1310" spans="5:7">
      <c r="E1310" s="2"/>
      <c r="G1310" s="209"/>
    </row>
    <row r="1311" spans="5:7">
      <c r="E1311" s="2"/>
      <c r="G1311" s="209"/>
    </row>
    <row r="1312" spans="5:7">
      <c r="E1312" s="2"/>
      <c r="G1312" s="209"/>
    </row>
    <row r="1313" spans="5:7">
      <c r="E1313" s="2"/>
      <c r="G1313" s="209"/>
    </row>
    <row r="1314" spans="5:7">
      <c r="E1314" s="2"/>
      <c r="G1314" s="209"/>
    </row>
    <row r="1315" spans="5:7">
      <c r="E1315" s="2"/>
      <c r="G1315" s="209"/>
    </row>
    <row r="1316" spans="5:7">
      <c r="E1316" s="2"/>
      <c r="G1316" s="209"/>
    </row>
    <row r="1317" spans="5:7">
      <c r="E1317" s="2"/>
      <c r="G1317" s="209"/>
    </row>
    <row r="1318" spans="5:7">
      <c r="E1318" s="2"/>
      <c r="G1318" s="209"/>
    </row>
    <row r="1319" spans="5:7">
      <c r="E1319" s="2"/>
      <c r="G1319" s="209"/>
    </row>
    <row r="1320" spans="5:7">
      <c r="E1320" s="2"/>
      <c r="G1320" s="209"/>
    </row>
    <row r="1321" spans="5:7">
      <c r="E1321" s="2"/>
      <c r="G1321" s="209"/>
    </row>
    <row r="1322" spans="5:7">
      <c r="E1322" s="2"/>
      <c r="G1322" s="209"/>
    </row>
    <row r="1323" spans="5:7">
      <c r="E1323" s="2"/>
      <c r="G1323" s="209"/>
    </row>
    <row r="1324" spans="5:7">
      <c r="E1324" s="2"/>
      <c r="G1324" s="209"/>
    </row>
    <row r="1325" spans="5:7">
      <c r="E1325" s="2"/>
      <c r="G1325" s="209"/>
    </row>
    <row r="1326" spans="5:7">
      <c r="E1326" s="2"/>
      <c r="G1326" s="209"/>
    </row>
    <row r="1327" spans="5:7">
      <c r="E1327" s="2"/>
      <c r="G1327" s="209"/>
    </row>
    <row r="1328" spans="5:7">
      <c r="E1328" s="2"/>
      <c r="G1328" s="209"/>
    </row>
    <row r="1329" spans="5:7">
      <c r="E1329" s="2"/>
      <c r="G1329" s="209"/>
    </row>
    <row r="1330" spans="5:7">
      <c r="E1330" s="2"/>
      <c r="G1330" s="209"/>
    </row>
    <row r="1331" spans="5:7">
      <c r="E1331" s="2"/>
      <c r="G1331" s="209"/>
    </row>
    <row r="1332" spans="5:7">
      <c r="E1332" s="2"/>
      <c r="G1332" s="209"/>
    </row>
    <row r="1333" spans="5:7">
      <c r="E1333" s="2"/>
      <c r="G1333" s="209"/>
    </row>
    <row r="1334" spans="5:7">
      <c r="E1334" s="2"/>
      <c r="G1334" s="209"/>
    </row>
    <row r="1335" spans="5:7">
      <c r="E1335" s="2"/>
      <c r="G1335" s="209"/>
    </row>
    <row r="1336" spans="5:7">
      <c r="E1336" s="2"/>
      <c r="G1336" s="209"/>
    </row>
    <row r="1337" spans="5:7">
      <c r="E1337" s="2"/>
      <c r="G1337" s="209"/>
    </row>
    <row r="1338" spans="5:7">
      <c r="E1338" s="2"/>
      <c r="G1338" s="209"/>
    </row>
    <row r="1339" spans="5:7">
      <c r="E1339" s="2"/>
      <c r="G1339" s="209"/>
    </row>
    <row r="1340" spans="5:7">
      <c r="E1340" s="2"/>
      <c r="G1340" s="209"/>
    </row>
    <row r="1341" spans="5:7">
      <c r="E1341" s="2"/>
      <c r="G1341" s="209"/>
    </row>
    <row r="1342" spans="5:7">
      <c r="E1342" s="2"/>
      <c r="G1342" s="209"/>
    </row>
    <row r="1343" spans="5:7">
      <c r="E1343" s="2"/>
      <c r="G1343" s="209"/>
    </row>
    <row r="1344" spans="5:7">
      <c r="E1344" s="2"/>
      <c r="G1344" s="209"/>
    </row>
    <row r="1345" spans="5:7">
      <c r="E1345" s="2"/>
      <c r="G1345" s="209"/>
    </row>
    <row r="1346" spans="5:7">
      <c r="E1346" s="2"/>
      <c r="G1346" s="209"/>
    </row>
    <row r="1347" spans="5:7">
      <c r="E1347" s="2"/>
      <c r="G1347" s="209"/>
    </row>
    <row r="1348" spans="5:7">
      <c r="E1348" s="2"/>
      <c r="G1348" s="209"/>
    </row>
    <row r="1349" spans="5:7">
      <c r="E1349" s="2"/>
      <c r="G1349" s="209"/>
    </row>
    <row r="1350" spans="5:7">
      <c r="E1350" s="2"/>
      <c r="G1350" s="209"/>
    </row>
    <row r="1351" spans="5:7">
      <c r="E1351" s="2"/>
      <c r="G1351" s="209"/>
    </row>
    <row r="1352" spans="5:7">
      <c r="E1352" s="2"/>
      <c r="G1352" s="209"/>
    </row>
    <row r="1353" spans="5:7">
      <c r="E1353" s="2"/>
      <c r="G1353" s="209"/>
    </row>
    <row r="1354" spans="5:7">
      <c r="E1354" s="2"/>
      <c r="G1354" s="209"/>
    </row>
    <row r="1355" spans="5:7">
      <c r="E1355" s="2"/>
      <c r="G1355" s="209"/>
    </row>
    <row r="1356" spans="5:7">
      <c r="E1356" s="2"/>
      <c r="G1356" s="209"/>
    </row>
    <row r="1357" spans="5:7">
      <c r="E1357" s="2"/>
      <c r="G1357" s="209"/>
    </row>
    <row r="1358" spans="5:7">
      <c r="E1358" s="2"/>
      <c r="G1358" s="209"/>
    </row>
    <row r="1359" spans="5:7">
      <c r="E1359" s="2"/>
      <c r="G1359" s="209"/>
    </row>
    <row r="1360" spans="5:7">
      <c r="E1360" s="2"/>
      <c r="G1360" s="209"/>
    </row>
    <row r="1361" spans="5:7">
      <c r="E1361" s="2"/>
      <c r="G1361" s="209"/>
    </row>
    <row r="1362" spans="5:7">
      <c r="E1362" s="2"/>
      <c r="G1362" s="209"/>
    </row>
    <row r="1363" spans="5:7">
      <c r="E1363" s="2"/>
      <c r="G1363" s="209"/>
    </row>
    <row r="1364" spans="5:7">
      <c r="E1364" s="2"/>
      <c r="G1364" s="209"/>
    </row>
    <row r="1365" spans="5:7">
      <c r="E1365" s="2"/>
      <c r="G1365" s="209"/>
    </row>
    <row r="1366" spans="5:7">
      <c r="E1366" s="2"/>
      <c r="G1366" s="209"/>
    </row>
    <row r="1367" spans="5:7">
      <c r="E1367" s="2"/>
      <c r="G1367" s="209"/>
    </row>
    <row r="1368" spans="5:7">
      <c r="E1368" s="2"/>
      <c r="G1368" s="209"/>
    </row>
    <row r="1369" spans="5:7">
      <c r="E1369" s="2"/>
      <c r="G1369" s="209"/>
    </row>
    <row r="1370" spans="5:7">
      <c r="E1370" s="2"/>
      <c r="G1370" s="209"/>
    </row>
    <row r="1371" spans="5:7">
      <c r="E1371" s="2"/>
      <c r="G1371" s="209"/>
    </row>
    <row r="1372" spans="5:7">
      <c r="E1372" s="2"/>
      <c r="G1372" s="209"/>
    </row>
    <row r="1373" spans="5:7">
      <c r="E1373" s="2"/>
      <c r="G1373" s="209"/>
    </row>
    <row r="1374" spans="5:7">
      <c r="E1374" s="2"/>
      <c r="G1374" s="209"/>
    </row>
    <row r="1375" spans="5:7">
      <c r="E1375" s="2"/>
      <c r="G1375" s="209"/>
    </row>
    <row r="1376" spans="5:7">
      <c r="E1376" s="2"/>
      <c r="G1376" s="209"/>
    </row>
    <row r="1377" spans="5:7">
      <c r="E1377" s="2"/>
      <c r="G1377" s="209"/>
    </row>
    <row r="1378" spans="5:7">
      <c r="E1378" s="2"/>
      <c r="G1378" s="209"/>
    </row>
    <row r="1379" spans="5:7">
      <c r="E1379" s="2"/>
      <c r="G1379" s="209"/>
    </row>
    <row r="1380" spans="5:7">
      <c r="E1380" s="2"/>
      <c r="G1380" s="209"/>
    </row>
    <row r="1381" spans="5:7">
      <c r="E1381" s="2"/>
      <c r="G1381" s="209"/>
    </row>
    <row r="1382" spans="5:7">
      <c r="E1382" s="2"/>
      <c r="G1382" s="209"/>
    </row>
    <row r="1383" spans="5:7">
      <c r="E1383" s="2"/>
      <c r="G1383" s="209"/>
    </row>
    <row r="1384" spans="5:7">
      <c r="E1384" s="2"/>
      <c r="G1384" s="209"/>
    </row>
    <row r="1385" spans="5:7">
      <c r="E1385" s="2"/>
      <c r="G1385" s="209"/>
    </row>
    <row r="1386" spans="5:7">
      <c r="E1386" s="2"/>
      <c r="G1386" s="209"/>
    </row>
    <row r="1387" spans="5:7">
      <c r="E1387" s="2"/>
      <c r="G1387" s="209"/>
    </row>
    <row r="1388" spans="5:7">
      <c r="E1388" s="2"/>
      <c r="G1388" s="209"/>
    </row>
    <row r="1389" spans="5:7">
      <c r="E1389" s="2"/>
      <c r="G1389" s="209"/>
    </row>
    <row r="1390" spans="5:7">
      <c r="E1390" s="2"/>
      <c r="G1390" s="209"/>
    </row>
    <row r="1391" spans="5:7">
      <c r="E1391" s="2"/>
      <c r="G1391" s="209"/>
    </row>
    <row r="1392" spans="5:7">
      <c r="E1392" s="2"/>
      <c r="G1392" s="209"/>
    </row>
    <row r="1393" spans="5:7">
      <c r="E1393" s="2"/>
      <c r="G1393" s="209"/>
    </row>
    <row r="1394" spans="5:7">
      <c r="E1394" s="2"/>
      <c r="G1394" s="209"/>
    </row>
    <row r="1395" spans="5:7">
      <c r="E1395" s="2"/>
      <c r="G1395" s="209"/>
    </row>
    <row r="1396" spans="5:7">
      <c r="E1396" s="2"/>
      <c r="G1396" s="209"/>
    </row>
    <row r="1397" spans="5:7">
      <c r="E1397" s="2"/>
      <c r="G1397" s="209"/>
    </row>
    <row r="1398" spans="5:7">
      <c r="E1398" s="2"/>
      <c r="G1398" s="209"/>
    </row>
    <row r="1399" spans="5:7">
      <c r="E1399" s="2"/>
      <c r="G1399" s="209"/>
    </row>
    <row r="1400" spans="5:7">
      <c r="E1400" s="2"/>
      <c r="G1400" s="209"/>
    </row>
    <row r="1401" spans="5:7">
      <c r="E1401" s="2"/>
      <c r="G1401" s="209"/>
    </row>
    <row r="1402" spans="5:7">
      <c r="E1402" s="2"/>
      <c r="G1402" s="209"/>
    </row>
    <row r="1403" spans="5:7">
      <c r="E1403" s="2"/>
      <c r="G1403" s="209"/>
    </row>
    <row r="1404" spans="5:7">
      <c r="E1404" s="2"/>
      <c r="G1404" s="209"/>
    </row>
    <row r="1405" spans="5:7">
      <c r="E1405" s="2"/>
      <c r="G1405" s="209"/>
    </row>
    <row r="1406" spans="5:7">
      <c r="E1406" s="2"/>
      <c r="G1406" s="209"/>
    </row>
    <row r="1407" spans="5:7">
      <c r="E1407" s="2"/>
      <c r="G1407" s="209"/>
    </row>
    <row r="1408" spans="5:7">
      <c r="E1408" s="2"/>
      <c r="G1408" s="209"/>
    </row>
    <row r="1409" spans="5:7">
      <c r="E1409" s="2"/>
      <c r="G1409" s="209"/>
    </row>
    <row r="1410" spans="5:7">
      <c r="E1410" s="2"/>
      <c r="G1410" s="209"/>
    </row>
    <row r="1411" spans="5:7">
      <c r="E1411" s="2"/>
      <c r="G1411" s="209"/>
    </row>
    <row r="1412" spans="5:7">
      <c r="E1412" s="2"/>
      <c r="G1412" s="209"/>
    </row>
    <row r="1413" spans="5:7">
      <c r="E1413" s="2"/>
      <c r="G1413" s="209"/>
    </row>
    <row r="1414" spans="5:7">
      <c r="E1414" s="2"/>
      <c r="G1414" s="209"/>
    </row>
    <row r="1415" spans="5:7">
      <c r="E1415" s="2"/>
      <c r="G1415" s="209"/>
    </row>
    <row r="1416" spans="5:7">
      <c r="E1416" s="2"/>
      <c r="G1416" s="209"/>
    </row>
    <row r="1417" spans="5:7">
      <c r="E1417" s="2"/>
      <c r="G1417" s="209"/>
    </row>
    <row r="1418" spans="5:7">
      <c r="E1418" s="2"/>
      <c r="G1418" s="209"/>
    </row>
    <row r="1419" spans="5:7">
      <c r="E1419" s="2"/>
      <c r="G1419" s="209"/>
    </row>
    <row r="1420" spans="5:7">
      <c r="E1420" s="2"/>
      <c r="G1420" s="209"/>
    </row>
    <row r="1421" spans="5:7">
      <c r="E1421" s="2"/>
      <c r="G1421" s="209"/>
    </row>
    <row r="1422" spans="5:7">
      <c r="E1422" s="2"/>
      <c r="G1422" s="209"/>
    </row>
    <row r="1423" spans="5:7">
      <c r="E1423" s="2"/>
      <c r="G1423" s="209"/>
    </row>
    <row r="1424" spans="5:7">
      <c r="E1424" s="2"/>
      <c r="G1424" s="209"/>
    </row>
    <row r="1425" spans="5:7">
      <c r="E1425" s="2"/>
      <c r="G1425" s="209"/>
    </row>
    <row r="1426" spans="5:7">
      <c r="E1426" s="2"/>
      <c r="G1426" s="209"/>
    </row>
    <row r="1427" spans="5:7">
      <c r="E1427" s="2"/>
      <c r="G1427" s="209"/>
    </row>
    <row r="1428" spans="5:7">
      <c r="E1428" s="2"/>
      <c r="G1428" s="209"/>
    </row>
    <row r="1429" spans="5:7">
      <c r="E1429" s="2"/>
      <c r="G1429" s="209"/>
    </row>
    <row r="1430" spans="5:7">
      <c r="E1430" s="2"/>
      <c r="G1430" s="209"/>
    </row>
    <row r="1431" spans="5:7">
      <c r="E1431" s="2"/>
      <c r="G1431" s="209"/>
    </row>
    <row r="1432" spans="5:7">
      <c r="E1432" s="2"/>
      <c r="G1432" s="209"/>
    </row>
    <row r="1433" spans="5:7">
      <c r="E1433" s="2"/>
      <c r="G1433" s="209"/>
    </row>
    <row r="1434" spans="5:7">
      <c r="E1434" s="2"/>
      <c r="G1434" s="209"/>
    </row>
    <row r="1435" spans="5:7">
      <c r="E1435" s="2"/>
      <c r="G1435" s="209"/>
    </row>
    <row r="1436" spans="5:7">
      <c r="E1436" s="2"/>
      <c r="G1436" s="209"/>
    </row>
    <row r="1437" spans="5:7">
      <c r="E1437" s="2"/>
      <c r="G1437" s="209"/>
    </row>
    <row r="1438" spans="5:7">
      <c r="E1438" s="2"/>
      <c r="G1438" s="209"/>
    </row>
    <row r="1439" spans="5:7">
      <c r="E1439" s="2"/>
      <c r="G1439" s="209"/>
    </row>
    <row r="1440" spans="5:7">
      <c r="E1440" s="2"/>
      <c r="G1440" s="209"/>
    </row>
    <row r="1441" spans="5:7">
      <c r="E1441" s="2"/>
      <c r="G1441" s="209"/>
    </row>
    <row r="1442" spans="5:7">
      <c r="E1442" s="2"/>
      <c r="G1442" s="209"/>
    </row>
    <row r="1443" spans="5:7">
      <c r="E1443" s="2"/>
      <c r="G1443" s="209"/>
    </row>
    <row r="1444" spans="5:7">
      <c r="E1444" s="2"/>
      <c r="G1444" s="209"/>
    </row>
    <row r="1445" spans="5:7">
      <c r="E1445" s="2"/>
      <c r="G1445" s="209"/>
    </row>
    <row r="1446" spans="5:7">
      <c r="E1446" s="2"/>
      <c r="G1446" s="209"/>
    </row>
    <row r="1447" spans="5:7">
      <c r="E1447" s="2"/>
      <c r="G1447" s="209"/>
    </row>
    <row r="1448" spans="5:7">
      <c r="E1448" s="2"/>
      <c r="G1448" s="209"/>
    </row>
    <row r="1449" spans="5:7">
      <c r="E1449" s="2"/>
      <c r="G1449" s="209"/>
    </row>
    <row r="1450" spans="5:7">
      <c r="E1450" s="2"/>
      <c r="G1450" s="209"/>
    </row>
    <row r="1451" spans="5:7">
      <c r="E1451" s="2"/>
      <c r="G1451" s="209"/>
    </row>
    <row r="1452" spans="5:7">
      <c r="E1452" s="2"/>
      <c r="G1452" s="209"/>
    </row>
    <row r="1453" spans="5:7">
      <c r="E1453" s="2"/>
      <c r="G1453" s="209"/>
    </row>
    <row r="1454" spans="5:7">
      <c r="E1454" s="2"/>
      <c r="G1454" s="209"/>
    </row>
    <row r="1455" spans="5:7">
      <c r="E1455" s="2"/>
      <c r="G1455" s="209"/>
    </row>
    <row r="1456" spans="5:7">
      <c r="E1456" s="2"/>
      <c r="G1456" s="209"/>
    </row>
    <row r="1457" spans="5:7">
      <c r="E1457" s="2"/>
      <c r="G1457" s="209"/>
    </row>
    <row r="1458" spans="5:7">
      <c r="E1458" s="2"/>
      <c r="G1458" s="209"/>
    </row>
    <row r="1459" spans="5:7">
      <c r="E1459" s="2"/>
      <c r="G1459" s="209"/>
    </row>
    <row r="1460" spans="5:7">
      <c r="E1460" s="2"/>
      <c r="G1460" s="209"/>
    </row>
    <row r="1461" spans="5:7">
      <c r="E1461" s="2"/>
      <c r="G1461" s="209"/>
    </row>
    <row r="1462" spans="5:7">
      <c r="E1462" s="2"/>
      <c r="G1462" s="209"/>
    </row>
    <row r="1463" spans="5:7">
      <c r="E1463" s="2"/>
      <c r="G1463" s="209"/>
    </row>
    <row r="1464" spans="5:7">
      <c r="E1464" s="2"/>
      <c r="G1464" s="209"/>
    </row>
    <row r="1465" spans="5:7">
      <c r="E1465" s="2"/>
      <c r="G1465" s="209"/>
    </row>
    <row r="1466" spans="5:7">
      <c r="E1466" s="2"/>
      <c r="G1466" s="209"/>
    </row>
    <row r="1467" spans="5:7">
      <c r="E1467" s="2"/>
      <c r="G1467" s="209"/>
    </row>
    <row r="1468" spans="5:7">
      <c r="E1468" s="2"/>
      <c r="G1468" s="209"/>
    </row>
    <row r="1469" spans="5:7">
      <c r="E1469" s="2"/>
      <c r="G1469" s="209"/>
    </row>
    <row r="1470" spans="5:7">
      <c r="E1470" s="2"/>
      <c r="G1470" s="209"/>
    </row>
    <row r="1471" spans="5:7">
      <c r="E1471" s="2"/>
      <c r="G1471" s="209"/>
    </row>
    <row r="1472" spans="5:7">
      <c r="E1472" s="2"/>
      <c r="G1472" s="209"/>
    </row>
    <row r="1473" spans="5:7">
      <c r="E1473" s="2"/>
      <c r="G1473" s="209"/>
    </row>
    <row r="1474" spans="5:7">
      <c r="E1474" s="2"/>
      <c r="G1474" s="209"/>
    </row>
    <row r="1475" spans="5:7">
      <c r="E1475" s="2"/>
      <c r="G1475" s="209"/>
    </row>
    <row r="1476" spans="5:7">
      <c r="E1476" s="2"/>
      <c r="G1476" s="209"/>
    </row>
    <row r="1477" spans="5:7">
      <c r="E1477" s="2"/>
      <c r="G1477" s="209"/>
    </row>
    <row r="1478" spans="5:7">
      <c r="E1478" s="2"/>
      <c r="G1478" s="209"/>
    </row>
    <row r="1479" spans="5:7">
      <c r="E1479" s="2"/>
      <c r="G1479" s="209"/>
    </row>
    <row r="1480" spans="5:7">
      <c r="E1480" s="2"/>
      <c r="G1480" s="209"/>
    </row>
    <row r="1481" spans="5:7">
      <c r="E1481" s="2"/>
      <c r="G1481" s="209"/>
    </row>
    <row r="1482" spans="5:7">
      <c r="E1482" s="2"/>
      <c r="G1482" s="209"/>
    </row>
    <row r="1483" spans="5:7">
      <c r="E1483" s="2"/>
      <c r="G1483" s="209"/>
    </row>
    <row r="1484" spans="5:7">
      <c r="E1484" s="2"/>
      <c r="G1484" s="209"/>
    </row>
    <row r="1485" spans="5:7">
      <c r="E1485" s="2"/>
      <c r="G1485" s="209"/>
    </row>
    <row r="1486" spans="5:7">
      <c r="E1486" s="2"/>
      <c r="G1486" s="209"/>
    </row>
    <row r="1487" spans="5:7">
      <c r="E1487" s="2"/>
      <c r="G1487" s="209"/>
    </row>
    <row r="1488" spans="5:7">
      <c r="E1488" s="2"/>
      <c r="G1488" s="209"/>
    </row>
    <row r="1489" spans="5:7">
      <c r="E1489" s="2"/>
      <c r="G1489" s="209"/>
    </row>
    <row r="1490" spans="5:7">
      <c r="E1490" s="2"/>
      <c r="G1490" s="209"/>
    </row>
    <row r="1491" spans="5:7">
      <c r="E1491" s="2"/>
      <c r="G1491" s="209"/>
    </row>
    <row r="1492" spans="5:7">
      <c r="E1492" s="2"/>
      <c r="G1492" s="209"/>
    </row>
    <row r="1493" spans="5:7">
      <c r="E1493" s="2"/>
      <c r="G1493" s="209"/>
    </row>
    <row r="1494" spans="5:7">
      <c r="E1494" s="2"/>
      <c r="G1494" s="209"/>
    </row>
    <row r="1495" spans="5:7">
      <c r="E1495" s="2"/>
      <c r="G1495" s="209"/>
    </row>
    <row r="1496" spans="5:7">
      <c r="E1496" s="2"/>
      <c r="G1496" s="209"/>
    </row>
    <row r="1497" spans="5:7">
      <c r="E1497" s="2"/>
      <c r="G1497" s="209"/>
    </row>
    <row r="1498" spans="5:7">
      <c r="E1498" s="2"/>
      <c r="G1498" s="209"/>
    </row>
    <row r="1499" spans="5:7">
      <c r="E1499" s="2"/>
      <c r="G1499" s="209"/>
    </row>
    <row r="1500" spans="5:7">
      <c r="E1500" s="2"/>
      <c r="G1500" s="209"/>
    </row>
    <row r="1501" spans="5:7">
      <c r="E1501" s="2"/>
      <c r="G1501" s="209"/>
    </row>
    <row r="1502" spans="5:7">
      <c r="E1502" s="2"/>
      <c r="G1502" s="209"/>
    </row>
    <row r="1503" spans="5:7">
      <c r="E1503" s="2"/>
      <c r="G1503" s="209"/>
    </row>
    <row r="1504" spans="5:7">
      <c r="E1504" s="2"/>
      <c r="G1504" s="209"/>
    </row>
    <row r="1505" spans="5:7">
      <c r="E1505" s="2"/>
      <c r="G1505" s="209"/>
    </row>
    <row r="1506" spans="5:7">
      <c r="E1506" s="2"/>
      <c r="G1506" s="209"/>
    </row>
    <row r="1507" spans="5:7">
      <c r="E1507" s="2"/>
      <c r="G1507" s="209"/>
    </row>
    <row r="1508" spans="5:7">
      <c r="E1508" s="2"/>
      <c r="G1508" s="209"/>
    </row>
    <row r="1509" spans="5:7">
      <c r="E1509" s="2"/>
      <c r="G1509" s="209"/>
    </row>
    <row r="1510" spans="5:7">
      <c r="E1510" s="2"/>
      <c r="G1510" s="209"/>
    </row>
    <row r="1511" spans="5:7">
      <c r="E1511" s="2"/>
      <c r="G1511" s="209"/>
    </row>
    <row r="1512" spans="5:7">
      <c r="E1512" s="2"/>
      <c r="G1512" s="209"/>
    </row>
    <row r="1513" spans="5:7">
      <c r="E1513" s="2"/>
      <c r="G1513" s="209"/>
    </row>
    <row r="1514" spans="5:7">
      <c r="E1514" s="2"/>
      <c r="G1514" s="209"/>
    </row>
    <row r="1515" spans="5:7">
      <c r="E1515" s="2"/>
      <c r="G1515" s="209"/>
    </row>
    <row r="1516" spans="5:7">
      <c r="E1516" s="2"/>
      <c r="G1516" s="209"/>
    </row>
    <row r="1517" spans="5:7">
      <c r="E1517" s="2"/>
      <c r="G1517" s="209"/>
    </row>
    <row r="1518" spans="5:7">
      <c r="E1518" s="2"/>
      <c r="G1518" s="209"/>
    </row>
    <row r="1519" spans="5:7">
      <c r="E1519" s="2"/>
      <c r="G1519" s="209"/>
    </row>
    <row r="1520" spans="5:7">
      <c r="E1520" s="2"/>
      <c r="G1520" s="209"/>
    </row>
    <row r="1521" spans="5:7">
      <c r="E1521" s="2"/>
      <c r="G1521" s="209"/>
    </row>
    <row r="1522" spans="5:7">
      <c r="E1522" s="2"/>
      <c r="G1522" s="209"/>
    </row>
    <row r="1523" spans="5:7">
      <c r="E1523" s="2"/>
      <c r="G1523" s="209"/>
    </row>
    <row r="1524" spans="5:7">
      <c r="E1524" s="2"/>
      <c r="G1524" s="209"/>
    </row>
    <row r="1525" spans="5:7">
      <c r="E1525" s="2"/>
      <c r="G1525" s="209"/>
    </row>
    <row r="1526" spans="5:7">
      <c r="E1526" s="2"/>
      <c r="G1526" s="209"/>
    </row>
    <row r="1527" spans="5:7">
      <c r="E1527" s="2"/>
      <c r="G1527" s="209"/>
    </row>
    <row r="1528" spans="5:7">
      <c r="E1528" s="2"/>
      <c r="G1528" s="209"/>
    </row>
    <row r="1529" spans="5:7">
      <c r="E1529" s="2"/>
      <c r="G1529" s="209"/>
    </row>
    <row r="1530" spans="5:7">
      <c r="E1530" s="2"/>
      <c r="G1530" s="209"/>
    </row>
    <row r="1531" spans="5:7">
      <c r="E1531" s="2"/>
      <c r="G1531" s="209"/>
    </row>
    <row r="1532" spans="5:7">
      <c r="E1532" s="2"/>
      <c r="G1532" s="209"/>
    </row>
    <row r="1533" spans="5:7">
      <c r="E1533" s="2"/>
      <c r="G1533" s="209"/>
    </row>
    <row r="1534" spans="5:7">
      <c r="E1534" s="2"/>
      <c r="G1534" s="209"/>
    </row>
    <row r="1535" spans="5:7">
      <c r="E1535" s="2"/>
      <c r="G1535" s="209"/>
    </row>
    <row r="1536" spans="5:7">
      <c r="E1536" s="2"/>
      <c r="G1536" s="209"/>
    </row>
    <row r="1537" spans="5:7">
      <c r="E1537" s="2"/>
      <c r="G1537" s="209"/>
    </row>
    <row r="1538" spans="5:7">
      <c r="E1538" s="2"/>
      <c r="G1538" s="209"/>
    </row>
    <row r="1539" spans="5:7">
      <c r="E1539" s="2"/>
      <c r="G1539" s="209"/>
    </row>
    <row r="1540" spans="5:7">
      <c r="E1540" s="2"/>
      <c r="G1540" s="209"/>
    </row>
    <row r="1541" spans="5:7">
      <c r="E1541" s="2"/>
      <c r="G1541" s="209"/>
    </row>
    <row r="1542" spans="5:7">
      <c r="E1542" s="2"/>
      <c r="G1542" s="209"/>
    </row>
    <row r="1543" spans="5:7">
      <c r="E1543" s="2"/>
      <c r="G1543" s="209"/>
    </row>
    <row r="1544" spans="5:7">
      <c r="E1544" s="2"/>
      <c r="G1544" s="209"/>
    </row>
    <row r="1545" spans="5:7">
      <c r="E1545" s="2"/>
      <c r="G1545" s="209"/>
    </row>
    <row r="1546" spans="5:7">
      <c r="E1546" s="2"/>
      <c r="G1546" s="209"/>
    </row>
    <row r="1547" spans="5:7">
      <c r="E1547" s="2"/>
      <c r="G1547" s="209"/>
    </row>
    <row r="1548" spans="5:7">
      <c r="E1548" s="2"/>
      <c r="G1548" s="209"/>
    </row>
    <row r="1549" spans="5:7">
      <c r="E1549" s="2"/>
      <c r="G1549" s="209"/>
    </row>
    <row r="1550" spans="5:7">
      <c r="E1550" s="2"/>
      <c r="G1550" s="209"/>
    </row>
    <row r="1551" spans="5:7">
      <c r="E1551" s="2"/>
      <c r="G1551" s="209"/>
    </row>
    <row r="1552" spans="5:7">
      <c r="E1552" s="2"/>
      <c r="G1552" s="209"/>
    </row>
    <row r="1553" spans="5:7">
      <c r="E1553" s="2"/>
      <c r="G1553" s="209"/>
    </row>
    <row r="1554" spans="5:7">
      <c r="E1554" s="2"/>
      <c r="G1554" s="209"/>
    </row>
    <row r="1555" spans="5:7">
      <c r="E1555" s="2"/>
      <c r="G1555" s="209"/>
    </row>
    <row r="1556" spans="5:7">
      <c r="E1556" s="2"/>
      <c r="G1556" s="209"/>
    </row>
    <row r="1557" spans="5:7">
      <c r="E1557" s="2"/>
      <c r="G1557" s="209"/>
    </row>
    <row r="1558" spans="5:7">
      <c r="E1558" s="2"/>
      <c r="G1558" s="209"/>
    </row>
    <row r="1559" spans="5:7">
      <c r="E1559" s="2"/>
      <c r="G1559" s="209"/>
    </row>
    <row r="1560" spans="5:7">
      <c r="E1560" s="2"/>
      <c r="G1560" s="209"/>
    </row>
    <row r="1561" spans="5:7">
      <c r="E1561" s="2"/>
      <c r="G1561" s="209"/>
    </row>
    <row r="1562" spans="5:7">
      <c r="E1562" s="2"/>
      <c r="G1562" s="209"/>
    </row>
    <row r="1563" spans="5:7">
      <c r="E1563" s="2"/>
      <c r="G1563" s="209"/>
    </row>
    <row r="1564" spans="5:7">
      <c r="E1564" s="2"/>
      <c r="G1564" s="209"/>
    </row>
    <row r="1565" spans="5:7">
      <c r="E1565" s="2"/>
      <c r="G1565" s="209"/>
    </row>
    <row r="1566" spans="5:7">
      <c r="E1566" s="2"/>
      <c r="G1566" s="209"/>
    </row>
    <row r="1567" spans="5:7">
      <c r="E1567" s="2"/>
      <c r="G1567" s="209"/>
    </row>
    <row r="1568" spans="5:7">
      <c r="E1568" s="2"/>
      <c r="G1568" s="209"/>
    </row>
    <row r="1569" spans="5:7">
      <c r="E1569" s="2"/>
      <c r="G1569" s="209"/>
    </row>
    <row r="1570" spans="5:7">
      <c r="E1570" s="2"/>
      <c r="G1570" s="209"/>
    </row>
    <row r="1571" spans="5:7">
      <c r="E1571" s="2"/>
      <c r="G1571" s="209"/>
    </row>
    <row r="1572" spans="5:7">
      <c r="E1572" s="2"/>
      <c r="G1572" s="209"/>
    </row>
    <row r="1573" spans="5:7">
      <c r="E1573" s="2"/>
      <c r="G1573" s="209"/>
    </row>
    <row r="1574" spans="5:7">
      <c r="E1574" s="2"/>
      <c r="G1574" s="209"/>
    </row>
    <row r="1575" spans="5:7">
      <c r="E1575" s="2"/>
      <c r="G1575" s="209"/>
    </row>
    <row r="1576" spans="5:7">
      <c r="E1576" s="2"/>
      <c r="G1576" s="209"/>
    </row>
    <row r="1577" spans="5:7">
      <c r="E1577" s="2"/>
      <c r="G1577" s="209"/>
    </row>
    <row r="1578" spans="5:7">
      <c r="E1578" s="2"/>
      <c r="G1578" s="209"/>
    </row>
    <row r="1579" spans="5:7">
      <c r="E1579" s="2"/>
      <c r="G1579" s="209"/>
    </row>
    <row r="1580" spans="5:7">
      <c r="E1580" s="2"/>
      <c r="G1580" s="209"/>
    </row>
    <row r="1581" spans="5:7">
      <c r="E1581" s="2"/>
      <c r="G1581" s="209"/>
    </row>
    <row r="1582" spans="5:7">
      <c r="E1582" s="2"/>
      <c r="G1582" s="209"/>
    </row>
    <row r="1583" spans="5:7">
      <c r="E1583" s="2"/>
      <c r="G1583" s="209"/>
    </row>
  </sheetData>
  <sheetProtection formatCells="0" formatColumns="0" formatRows="0" selectLockedCells="1" sort="0" autoFilter="0" pivotTables="0"/>
  <autoFilter ref="A1:K1583" xr:uid="{577684B0-A48C-4302-BE29-5AAF357245E7}"/>
  <pageMargins left="0.7" right="0.7" top="0.75" bottom="0.75" header="0.3" footer="0.3"/>
  <pageSetup scale="50" orientation="landscape"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7D2D2-4664-A54A-A3B5-F0A9BBEA59AF}">
  <sheetPr codeName="Sheet4"/>
  <dimension ref="A1:K153"/>
  <sheetViews>
    <sheetView workbookViewId="0">
      <selection activeCell="B17" sqref="B17"/>
    </sheetView>
  </sheetViews>
  <sheetFormatPr defaultColWidth="11" defaultRowHeight="15.75"/>
  <cols>
    <col min="5" max="5" width="13.625" style="21" customWidth="1"/>
    <col min="6" max="6" width="32.375" style="21" bestFit="1" customWidth="1"/>
    <col min="7" max="7" width="31" style="21" bestFit="1" customWidth="1"/>
    <col min="8" max="8" width="9.75" style="21" customWidth="1"/>
  </cols>
  <sheetData>
    <row r="1" spans="1:11">
      <c r="E1" s="168" t="s">
        <v>739</v>
      </c>
      <c r="F1" s="168" t="s">
        <v>1</v>
      </c>
      <c r="G1" s="168" t="s">
        <v>6</v>
      </c>
      <c r="H1" s="21" t="s">
        <v>874</v>
      </c>
      <c r="I1" s="21" t="s">
        <v>875</v>
      </c>
      <c r="J1" s="168" t="s">
        <v>872</v>
      </c>
      <c r="K1" s="168" t="s">
        <v>873</v>
      </c>
    </row>
    <row r="2" spans="1:11">
      <c r="A2" s="21" t="s">
        <v>252</v>
      </c>
      <c r="B2" s="21" t="s">
        <v>253</v>
      </c>
      <c r="E2" s="167">
        <f t="shared" ref="E2:E33" si="0">IF(LEN(TRIM(F2))=0,0,LEN(TRIM(F2))-LEN(SUBSTITUTE(F2," ",""))+1)</f>
        <v>3</v>
      </c>
      <c r="F2" s="169" t="s">
        <v>659</v>
      </c>
      <c r="G2" s="21" t="s">
        <v>557</v>
      </c>
      <c r="H2" s="21">
        <f t="shared" ref="H2:H35" si="1">CODE(F2)</f>
        <v>48</v>
      </c>
      <c r="I2">
        <f>CODE(MID(Table2[[#This Row],[Description]],LEN(Table2[[#This Row],[Description]]),1))</f>
        <v>78</v>
      </c>
      <c r="J2">
        <f t="shared" ref="J2:J35" si="2">CODE(G2)</f>
        <v>65</v>
      </c>
      <c r="K2">
        <f>CODE(MID(Table2[[#This Row],[Category]],LEN(Table2[[#This Row],[Category]]),1))</f>
        <v>101</v>
      </c>
    </row>
    <row r="3" spans="1:11">
      <c r="A3">
        <v>1</v>
      </c>
      <c r="B3" t="s">
        <v>44</v>
      </c>
      <c r="E3" s="167">
        <f t="shared" si="0"/>
        <v>3</v>
      </c>
      <c r="F3" s="170" t="s">
        <v>841</v>
      </c>
      <c r="G3" s="21" t="s">
        <v>85</v>
      </c>
      <c r="H3" s="21">
        <f t="shared" si="1"/>
        <v>49</v>
      </c>
      <c r="I3" s="21">
        <f>CODE(MID(Table2[[#This Row],[Description]],LEN(Table2[[#This Row],[Description]]),1))</f>
        <v>97</v>
      </c>
      <c r="J3">
        <f t="shared" si="2"/>
        <v>68</v>
      </c>
      <c r="K3">
        <f>CODE(MID(Table2[[#This Row],[Category]],LEN(Table2[[#This Row],[Category]]),1))</f>
        <v>100</v>
      </c>
    </row>
    <row r="4" spans="1:11">
      <c r="A4">
        <v>2</v>
      </c>
      <c r="B4" t="s">
        <v>45</v>
      </c>
      <c r="E4" s="167">
        <f t="shared" si="0"/>
        <v>3</v>
      </c>
      <c r="F4" s="170" t="s">
        <v>879</v>
      </c>
      <c r="G4" s="21" t="s">
        <v>85</v>
      </c>
      <c r="H4" s="174">
        <f>CODE(F4)</f>
        <v>49</v>
      </c>
      <c r="I4" s="174">
        <f>CODE(MID(Table2[[#This Row],[Description]],LEN(Table2[[#This Row],[Description]]),1))</f>
        <v>122</v>
      </c>
      <c r="J4" s="133">
        <f>CODE(G4)</f>
        <v>68</v>
      </c>
      <c r="K4" s="133">
        <f>CODE(MID(Table2[[#This Row],[Category]],LEN(Table2[[#This Row],[Category]]),1))</f>
        <v>100</v>
      </c>
    </row>
    <row r="5" spans="1:11">
      <c r="A5">
        <v>3</v>
      </c>
      <c r="B5" t="s">
        <v>46</v>
      </c>
      <c r="E5" s="167">
        <f t="shared" si="0"/>
        <v>1</v>
      </c>
      <c r="F5" s="169" t="s">
        <v>660</v>
      </c>
      <c r="G5" s="21" t="s">
        <v>87</v>
      </c>
      <c r="H5" s="21">
        <f t="shared" si="1"/>
        <v>55</v>
      </c>
      <c r="I5" s="21">
        <f>CODE(MID(Table2[[#This Row],[Description]],LEN(Table2[[#This Row],[Description]]),1))</f>
        <v>78</v>
      </c>
      <c r="J5">
        <f t="shared" si="2"/>
        <v>68</v>
      </c>
      <c r="K5">
        <f>CODE(MID(Table2[[#This Row],[Category]],LEN(Table2[[#This Row],[Category]]),1))</f>
        <v>115</v>
      </c>
    </row>
    <row r="6" spans="1:11">
      <c r="A6">
        <v>4</v>
      </c>
      <c r="B6" t="s">
        <v>47</v>
      </c>
      <c r="E6" s="167">
        <f t="shared" si="0"/>
        <v>3</v>
      </c>
      <c r="F6" s="169" t="s">
        <v>815</v>
      </c>
      <c r="G6" s="21" t="s">
        <v>23</v>
      </c>
      <c r="H6" s="21">
        <f t="shared" si="1"/>
        <v>65</v>
      </c>
      <c r="I6" s="21">
        <f>CODE(MID(Table2[[#This Row],[Description]],LEN(Table2[[#This Row],[Description]]),1))</f>
        <v>69</v>
      </c>
      <c r="J6">
        <f t="shared" si="2"/>
        <v>70</v>
      </c>
      <c r="K6">
        <f>CODE(MID(Table2[[#This Row],[Category]],LEN(Table2[[#This Row],[Category]]),1))</f>
        <v>107</v>
      </c>
    </row>
    <row r="7" spans="1:11">
      <c r="A7">
        <v>5</v>
      </c>
      <c r="B7" t="s">
        <v>42</v>
      </c>
      <c r="E7" s="167">
        <f t="shared" si="0"/>
        <v>4</v>
      </c>
      <c r="F7" s="169" t="s">
        <v>812</v>
      </c>
      <c r="G7" s="21" t="s">
        <v>23</v>
      </c>
      <c r="H7" s="21">
        <f t="shared" si="1"/>
        <v>65</v>
      </c>
      <c r="I7" s="21">
        <f>CODE(MID(Table2[[#This Row],[Description]],LEN(Table2[[#This Row],[Description]]),1))</f>
        <v>69</v>
      </c>
      <c r="J7">
        <f t="shared" si="2"/>
        <v>70</v>
      </c>
      <c r="K7">
        <f>CODE(MID(Table2[[#This Row],[Category]],LEN(Table2[[#This Row],[Category]]),1))</f>
        <v>107</v>
      </c>
    </row>
    <row r="8" spans="1:11">
      <c r="A8">
        <v>6</v>
      </c>
      <c r="B8" t="s">
        <v>48</v>
      </c>
      <c r="E8" s="167">
        <f t="shared" si="0"/>
        <v>1</v>
      </c>
      <c r="F8" s="169" t="s">
        <v>830</v>
      </c>
      <c r="G8" s="21" t="s">
        <v>19</v>
      </c>
      <c r="H8" s="21">
        <f t="shared" si="1"/>
        <v>65</v>
      </c>
      <c r="I8" s="21">
        <f>CODE(MID(Table2[[#This Row],[Description]],LEN(Table2[[#This Row],[Description]]),1))</f>
        <v>83</v>
      </c>
      <c r="J8">
        <f t="shared" si="2"/>
        <v>77</v>
      </c>
      <c r="K8">
        <f>CODE(MID(Table2[[#This Row],[Category]],LEN(Table2[[#This Row],[Category]]),1))</f>
        <v>101</v>
      </c>
    </row>
    <row r="9" spans="1:11">
      <c r="A9">
        <v>7</v>
      </c>
      <c r="B9" t="s">
        <v>43</v>
      </c>
      <c r="E9" s="167">
        <f t="shared" si="0"/>
        <v>1</v>
      </c>
      <c r="F9" s="169" t="s">
        <v>661</v>
      </c>
      <c r="G9" s="21" t="s">
        <v>134</v>
      </c>
      <c r="H9" s="21">
        <f t="shared" si="1"/>
        <v>65</v>
      </c>
      <c r="I9" s="21">
        <f>CODE(MID(Table2[[#This Row],[Description]],LEN(Table2[[#This Row],[Description]]),1))</f>
        <v>84</v>
      </c>
      <c r="J9">
        <f t="shared" si="2"/>
        <v>68</v>
      </c>
      <c r="K9">
        <f>CODE(MID(Table2[[#This Row],[Category]],LEN(Table2[[#This Row],[Category]]),1))</f>
        <v>116</v>
      </c>
    </row>
    <row r="10" spans="1:11">
      <c r="A10">
        <v>8</v>
      </c>
      <c r="B10" t="s">
        <v>49</v>
      </c>
      <c r="E10" s="167">
        <f t="shared" si="0"/>
        <v>1</v>
      </c>
      <c r="F10" s="169" t="s">
        <v>831</v>
      </c>
      <c r="G10" s="21" t="s">
        <v>658</v>
      </c>
      <c r="H10" s="21">
        <f t="shared" si="1"/>
        <v>65</v>
      </c>
      <c r="I10" s="21">
        <f>CODE(MID(Table2[[#This Row],[Description]],LEN(Table2[[#This Row],[Description]]),1))</f>
        <v>77</v>
      </c>
      <c r="J10">
        <f t="shared" si="2"/>
        <v>42</v>
      </c>
      <c r="K10">
        <f>CODE(MID(Table2[[#This Row],[Category]],LEN(Table2[[#This Row],[Category]]),1))</f>
        <v>42</v>
      </c>
    </row>
    <row r="11" spans="1:11">
      <c r="A11">
        <v>9</v>
      </c>
      <c r="B11" t="s">
        <v>50</v>
      </c>
      <c r="E11" s="167">
        <f t="shared" si="0"/>
        <v>2</v>
      </c>
      <c r="F11" s="171" t="s">
        <v>842</v>
      </c>
      <c r="G11" s="18" t="s">
        <v>365</v>
      </c>
      <c r="H11" s="133">
        <f t="shared" si="1"/>
        <v>65</v>
      </c>
      <c r="I11" s="133">
        <f>CODE(MID(Table2[[#This Row],[Description]],LEN(Table2[[#This Row],[Description]]),1))</f>
        <v>83</v>
      </c>
      <c r="J11">
        <f t="shared" si="2"/>
        <v>80</v>
      </c>
      <c r="K11">
        <f>CODE(MID(Table2[[#This Row],[Category]],LEN(Table2[[#This Row],[Category]]),1))</f>
        <v>114</v>
      </c>
    </row>
    <row r="12" spans="1:11">
      <c r="A12">
        <v>10</v>
      </c>
      <c r="B12" t="s">
        <v>51</v>
      </c>
      <c r="E12" s="167">
        <f t="shared" si="0"/>
        <v>4</v>
      </c>
      <c r="F12" s="169" t="s">
        <v>662</v>
      </c>
      <c r="G12" s="21" t="s">
        <v>616</v>
      </c>
      <c r="H12" s="21">
        <f t="shared" si="1"/>
        <v>65</v>
      </c>
      <c r="I12" s="21">
        <f>CODE(MID(Table2[[#This Row],[Description]],LEN(Table2[[#This Row],[Description]]),1))</f>
        <v>84</v>
      </c>
      <c r="J12">
        <f t="shared" si="2"/>
        <v>67</v>
      </c>
      <c r="K12">
        <f>CODE(MID(Table2[[#This Row],[Category]],LEN(Table2[[#This Row],[Category]]),1))</f>
        <v>88</v>
      </c>
    </row>
    <row r="13" spans="1:11">
      <c r="A13">
        <v>11</v>
      </c>
      <c r="B13" t="s">
        <v>52</v>
      </c>
      <c r="E13" s="167">
        <f t="shared" si="0"/>
        <v>1</v>
      </c>
      <c r="F13" s="169" t="s">
        <v>663</v>
      </c>
      <c r="G13" s="21" t="s">
        <v>658</v>
      </c>
      <c r="H13" s="21">
        <f t="shared" si="1"/>
        <v>65</v>
      </c>
      <c r="I13" s="21">
        <f>CODE(MID(Table2[[#This Row],[Description]],LEN(Table2[[#This Row],[Description]]),1))</f>
        <v>78</v>
      </c>
      <c r="J13">
        <f t="shared" si="2"/>
        <v>42</v>
      </c>
      <c r="K13">
        <f>CODE(MID(Table2[[#This Row],[Category]],LEN(Table2[[#This Row],[Category]]),1))</f>
        <v>42</v>
      </c>
    </row>
    <row r="14" spans="1:11">
      <c r="A14">
        <v>12</v>
      </c>
      <c r="B14" t="s">
        <v>53</v>
      </c>
      <c r="E14" s="167">
        <f t="shared" si="0"/>
        <v>1</v>
      </c>
      <c r="F14" s="169" t="s">
        <v>869</v>
      </c>
      <c r="G14" s="21" t="s">
        <v>88</v>
      </c>
      <c r="H14" s="21">
        <f t="shared" si="1"/>
        <v>65</v>
      </c>
      <c r="I14" s="21">
        <f>CODE(MID(Table2[[#This Row],[Description]],LEN(Table2[[#This Row],[Description]]),1))</f>
        <v>76</v>
      </c>
      <c r="J14">
        <f t="shared" si="2"/>
        <v>83</v>
      </c>
      <c r="K14">
        <f>CODE(MID(Table2[[#This Row],[Category]],LEN(Table2[[#This Row],[Category]]),1))</f>
        <v>114</v>
      </c>
    </row>
    <row r="15" spans="1:11">
      <c r="E15" s="167">
        <f t="shared" si="0"/>
        <v>1</v>
      </c>
      <c r="F15" s="169" t="s">
        <v>832</v>
      </c>
      <c r="G15" s="21" t="s">
        <v>365</v>
      </c>
      <c r="H15" s="21">
        <f t="shared" si="1"/>
        <v>65</v>
      </c>
      <c r="I15" s="21">
        <f>CODE(MID(Table2[[#This Row],[Description]],LEN(Table2[[#This Row],[Description]]),1))</f>
        <v>89</v>
      </c>
      <c r="J15">
        <f t="shared" si="2"/>
        <v>80</v>
      </c>
      <c r="K15">
        <f>CODE(MID(Table2[[#This Row],[Category]],LEN(Table2[[#This Row],[Category]]),1))</f>
        <v>114</v>
      </c>
    </row>
    <row r="16" spans="1:11">
      <c r="A16" t="s">
        <v>29</v>
      </c>
      <c r="B16" t="s">
        <v>955</v>
      </c>
      <c r="E16" s="167">
        <f t="shared" si="0"/>
        <v>2</v>
      </c>
      <c r="F16" s="171" t="s">
        <v>80</v>
      </c>
      <c r="G16" s="18" t="s">
        <v>365</v>
      </c>
      <c r="H16" s="133">
        <f t="shared" si="1"/>
        <v>66</v>
      </c>
      <c r="I16" s="133">
        <f>CODE(MID(Table2[[#This Row],[Description]],LEN(Table2[[#This Row],[Description]]),1))</f>
        <v>101</v>
      </c>
      <c r="J16">
        <f t="shared" si="2"/>
        <v>80</v>
      </c>
      <c r="K16">
        <f>CODE(MID(Table2[[#This Row],[Category]],LEN(Table2[[#This Row],[Category]]),1))</f>
        <v>114</v>
      </c>
    </row>
    <row r="17" spans="1:11">
      <c r="A17" s="148" t="s">
        <v>263</v>
      </c>
      <c r="B17">
        <v>35</v>
      </c>
      <c r="E17" s="167">
        <f t="shared" si="0"/>
        <v>2</v>
      </c>
      <c r="F17" s="169" t="s">
        <v>664</v>
      </c>
      <c r="G17" s="21" t="s">
        <v>557</v>
      </c>
      <c r="H17" s="21">
        <f t="shared" si="1"/>
        <v>66</v>
      </c>
      <c r="I17" s="21">
        <f>CODE(MID(Table2[[#This Row],[Description]],LEN(Table2[[#This Row],[Description]]),1))</f>
        <v>69</v>
      </c>
      <c r="J17">
        <f t="shared" si="2"/>
        <v>65</v>
      </c>
      <c r="K17">
        <f>CODE(MID(Table2[[#This Row],[Category]],LEN(Table2[[#This Row],[Category]]),1))</f>
        <v>101</v>
      </c>
    </row>
    <row r="18" spans="1:11">
      <c r="A18" s="150" t="s">
        <v>291</v>
      </c>
      <c r="B18">
        <v>36</v>
      </c>
      <c r="E18" s="167">
        <f t="shared" si="0"/>
        <v>3</v>
      </c>
      <c r="F18" s="169" t="s">
        <v>816</v>
      </c>
      <c r="G18" s="21" t="s">
        <v>658</v>
      </c>
      <c r="H18" s="21">
        <f t="shared" si="1"/>
        <v>66</v>
      </c>
      <c r="I18" s="21">
        <f>CODE(MID(Table2[[#This Row],[Description]],LEN(Table2[[#This Row],[Description]]),1))</f>
        <v>75</v>
      </c>
      <c r="J18">
        <f t="shared" si="2"/>
        <v>42</v>
      </c>
      <c r="K18">
        <f>CODE(MID(Table2[[#This Row],[Category]],LEN(Table2[[#This Row],[Category]]),1))</f>
        <v>42</v>
      </c>
    </row>
    <row r="19" spans="1:11">
      <c r="A19" s="175" t="s">
        <v>30</v>
      </c>
      <c r="B19">
        <v>37</v>
      </c>
      <c r="E19" s="167">
        <f t="shared" si="0"/>
        <v>2</v>
      </c>
      <c r="F19" s="22" t="s">
        <v>843</v>
      </c>
      <c r="G19" s="21" t="s">
        <v>658</v>
      </c>
      <c r="H19" s="21">
        <f t="shared" si="1"/>
        <v>66</v>
      </c>
      <c r="I19" s="21">
        <f>CODE(MID(Table2[[#This Row],[Description]],LEN(Table2[[#This Row],[Description]]),1))</f>
        <v>77</v>
      </c>
      <c r="J19">
        <f t="shared" si="2"/>
        <v>42</v>
      </c>
      <c r="K19">
        <f>CODE(MID(Table2[[#This Row],[Category]],LEN(Table2[[#This Row],[Category]]),1))</f>
        <v>42</v>
      </c>
    </row>
    <row r="20" spans="1:11">
      <c r="A20" s="176" t="s">
        <v>27</v>
      </c>
      <c r="B20">
        <v>24</v>
      </c>
      <c r="E20" s="167">
        <f t="shared" si="0"/>
        <v>2</v>
      </c>
      <c r="F20" s="169" t="s">
        <v>665</v>
      </c>
      <c r="G20" s="21" t="s">
        <v>658</v>
      </c>
      <c r="H20" s="21">
        <f t="shared" si="1"/>
        <v>66</v>
      </c>
      <c r="I20" s="21">
        <f>CODE(MID(Table2[[#This Row],[Description]],LEN(Table2[[#This Row],[Description]]),1))</f>
        <v>69</v>
      </c>
      <c r="J20">
        <f t="shared" si="2"/>
        <v>42</v>
      </c>
      <c r="K20">
        <f>CODE(MID(Table2[[#This Row],[Category]],LEN(Table2[[#This Row],[Category]]),1))</f>
        <v>42</v>
      </c>
    </row>
    <row r="21" spans="1:11">
      <c r="A21" s="151" t="s">
        <v>563</v>
      </c>
      <c r="B21">
        <v>40</v>
      </c>
      <c r="E21" s="167">
        <f t="shared" si="0"/>
        <v>8</v>
      </c>
      <c r="F21" s="22" t="s">
        <v>783</v>
      </c>
      <c r="G21" s="21" t="s">
        <v>868</v>
      </c>
      <c r="H21" s="21">
        <f t="shared" si="1"/>
        <v>66</v>
      </c>
      <c r="I21" s="21">
        <f>CODE(MID(Table2[[#This Row],[Description]],LEN(Table2[[#This Row],[Description]]),1))</f>
        <v>73</v>
      </c>
      <c r="J21">
        <f t="shared" si="2"/>
        <v>77</v>
      </c>
      <c r="K21">
        <f>CODE(MID(Table2[[#This Row],[Category]],LEN(Table2[[#This Row],[Category]]),1))</f>
        <v>103</v>
      </c>
    </row>
    <row r="22" spans="1:11">
      <c r="A22" s="150" t="s">
        <v>13</v>
      </c>
      <c r="B22">
        <v>15</v>
      </c>
      <c r="E22" s="167">
        <f t="shared" si="0"/>
        <v>2</v>
      </c>
      <c r="F22" s="169" t="s">
        <v>666</v>
      </c>
      <c r="G22" s="21" t="s">
        <v>145</v>
      </c>
      <c r="H22" s="21">
        <f t="shared" si="1"/>
        <v>66</v>
      </c>
      <c r="I22" s="21">
        <f>CODE(MID(Table2[[#This Row],[Description]],LEN(Table2[[#This Row],[Description]]),1))</f>
        <v>84</v>
      </c>
      <c r="J22">
        <f t="shared" si="2"/>
        <v>68</v>
      </c>
      <c r="K22">
        <f>CODE(MID(Table2[[#This Row],[Category]],LEN(Table2[[#This Row],[Category]]),1))</f>
        <v>116</v>
      </c>
    </row>
    <row r="23" spans="1:11">
      <c r="A23" t="s">
        <v>992</v>
      </c>
      <c r="B23">
        <v>41</v>
      </c>
      <c r="E23" s="167">
        <f t="shared" si="0"/>
        <v>3</v>
      </c>
      <c r="F23" s="22" t="s">
        <v>844</v>
      </c>
      <c r="G23" s="21" t="s">
        <v>85</v>
      </c>
      <c r="H23" s="21">
        <f t="shared" si="1"/>
        <v>66</v>
      </c>
      <c r="I23" s="21">
        <f>CODE(MID(Table2[[#This Row],[Description]],LEN(Table2[[#This Row],[Description]]),1))</f>
        <v>71</v>
      </c>
      <c r="J23">
        <f t="shared" si="2"/>
        <v>68</v>
      </c>
      <c r="K23">
        <f>CODE(MID(Table2[[#This Row],[Category]],LEN(Table2[[#This Row],[Category]]),1))</f>
        <v>100</v>
      </c>
    </row>
    <row r="24" spans="1:11">
      <c r="A24" t="s">
        <v>638</v>
      </c>
      <c r="B24">
        <v>38</v>
      </c>
      <c r="E24" s="167">
        <f t="shared" si="0"/>
        <v>3</v>
      </c>
      <c r="F24" s="169" t="s">
        <v>667</v>
      </c>
      <c r="G24" s="21" t="s">
        <v>85</v>
      </c>
      <c r="H24" s="21">
        <f t="shared" si="1"/>
        <v>66</v>
      </c>
      <c r="I24" s="21">
        <f>CODE(MID(Table2[[#This Row],[Description]],LEN(Table2[[#This Row],[Description]]),1))</f>
        <v>83</v>
      </c>
      <c r="J24">
        <f t="shared" si="2"/>
        <v>68</v>
      </c>
      <c r="K24">
        <f>CODE(MID(Table2[[#This Row],[Category]],LEN(Table2[[#This Row],[Category]]),1))</f>
        <v>100</v>
      </c>
    </row>
    <row r="25" spans="1:11">
      <c r="E25" s="167">
        <f t="shared" si="0"/>
        <v>2</v>
      </c>
      <c r="F25" s="169" t="s">
        <v>668</v>
      </c>
      <c r="G25" s="21" t="s">
        <v>85</v>
      </c>
      <c r="H25" s="21">
        <f t="shared" si="1"/>
        <v>66</v>
      </c>
      <c r="I25" s="21">
        <f>CODE(MID(Table2[[#This Row],[Description]],LEN(Table2[[#This Row],[Description]]),1))</f>
        <v>71</v>
      </c>
      <c r="J25">
        <f t="shared" si="2"/>
        <v>68</v>
      </c>
      <c r="K25">
        <f>CODE(MID(Table2[[#This Row],[Category]],LEN(Table2[[#This Row],[Category]]),1))</f>
        <v>100</v>
      </c>
    </row>
    <row r="26" spans="1:11">
      <c r="E26" s="167">
        <f t="shared" si="0"/>
        <v>2</v>
      </c>
      <c r="F26" s="22" t="s">
        <v>951</v>
      </c>
      <c r="G26" s="21" t="s">
        <v>85</v>
      </c>
      <c r="H26" s="174">
        <f>CODE(F26)</f>
        <v>66</v>
      </c>
      <c r="I26" s="174">
        <f>CODE(MID(Table2[[#This Row],[Description]],LEN(Table2[[#This Row],[Description]]),1))</f>
        <v>42</v>
      </c>
      <c r="J26" s="133">
        <f>CODE(G26)</f>
        <v>68</v>
      </c>
      <c r="K26" s="133">
        <f>CODE(MID(Table2[[#This Row],[Category]],LEN(Table2[[#This Row],[Category]]),1))</f>
        <v>100</v>
      </c>
    </row>
    <row r="27" spans="1:11">
      <c r="E27" s="167">
        <f t="shared" si="0"/>
        <v>1</v>
      </c>
      <c r="F27" s="169" t="s">
        <v>669</v>
      </c>
      <c r="G27" s="21" t="s">
        <v>557</v>
      </c>
      <c r="H27" s="21">
        <f t="shared" si="1"/>
        <v>67</v>
      </c>
      <c r="I27" s="21">
        <f>CODE(MID(Table2[[#This Row],[Description]],LEN(Table2[[#This Row],[Description]]),1))</f>
        <v>88</v>
      </c>
      <c r="J27">
        <f t="shared" si="2"/>
        <v>65</v>
      </c>
      <c r="K27">
        <f>CODE(MID(Table2[[#This Row],[Category]],LEN(Table2[[#This Row],[Category]]),1))</f>
        <v>101</v>
      </c>
    </row>
    <row r="28" spans="1:11">
      <c r="E28" s="167">
        <f t="shared" si="0"/>
        <v>2</v>
      </c>
      <c r="F28" s="169" t="s">
        <v>821</v>
      </c>
      <c r="G28" s="21" t="s">
        <v>670</v>
      </c>
      <c r="H28" s="21">
        <f t="shared" si="1"/>
        <v>67</v>
      </c>
      <c r="I28" s="21">
        <f>CODE(MID(Table2[[#This Row],[Description]],LEN(Table2[[#This Row],[Description]]),1))</f>
        <v>68</v>
      </c>
      <c r="J28">
        <f t="shared" si="2"/>
        <v>67</v>
      </c>
      <c r="K28">
        <f>CODE(MID(Table2[[#This Row],[Category]],LEN(Table2[[#This Row],[Category]]),1))</f>
        <v>68</v>
      </c>
    </row>
    <row r="29" spans="1:11">
      <c r="E29" s="167">
        <f t="shared" si="0"/>
        <v>1</v>
      </c>
      <c r="F29" s="169" t="s">
        <v>833</v>
      </c>
      <c r="G29" s="21" t="s">
        <v>658</v>
      </c>
      <c r="H29" s="21">
        <f t="shared" si="1"/>
        <v>67</v>
      </c>
      <c r="I29" s="21">
        <f>CODE(MID(Table2[[#This Row],[Description]],LEN(Table2[[#This Row],[Description]]),1))</f>
        <v>75</v>
      </c>
      <c r="J29">
        <f t="shared" si="2"/>
        <v>42</v>
      </c>
      <c r="K29">
        <f>CODE(MID(Table2[[#This Row],[Category]],LEN(Table2[[#This Row],[Category]]),1))</f>
        <v>42</v>
      </c>
    </row>
    <row r="30" spans="1:11">
      <c r="E30" s="167">
        <f t="shared" si="0"/>
        <v>2</v>
      </c>
      <c r="F30" s="169" t="s">
        <v>671</v>
      </c>
      <c r="G30" s="21" t="s">
        <v>85</v>
      </c>
      <c r="H30" s="21">
        <f t="shared" si="1"/>
        <v>67</v>
      </c>
      <c r="I30" s="21">
        <f>CODE(MID(Table2[[#This Row],[Description]],LEN(Table2[[#This Row],[Description]]),1))</f>
        <v>75</v>
      </c>
      <c r="J30">
        <f t="shared" si="2"/>
        <v>68</v>
      </c>
      <c r="K30">
        <f>CODE(MID(Table2[[#This Row],[Category]],LEN(Table2[[#This Row],[Category]]),1))</f>
        <v>100</v>
      </c>
    </row>
    <row r="31" spans="1:11">
      <c r="E31" s="167">
        <f t="shared" si="0"/>
        <v>3</v>
      </c>
      <c r="F31" s="169" t="s">
        <v>672</v>
      </c>
      <c r="G31" s="21" t="s">
        <v>87</v>
      </c>
      <c r="H31" s="21">
        <f t="shared" si="1"/>
        <v>67</v>
      </c>
      <c r="I31" s="21">
        <f>CODE(MID(Table2[[#This Row],[Description]],LEN(Table2[[#This Row],[Description]]),1))</f>
        <v>69</v>
      </c>
      <c r="J31">
        <f t="shared" si="2"/>
        <v>68</v>
      </c>
      <c r="K31">
        <f>CODE(MID(Table2[[#This Row],[Category]],LEN(Table2[[#This Row],[Category]]),1))</f>
        <v>115</v>
      </c>
    </row>
    <row r="32" spans="1:11">
      <c r="E32" s="167">
        <f t="shared" si="0"/>
        <v>2</v>
      </c>
      <c r="F32" s="171" t="s">
        <v>845</v>
      </c>
      <c r="G32" s="21" t="s">
        <v>365</v>
      </c>
      <c r="H32" s="21">
        <f t="shared" si="1"/>
        <v>67</v>
      </c>
      <c r="I32" s="21">
        <f>CODE(MID(Table2[[#This Row],[Description]],LEN(Table2[[#This Row],[Description]]),1))</f>
        <v>89</v>
      </c>
      <c r="J32">
        <f t="shared" si="2"/>
        <v>80</v>
      </c>
      <c r="K32">
        <f>CODE(MID(Table2[[#This Row],[Category]],LEN(Table2[[#This Row],[Category]]),1))</f>
        <v>114</v>
      </c>
    </row>
    <row r="33" spans="5:11">
      <c r="E33" s="167">
        <f t="shared" si="0"/>
        <v>2</v>
      </c>
      <c r="F33" s="169" t="s">
        <v>845</v>
      </c>
      <c r="G33" s="21" t="s">
        <v>674</v>
      </c>
      <c r="H33" s="21">
        <f t="shared" si="1"/>
        <v>67</v>
      </c>
      <c r="I33" s="21">
        <f>CODE(MID(Table2[[#This Row],[Description]],LEN(Table2[[#This Row],[Description]]),1))</f>
        <v>89</v>
      </c>
      <c r="J33">
        <f t="shared" si="2"/>
        <v>67</v>
      </c>
      <c r="K33">
        <f>CODE(MID(Table2[[#This Row],[Category]],LEN(Table2[[#This Row],[Category]]),1))</f>
        <v>116</v>
      </c>
    </row>
    <row r="34" spans="5:11">
      <c r="E34" s="167">
        <f t="shared" ref="E34:E65" si="3">IF(LEN(TRIM(F34))=0,0,LEN(TRIM(F34))-LEN(SUBSTITUTE(F34," ",""))+1)</f>
        <v>4</v>
      </c>
      <c r="F34" s="169" t="s">
        <v>673</v>
      </c>
      <c r="G34" s="21" t="s">
        <v>674</v>
      </c>
      <c r="H34" s="21">
        <f t="shared" si="1"/>
        <v>67</v>
      </c>
      <c r="I34" s="21">
        <f>CODE(MID(Table2[[#This Row],[Description]],LEN(Table2[[#This Row],[Description]]),1))</f>
        <v>84</v>
      </c>
      <c r="J34">
        <f t="shared" si="2"/>
        <v>67</v>
      </c>
      <c r="K34">
        <f>CODE(MID(Table2[[#This Row],[Category]],LEN(Table2[[#This Row],[Category]]),1))</f>
        <v>116</v>
      </c>
    </row>
    <row r="35" spans="5:11">
      <c r="E35" s="167">
        <f t="shared" si="3"/>
        <v>2</v>
      </c>
      <c r="F35" s="171" t="s">
        <v>846</v>
      </c>
      <c r="G35" s="21" t="s">
        <v>365</v>
      </c>
      <c r="H35" s="21">
        <f t="shared" si="1"/>
        <v>67</v>
      </c>
      <c r="I35" s="21">
        <f>CODE(MID(Table2[[#This Row],[Description]],LEN(Table2[[#This Row],[Description]]),1))</f>
        <v>84</v>
      </c>
      <c r="J35">
        <f t="shared" si="2"/>
        <v>80</v>
      </c>
      <c r="K35">
        <f>CODE(MID(Table2[[#This Row],[Category]],LEN(Table2[[#This Row],[Category]]),1))</f>
        <v>114</v>
      </c>
    </row>
    <row r="36" spans="5:11">
      <c r="E36" s="167">
        <f t="shared" si="3"/>
        <v>2</v>
      </c>
      <c r="F36" s="169" t="s">
        <v>846</v>
      </c>
      <c r="G36" s="21" t="s">
        <v>674</v>
      </c>
      <c r="H36" s="21">
        <f t="shared" ref="H36:H69" si="4">CODE(F36)</f>
        <v>67</v>
      </c>
      <c r="I36" s="21">
        <f>CODE(MID(Table2[[#This Row],[Description]],LEN(Table2[[#This Row],[Description]]),1))</f>
        <v>84</v>
      </c>
      <c r="J36">
        <f t="shared" ref="J36:J69" si="5">CODE(G36)</f>
        <v>67</v>
      </c>
      <c r="K36">
        <f>CODE(MID(Table2[[#This Row],[Category]],LEN(Table2[[#This Row],[Category]]),1))</f>
        <v>116</v>
      </c>
    </row>
    <row r="37" spans="5:11">
      <c r="E37" s="167">
        <f t="shared" si="3"/>
        <v>1</v>
      </c>
      <c r="F37" s="22" t="s">
        <v>932</v>
      </c>
      <c r="G37" s="21" t="s">
        <v>557</v>
      </c>
      <c r="H37" s="174">
        <f>CODE(F37)</f>
        <v>65</v>
      </c>
      <c r="I37" s="174">
        <f>CODE(MID(Table2[[#This Row],[Description]],LEN(Table2[[#This Row],[Description]]),1))</f>
        <v>65</v>
      </c>
      <c r="J37" s="133">
        <f>CODE(G37)</f>
        <v>65</v>
      </c>
      <c r="K37" s="133">
        <f>CODE(MID(Table2[[#This Row],[Category]],LEN(Table2[[#This Row],[Category]]),1))</f>
        <v>101</v>
      </c>
    </row>
    <row r="38" spans="5:11">
      <c r="E38" s="167">
        <f t="shared" si="3"/>
        <v>1</v>
      </c>
      <c r="F38" s="169" t="s">
        <v>675</v>
      </c>
      <c r="G38" s="21" t="s">
        <v>15</v>
      </c>
      <c r="H38" s="21">
        <f t="shared" si="4"/>
        <v>67</v>
      </c>
      <c r="I38" s="21">
        <f>CODE(MID(Table2[[#This Row],[Description]],LEN(Table2[[#This Row],[Description]]),1))</f>
        <v>84</v>
      </c>
      <c r="J38">
        <f t="shared" si="5"/>
        <v>83</v>
      </c>
      <c r="K38">
        <f>CODE(MID(Table2[[#This Row],[Category]],LEN(Table2[[#This Row],[Category]]),1))</f>
        <v>86</v>
      </c>
    </row>
    <row r="39" spans="5:11">
      <c r="E39" s="167">
        <f t="shared" si="3"/>
        <v>4</v>
      </c>
      <c r="F39" s="172" t="s">
        <v>555</v>
      </c>
      <c r="G39" s="21" t="s">
        <v>658</v>
      </c>
      <c r="H39" s="21">
        <f t="shared" si="4"/>
        <v>67</v>
      </c>
      <c r="I39" s="21">
        <f>CODE(MID(Table2[[#This Row],[Description]],LEN(Table2[[#This Row],[Description]]),1))</f>
        <v>116</v>
      </c>
      <c r="J39">
        <f t="shared" si="5"/>
        <v>42</v>
      </c>
      <c r="K39">
        <f>CODE(MID(Table2[[#This Row],[Category]],LEN(Table2[[#This Row],[Category]]),1))</f>
        <v>42</v>
      </c>
    </row>
    <row r="40" spans="5:11">
      <c r="E40" s="167">
        <f t="shared" si="3"/>
        <v>4</v>
      </c>
      <c r="F40" s="22" t="s">
        <v>839</v>
      </c>
      <c r="G40" s="18" t="s">
        <v>89</v>
      </c>
      <c r="H40" s="133">
        <f t="shared" si="4"/>
        <v>67</v>
      </c>
      <c r="I40" s="133">
        <f>CODE(MID(Table2[[#This Row],[Description]],LEN(Table2[[#This Row],[Description]]),1))</f>
        <v>79</v>
      </c>
      <c r="J40">
        <f t="shared" si="5"/>
        <v>68</v>
      </c>
      <c r="K40">
        <f>CODE(MID(Table2[[#This Row],[Category]],LEN(Table2[[#This Row],[Category]]),1))</f>
        <v>115</v>
      </c>
    </row>
    <row r="41" spans="5:11">
      <c r="E41" s="167">
        <f t="shared" si="3"/>
        <v>2</v>
      </c>
      <c r="F41" s="172" t="s">
        <v>645</v>
      </c>
      <c r="G41" s="21" t="s">
        <v>145</v>
      </c>
      <c r="H41" s="21">
        <f t="shared" si="4"/>
        <v>67</v>
      </c>
      <c r="I41" s="21">
        <f>CODE(MID(Table2[[#This Row],[Description]],LEN(Table2[[#This Row],[Description]]),1))</f>
        <v>110</v>
      </c>
      <c r="J41">
        <f t="shared" si="5"/>
        <v>68</v>
      </c>
      <c r="K41">
        <f>CODE(MID(Table2[[#This Row],[Category]],LEN(Table2[[#This Row],[Category]]),1))</f>
        <v>116</v>
      </c>
    </row>
    <row r="42" spans="5:11">
      <c r="E42" s="167">
        <f t="shared" si="3"/>
        <v>2</v>
      </c>
      <c r="F42" s="169" t="s">
        <v>676</v>
      </c>
      <c r="G42" s="21" t="s">
        <v>558</v>
      </c>
      <c r="H42" s="21">
        <f t="shared" si="4"/>
        <v>67</v>
      </c>
      <c r="I42" s="21">
        <f>CODE(MID(Table2[[#This Row],[Description]],LEN(Table2[[#This Row],[Description]]),1))</f>
        <v>83</v>
      </c>
      <c r="J42">
        <f t="shared" si="5"/>
        <v>65</v>
      </c>
      <c r="K42">
        <f>CODE(MID(Table2[[#This Row],[Category]],LEN(Table2[[#This Row],[Category]]),1))</f>
        <v>108</v>
      </c>
    </row>
    <row r="43" spans="5:11">
      <c r="E43" s="167">
        <f t="shared" si="3"/>
        <v>2</v>
      </c>
      <c r="F43" s="169" t="s">
        <v>677</v>
      </c>
      <c r="G43" s="21" t="s">
        <v>24</v>
      </c>
      <c r="H43" s="21">
        <f t="shared" si="4"/>
        <v>67</v>
      </c>
      <c r="I43" s="21">
        <f>CODE(MID(Table2[[#This Row],[Description]],LEN(Table2[[#This Row],[Description]]),1))</f>
        <v>80</v>
      </c>
      <c r="J43">
        <f t="shared" si="5"/>
        <v>77</v>
      </c>
      <c r="K43">
        <f>CODE(MID(Table2[[#This Row],[Category]],LEN(Table2[[#This Row],[Category]]),1))</f>
        <v>112</v>
      </c>
    </row>
    <row r="44" spans="5:11">
      <c r="E44" s="167">
        <f t="shared" si="3"/>
        <v>2</v>
      </c>
      <c r="F44" s="169" t="s">
        <v>678</v>
      </c>
      <c r="G44" s="21" t="s">
        <v>11</v>
      </c>
      <c r="H44" s="21">
        <f t="shared" si="4"/>
        <v>67</v>
      </c>
      <c r="I44" s="21">
        <f>CODE(MID(Table2[[#This Row],[Description]],LEN(Table2[[#This Row],[Description]]),1))</f>
        <v>69</v>
      </c>
      <c r="J44">
        <f t="shared" si="5"/>
        <v>71</v>
      </c>
      <c r="K44">
        <f>CODE(MID(Table2[[#This Row],[Category]],LEN(Table2[[#This Row],[Category]]),1))</f>
        <v>115</v>
      </c>
    </row>
    <row r="45" spans="5:11">
      <c r="E45" s="167">
        <f t="shared" si="3"/>
        <v>1</v>
      </c>
      <c r="F45" s="169" t="s">
        <v>679</v>
      </c>
      <c r="G45" s="21" t="s">
        <v>657</v>
      </c>
      <c r="H45" s="21">
        <f t="shared" si="4"/>
        <v>67</v>
      </c>
      <c r="I45" s="21">
        <f>CODE(MID(Table2[[#This Row],[Description]],LEN(Table2[[#This Row],[Description]]),1))</f>
        <v>73</v>
      </c>
      <c r="J45">
        <f t="shared" si="5"/>
        <v>67</v>
      </c>
      <c r="K45">
        <f>CODE(MID(Table2[[#This Row],[Category]],LEN(Table2[[#This Row],[Category]]),1))</f>
        <v>115</v>
      </c>
    </row>
    <row r="46" spans="5:11">
      <c r="E46" s="167">
        <f t="shared" si="3"/>
        <v>1</v>
      </c>
      <c r="F46" s="169" t="s">
        <v>680</v>
      </c>
      <c r="G46" s="21" t="s">
        <v>85</v>
      </c>
      <c r="H46" s="21">
        <f t="shared" si="4"/>
        <v>67</v>
      </c>
      <c r="I46" s="21">
        <f>CODE(MID(Table2[[#This Row],[Description]],LEN(Table2[[#This Row],[Description]]),1))</f>
        <v>83</v>
      </c>
      <c r="J46">
        <f t="shared" si="5"/>
        <v>68</v>
      </c>
      <c r="K46">
        <f>CODE(MID(Table2[[#This Row],[Category]],LEN(Table2[[#This Row],[Category]]),1))</f>
        <v>100</v>
      </c>
    </row>
    <row r="47" spans="5:11">
      <c r="E47" s="167">
        <f t="shared" si="3"/>
        <v>1</v>
      </c>
      <c r="F47" s="169" t="s">
        <v>734</v>
      </c>
      <c r="G47" s="21" t="s">
        <v>265</v>
      </c>
      <c r="H47" s="21">
        <f t="shared" si="4"/>
        <v>67</v>
      </c>
      <c r="I47" s="21">
        <f>CODE(MID(Table2[[#This Row],[Description]],LEN(Table2[[#This Row],[Description]]),1))</f>
        <v>89</v>
      </c>
      <c r="J47">
        <f t="shared" si="5"/>
        <v>77</v>
      </c>
      <c r="K47">
        <f>CODE(MID(Table2[[#This Row],[Category]],LEN(Table2[[#This Row],[Category]]),1))</f>
        <v>101</v>
      </c>
    </row>
    <row r="48" spans="5:11">
      <c r="E48" s="167">
        <f t="shared" si="3"/>
        <v>2</v>
      </c>
      <c r="F48" s="169" t="s">
        <v>822</v>
      </c>
      <c r="G48" s="21" t="s">
        <v>19</v>
      </c>
      <c r="H48" s="21">
        <f t="shared" si="4"/>
        <v>68</v>
      </c>
      <c r="I48" s="21">
        <f>CODE(MID(Table2[[#This Row],[Description]],LEN(Table2[[#This Row],[Description]]),1))</f>
        <v>69</v>
      </c>
      <c r="J48">
        <f t="shared" si="5"/>
        <v>77</v>
      </c>
      <c r="K48">
        <f>CODE(MID(Table2[[#This Row],[Category]],LEN(Table2[[#This Row],[Category]]),1))</f>
        <v>101</v>
      </c>
    </row>
    <row r="49" spans="5:11">
      <c r="E49" s="167">
        <f t="shared" si="3"/>
        <v>3</v>
      </c>
      <c r="F49" s="169" t="s">
        <v>817</v>
      </c>
      <c r="G49" s="21" t="s">
        <v>85</v>
      </c>
      <c r="H49" s="21">
        <f t="shared" si="4"/>
        <v>68</v>
      </c>
      <c r="I49" s="21">
        <f>CODE(MID(Table2[[#This Row],[Description]],LEN(Table2[[#This Row],[Description]]),1))</f>
        <v>65</v>
      </c>
      <c r="J49">
        <f t="shared" si="5"/>
        <v>68</v>
      </c>
      <c r="K49">
        <f>CODE(MID(Table2[[#This Row],[Category]],LEN(Table2[[#This Row],[Category]]),1))</f>
        <v>100</v>
      </c>
    </row>
    <row r="50" spans="5:11">
      <c r="E50" s="167">
        <f t="shared" si="3"/>
        <v>1</v>
      </c>
      <c r="F50" s="169" t="s">
        <v>681</v>
      </c>
      <c r="G50" s="21" t="s">
        <v>15</v>
      </c>
      <c r="H50" s="21">
        <f t="shared" si="4"/>
        <v>68</v>
      </c>
      <c r="I50" s="21">
        <f>CODE(MID(Table2[[#This Row],[Description]],LEN(Table2[[#This Row],[Description]]),1))</f>
        <v>83</v>
      </c>
      <c r="J50">
        <f t="shared" si="5"/>
        <v>83</v>
      </c>
      <c r="K50">
        <f>CODE(MID(Table2[[#This Row],[Category]],LEN(Table2[[#This Row],[Category]]),1))</f>
        <v>86</v>
      </c>
    </row>
    <row r="51" spans="5:11">
      <c r="E51" s="167">
        <f t="shared" si="3"/>
        <v>2</v>
      </c>
      <c r="F51" s="169" t="s">
        <v>682</v>
      </c>
      <c r="G51" s="21" t="s">
        <v>35</v>
      </c>
      <c r="H51" s="21">
        <f t="shared" si="4"/>
        <v>68</v>
      </c>
      <c r="I51" s="21">
        <f>CODE(MID(Table2[[#This Row],[Description]],LEN(Table2[[#This Row],[Description]]),1))</f>
        <v>76</v>
      </c>
      <c r="J51">
        <f t="shared" si="5"/>
        <v>77</v>
      </c>
      <c r="K51">
        <f>CODE(MID(Table2[[#This Row],[Category]],LEN(Table2[[#This Row],[Category]]),1))</f>
        <v>114</v>
      </c>
    </row>
    <row r="52" spans="5:11">
      <c r="E52" s="167">
        <f t="shared" si="3"/>
        <v>2</v>
      </c>
      <c r="F52" s="169" t="s">
        <v>823</v>
      </c>
      <c r="G52" s="21" t="s">
        <v>85</v>
      </c>
      <c r="H52" s="21">
        <f t="shared" si="4"/>
        <v>68</v>
      </c>
      <c r="I52" s="21">
        <f>CODE(MID(Table2[[#This Row],[Description]],LEN(Table2[[#This Row],[Description]]),1))</f>
        <v>65</v>
      </c>
      <c r="J52">
        <f t="shared" si="5"/>
        <v>68</v>
      </c>
      <c r="K52">
        <f>CODE(MID(Table2[[#This Row],[Category]],LEN(Table2[[#This Row],[Category]]),1))</f>
        <v>100</v>
      </c>
    </row>
    <row r="53" spans="5:11">
      <c r="E53" s="167">
        <f t="shared" si="3"/>
        <v>1</v>
      </c>
      <c r="F53" s="22" t="s">
        <v>952</v>
      </c>
      <c r="G53" s="21" t="s">
        <v>85</v>
      </c>
      <c r="H53" s="174">
        <f>CODE(F53)</f>
        <v>68</v>
      </c>
      <c r="I53" s="174">
        <f>CODE(MID(Table2[[#This Row],[Description]],LEN(Table2[[#This Row],[Description]]),1))</f>
        <v>83</v>
      </c>
      <c r="J53" s="133">
        <f>CODE(G53)</f>
        <v>68</v>
      </c>
      <c r="K53" s="133">
        <f>CODE(MID(Table2[[#This Row],[Category]],LEN(Table2[[#This Row],[Category]]),1))</f>
        <v>100</v>
      </c>
    </row>
    <row r="54" spans="5:11">
      <c r="E54" s="167">
        <f t="shared" si="3"/>
        <v>1</v>
      </c>
      <c r="F54" s="169" t="s">
        <v>683</v>
      </c>
      <c r="G54" s="21" t="s">
        <v>146</v>
      </c>
      <c r="H54" s="21">
        <f t="shared" si="4"/>
        <v>68</v>
      </c>
      <c r="I54" s="21">
        <f>CODE(MID(Table2[[#This Row],[Description]],LEN(Table2[[#This Row],[Description]]),1))</f>
        <v>69</v>
      </c>
      <c r="J54">
        <f t="shared" si="5"/>
        <v>83</v>
      </c>
      <c r="K54">
        <f>CODE(MID(Table2[[#This Row],[Category]],LEN(Table2[[#This Row],[Category]]),1))</f>
        <v>115</v>
      </c>
    </row>
    <row r="55" spans="5:11">
      <c r="E55" s="167">
        <f t="shared" si="3"/>
        <v>1</v>
      </c>
      <c r="F55" s="169" t="s">
        <v>684</v>
      </c>
      <c r="G55" s="21" t="s">
        <v>18</v>
      </c>
      <c r="H55" s="21">
        <f t="shared" si="4"/>
        <v>68</v>
      </c>
      <c r="I55" s="21">
        <f>CODE(MID(Table2[[#This Row],[Description]],LEN(Table2[[#This Row],[Description]]),1))</f>
        <v>83</v>
      </c>
      <c r="J55">
        <f t="shared" si="5"/>
        <v>69</v>
      </c>
      <c r="K55">
        <f>CODE(MID(Table2[[#This Row],[Category]],LEN(Table2[[#This Row],[Category]]),1))</f>
        <v>116</v>
      </c>
    </row>
    <row r="56" spans="5:11">
      <c r="E56" s="167">
        <f t="shared" si="3"/>
        <v>2</v>
      </c>
      <c r="F56" s="169" t="s">
        <v>685</v>
      </c>
      <c r="G56" s="21" t="s">
        <v>11</v>
      </c>
      <c r="H56" s="21">
        <f t="shared" si="4"/>
        <v>69</v>
      </c>
      <c r="I56" s="21">
        <f>CODE(MID(Table2[[#This Row],[Description]],LEN(Table2[[#This Row],[Description]]),1))</f>
        <v>76</v>
      </c>
      <c r="J56">
        <f t="shared" si="5"/>
        <v>71</v>
      </c>
      <c r="K56">
        <f>CODE(MID(Table2[[#This Row],[Category]],LEN(Table2[[#This Row],[Category]]),1))</f>
        <v>115</v>
      </c>
    </row>
    <row r="57" spans="5:11">
      <c r="E57" s="167">
        <f t="shared" si="3"/>
        <v>1</v>
      </c>
      <c r="F57" s="169" t="s">
        <v>686</v>
      </c>
      <c r="G57" s="21" t="s">
        <v>318</v>
      </c>
      <c r="H57" s="21">
        <f t="shared" si="4"/>
        <v>69</v>
      </c>
      <c r="I57" s="21">
        <f>CODE(MID(Table2[[#This Row],[Description]],LEN(Table2[[#This Row],[Description]]),1))</f>
        <v>69</v>
      </c>
      <c r="J57">
        <f t="shared" si="5"/>
        <v>80</v>
      </c>
      <c r="K57">
        <f>CODE(MID(Table2[[#This Row],[Category]],LEN(Table2[[#This Row],[Category]]),1))</f>
        <v>115</v>
      </c>
    </row>
    <row r="58" spans="5:11">
      <c r="E58" s="167">
        <f t="shared" si="3"/>
        <v>1</v>
      </c>
      <c r="F58" s="169" t="s">
        <v>687</v>
      </c>
      <c r="G58" s="21" t="s">
        <v>316</v>
      </c>
      <c r="H58" s="21">
        <f t="shared" si="4"/>
        <v>69</v>
      </c>
      <c r="I58" s="21">
        <f>CODE(MID(Table2[[#This Row],[Description]],LEN(Table2[[#This Row],[Description]]),1))</f>
        <v>69</v>
      </c>
      <c r="J58">
        <f t="shared" si="5"/>
        <v>65</v>
      </c>
      <c r="K58">
        <f>CODE(MID(Table2[[#This Row],[Category]],LEN(Table2[[#This Row],[Category]]),1))</f>
        <v>101</v>
      </c>
    </row>
    <row r="59" spans="5:11">
      <c r="E59" s="167">
        <f t="shared" si="3"/>
        <v>1</v>
      </c>
      <c r="F59" s="169" t="s">
        <v>688</v>
      </c>
      <c r="G59" s="21" t="s">
        <v>558</v>
      </c>
      <c r="H59" s="21">
        <f t="shared" si="4"/>
        <v>69</v>
      </c>
      <c r="I59" s="21">
        <f>CODE(MID(Table2[[#This Row],[Description]],LEN(Table2[[#This Row],[Description]]),1))</f>
        <v>76</v>
      </c>
      <c r="J59">
        <f t="shared" si="5"/>
        <v>65</v>
      </c>
      <c r="K59">
        <f>CODE(MID(Table2[[#This Row],[Category]],LEN(Table2[[#This Row],[Category]]),1))</f>
        <v>108</v>
      </c>
    </row>
    <row r="60" spans="5:11">
      <c r="E60" s="167">
        <f t="shared" si="3"/>
        <v>2</v>
      </c>
      <c r="F60" s="169" t="s">
        <v>824</v>
      </c>
      <c r="G60" s="21" t="s">
        <v>94</v>
      </c>
      <c r="H60" s="21">
        <f t="shared" si="4"/>
        <v>70</v>
      </c>
      <c r="I60" s="21">
        <f>CODE(MID(Table2[[#This Row],[Description]],LEN(Table2[[#This Row],[Description]]),1))</f>
        <v>70</v>
      </c>
      <c r="J60">
        <f t="shared" si="5"/>
        <v>70</v>
      </c>
      <c r="K60">
        <f>CODE(MID(Table2[[#This Row],[Category]],LEN(Table2[[#This Row],[Category]]),1))</f>
        <v>70</v>
      </c>
    </row>
    <row r="61" spans="5:11">
      <c r="E61" s="167">
        <f t="shared" si="3"/>
        <v>1</v>
      </c>
      <c r="F61" s="169" t="s">
        <v>689</v>
      </c>
      <c r="G61" s="21" t="s">
        <v>589</v>
      </c>
      <c r="H61" s="21">
        <f t="shared" si="4"/>
        <v>70</v>
      </c>
      <c r="I61" s="21">
        <f>CODE(MID(Table2[[#This Row],[Description]],LEN(Table2[[#This Row],[Description]]),1))</f>
        <v>57</v>
      </c>
      <c r="J61">
        <f t="shared" si="5"/>
        <v>97</v>
      </c>
      <c r="K61">
        <f>CODE(MID(Table2[[#This Row],[Category]],LEN(Table2[[#This Row],[Category]]),1))</f>
        <v>101</v>
      </c>
    </row>
    <row r="62" spans="5:11">
      <c r="E62" s="167">
        <f t="shared" si="3"/>
        <v>2</v>
      </c>
      <c r="F62" s="169" t="s">
        <v>690</v>
      </c>
      <c r="G62" s="21" t="s">
        <v>18</v>
      </c>
      <c r="H62" s="21">
        <f t="shared" si="4"/>
        <v>70</v>
      </c>
      <c r="I62" s="21">
        <f>CODE(MID(Table2[[#This Row],[Description]],LEN(Table2[[#This Row],[Description]]),1))</f>
        <v>69</v>
      </c>
      <c r="J62">
        <f t="shared" si="5"/>
        <v>69</v>
      </c>
      <c r="K62">
        <f>CODE(MID(Table2[[#This Row],[Category]],LEN(Table2[[#This Row],[Category]]),1))</f>
        <v>116</v>
      </c>
    </row>
    <row r="63" spans="5:11">
      <c r="E63" s="167">
        <f t="shared" si="3"/>
        <v>3</v>
      </c>
      <c r="F63" s="22" t="s">
        <v>851</v>
      </c>
      <c r="G63" s="18" t="s">
        <v>19</v>
      </c>
      <c r="H63" s="133">
        <f t="shared" si="4"/>
        <v>71</v>
      </c>
      <c r="I63" s="133">
        <f>CODE(MID(Table2[[#This Row],[Description]],LEN(Table2[[#This Row],[Description]]),1))</f>
        <v>82</v>
      </c>
      <c r="J63">
        <f t="shared" si="5"/>
        <v>77</v>
      </c>
      <c r="K63">
        <f>CODE(MID(Table2[[#This Row],[Category]],LEN(Table2[[#This Row],[Category]]),1))</f>
        <v>101</v>
      </c>
    </row>
    <row r="64" spans="5:11">
      <c r="E64" s="167">
        <f t="shared" si="3"/>
        <v>3</v>
      </c>
      <c r="F64" s="22" t="s">
        <v>852</v>
      </c>
      <c r="G64" s="21" t="s">
        <v>145</v>
      </c>
      <c r="H64" s="21">
        <f t="shared" si="4"/>
        <v>71</v>
      </c>
      <c r="I64" s="21">
        <f>CODE(MID(Table2[[#This Row],[Description]],LEN(Table2[[#This Row],[Description]]),1))</f>
        <v>90</v>
      </c>
      <c r="J64">
        <f t="shared" si="5"/>
        <v>68</v>
      </c>
      <c r="K64">
        <f>CODE(MID(Table2[[#This Row],[Category]],LEN(Table2[[#This Row],[Category]]),1))</f>
        <v>116</v>
      </c>
    </row>
    <row r="65" spans="5:11">
      <c r="E65" s="167">
        <f t="shared" si="3"/>
        <v>5</v>
      </c>
      <c r="F65" s="169" t="s">
        <v>811</v>
      </c>
      <c r="G65" s="21" t="s">
        <v>289</v>
      </c>
      <c r="H65" s="21">
        <f t="shared" si="4"/>
        <v>71</v>
      </c>
      <c r="I65" s="21">
        <f>CODE(MID(Table2[[#This Row],[Description]],LEN(Table2[[#This Row],[Description]]),1))</f>
        <v>76</v>
      </c>
      <c r="J65">
        <f t="shared" si="5"/>
        <v>87</v>
      </c>
      <c r="K65">
        <f>CODE(MID(Table2[[#This Row],[Category]],LEN(Table2[[#This Row],[Category]]),1))</f>
        <v>108</v>
      </c>
    </row>
    <row r="66" spans="5:11">
      <c r="E66" s="167">
        <f t="shared" ref="E66:E97" si="6">IF(LEN(TRIM(F66))=0,0,LEN(TRIM(F66))-LEN(SUBSTITUTE(F66," ",""))+1)</f>
        <v>2</v>
      </c>
      <c r="F66" s="169" t="s">
        <v>735</v>
      </c>
      <c r="G66" s="21" t="s">
        <v>613</v>
      </c>
      <c r="H66" s="21">
        <f t="shared" si="4"/>
        <v>72</v>
      </c>
      <c r="I66" s="21">
        <f>CODE(MID(Table2[[#This Row],[Description]],LEN(Table2[[#This Row],[Description]]),1))</f>
        <v>84</v>
      </c>
      <c r="J66">
        <f t="shared" si="5"/>
        <v>67</v>
      </c>
      <c r="K66">
        <f>CODE(MID(Table2[[#This Row],[Category]],LEN(Table2[[#This Row],[Category]]),1))</f>
        <v>116</v>
      </c>
    </row>
    <row r="67" spans="5:11">
      <c r="E67" s="167">
        <f t="shared" si="6"/>
        <v>2</v>
      </c>
      <c r="F67" s="169" t="s">
        <v>735</v>
      </c>
      <c r="G67" s="21" t="s">
        <v>19</v>
      </c>
      <c r="H67" s="21">
        <f t="shared" si="4"/>
        <v>72</v>
      </c>
      <c r="I67" s="21">
        <f>CODE(MID(Table2[[#This Row],[Description]],LEN(Table2[[#This Row],[Description]]),1))</f>
        <v>84</v>
      </c>
      <c r="J67">
        <f t="shared" si="5"/>
        <v>77</v>
      </c>
      <c r="K67">
        <f>CODE(MID(Table2[[#This Row],[Category]],LEN(Table2[[#This Row],[Category]]),1))</f>
        <v>101</v>
      </c>
    </row>
    <row r="68" spans="5:11">
      <c r="E68" s="167">
        <f t="shared" si="6"/>
        <v>2</v>
      </c>
      <c r="F68" s="169" t="s">
        <v>825</v>
      </c>
      <c r="G68" s="21" t="s">
        <v>255</v>
      </c>
      <c r="H68" s="21">
        <f t="shared" si="4"/>
        <v>73</v>
      </c>
      <c r="I68" s="21">
        <f>CODE(MID(Table2[[#This Row],[Description]],LEN(Table2[[#This Row],[Description]]),1))</f>
        <v>69</v>
      </c>
      <c r="J68">
        <f t="shared" si="5"/>
        <v>70</v>
      </c>
      <c r="K68">
        <f>CODE(MID(Table2[[#This Row],[Category]],LEN(Table2[[#This Row],[Category]]),1))</f>
        <v>116</v>
      </c>
    </row>
    <row r="69" spans="5:11">
      <c r="E69" s="167">
        <f t="shared" si="6"/>
        <v>2</v>
      </c>
      <c r="F69" s="169" t="s">
        <v>691</v>
      </c>
      <c r="G69" s="21" t="s">
        <v>255</v>
      </c>
      <c r="H69" s="21">
        <f t="shared" si="4"/>
        <v>73</v>
      </c>
      <c r="I69" s="21">
        <f>CODE(MID(Table2[[#This Row],[Description]],LEN(Table2[[#This Row],[Description]]),1))</f>
        <v>68</v>
      </c>
      <c r="J69">
        <f t="shared" si="5"/>
        <v>70</v>
      </c>
      <c r="K69">
        <f>CODE(MID(Table2[[#This Row],[Category]],LEN(Table2[[#This Row],[Category]]),1))</f>
        <v>116</v>
      </c>
    </row>
    <row r="70" spans="5:11">
      <c r="E70" s="167">
        <f t="shared" si="6"/>
        <v>2</v>
      </c>
      <c r="F70" s="169" t="s">
        <v>826</v>
      </c>
      <c r="G70" s="21" t="s">
        <v>9</v>
      </c>
      <c r="H70" s="21">
        <f t="shared" ref="H70:H101" si="7">CODE(F70)</f>
        <v>73</v>
      </c>
      <c r="I70" s="21">
        <f>CODE(MID(Table2[[#This Row],[Description]],LEN(Table2[[#This Row],[Description]]),1))</f>
        <v>68</v>
      </c>
      <c r="J70">
        <f t="shared" ref="J70:J101" si="8">CODE(G70)</f>
        <v>73</v>
      </c>
      <c r="K70">
        <f>CODE(MID(Table2[[#This Row],[Category]],LEN(Table2[[#This Row],[Category]]),1))</f>
        <v>101</v>
      </c>
    </row>
    <row r="71" spans="5:11">
      <c r="E71" s="167">
        <f t="shared" si="6"/>
        <v>2</v>
      </c>
      <c r="F71" s="169" t="s">
        <v>692</v>
      </c>
      <c r="G71" s="21" t="s">
        <v>85</v>
      </c>
      <c r="H71" s="21">
        <f t="shared" si="7"/>
        <v>74</v>
      </c>
      <c r="I71" s="21">
        <f>CODE(MID(Table2[[#This Row],[Description]],LEN(Table2[[#This Row],[Description]]),1))</f>
        <v>65</v>
      </c>
      <c r="J71">
        <f t="shared" si="8"/>
        <v>68</v>
      </c>
      <c r="K71">
        <f>CODE(MID(Table2[[#This Row],[Category]],LEN(Table2[[#This Row],[Category]]),1))</f>
        <v>100</v>
      </c>
    </row>
    <row r="72" spans="5:11">
      <c r="E72" s="167">
        <f t="shared" si="6"/>
        <v>2</v>
      </c>
      <c r="F72" s="169" t="s">
        <v>693</v>
      </c>
      <c r="G72" s="21" t="s">
        <v>18</v>
      </c>
      <c r="H72" s="21">
        <f t="shared" si="7"/>
        <v>74</v>
      </c>
      <c r="I72" s="21">
        <f>CODE(MID(Table2[[#This Row],[Description]],LEN(Table2[[#This Row],[Description]]),1))</f>
        <v>78</v>
      </c>
      <c r="J72">
        <f t="shared" si="8"/>
        <v>69</v>
      </c>
      <c r="K72">
        <f>CODE(MID(Table2[[#This Row],[Category]],LEN(Table2[[#This Row],[Category]]),1))</f>
        <v>116</v>
      </c>
    </row>
    <row r="73" spans="5:11">
      <c r="E73" s="167">
        <f t="shared" si="6"/>
        <v>2</v>
      </c>
      <c r="F73" s="169" t="s">
        <v>694</v>
      </c>
      <c r="G73" s="21" t="s">
        <v>87</v>
      </c>
      <c r="H73" s="21">
        <f t="shared" si="7"/>
        <v>74</v>
      </c>
      <c r="I73" s="21">
        <f>CODE(MID(Table2[[#This Row],[Description]],LEN(Table2[[#This Row],[Description]]),1))</f>
        <v>83</v>
      </c>
      <c r="J73">
        <f t="shared" si="8"/>
        <v>68</v>
      </c>
      <c r="K73">
        <f>CODE(MID(Table2[[#This Row],[Category]],LEN(Table2[[#This Row],[Category]]),1))</f>
        <v>115</v>
      </c>
    </row>
    <row r="74" spans="5:11">
      <c r="E74" s="167">
        <f t="shared" si="6"/>
        <v>1</v>
      </c>
      <c r="F74" s="22" t="s">
        <v>853</v>
      </c>
      <c r="G74" s="21" t="s">
        <v>944</v>
      </c>
      <c r="H74" s="21">
        <f t="shared" si="7"/>
        <v>74</v>
      </c>
      <c r="I74" s="21">
        <f>CODE(MID(Table2[[#This Row],[Description]],LEN(Table2[[#This Row],[Description]]),1))</f>
        <v>82</v>
      </c>
      <c r="J74">
        <f t="shared" si="8"/>
        <v>83</v>
      </c>
      <c r="K74">
        <f>CODE(MID(Table2[[#This Row],[Category]],LEN(Table2[[#This Row],[Category]]),1))</f>
        <v>116</v>
      </c>
    </row>
    <row r="75" spans="5:11">
      <c r="E75" s="167">
        <f t="shared" si="6"/>
        <v>3</v>
      </c>
      <c r="F75" s="169" t="s">
        <v>695</v>
      </c>
      <c r="G75" s="21" t="s">
        <v>145</v>
      </c>
      <c r="H75" s="21">
        <f t="shared" si="7"/>
        <v>75</v>
      </c>
      <c r="I75" s="21">
        <f>CODE(MID(Table2[[#This Row],[Description]],LEN(Table2[[#This Row],[Description]]),1))</f>
        <v>68</v>
      </c>
      <c r="J75">
        <f t="shared" si="8"/>
        <v>68</v>
      </c>
      <c r="K75">
        <f>CODE(MID(Table2[[#This Row],[Category]],LEN(Table2[[#This Row],[Category]]),1))</f>
        <v>116</v>
      </c>
    </row>
    <row r="76" spans="5:11">
      <c r="E76" s="167">
        <f t="shared" si="6"/>
        <v>1</v>
      </c>
      <c r="F76" s="169" t="s">
        <v>696</v>
      </c>
      <c r="G76" s="21" t="s">
        <v>85</v>
      </c>
      <c r="H76" s="21">
        <f t="shared" si="7"/>
        <v>75</v>
      </c>
      <c r="I76" s="21">
        <f>CODE(MID(Table2[[#This Row],[Description]],LEN(Table2[[#This Row],[Description]]),1))</f>
        <v>67</v>
      </c>
      <c r="J76">
        <f t="shared" si="8"/>
        <v>68</v>
      </c>
      <c r="K76">
        <f>CODE(MID(Table2[[#This Row],[Category]],LEN(Table2[[#This Row],[Category]]),1))</f>
        <v>100</v>
      </c>
    </row>
    <row r="77" spans="5:11">
      <c r="E77" s="167">
        <f t="shared" si="6"/>
        <v>1</v>
      </c>
      <c r="F77" s="169" t="s">
        <v>698</v>
      </c>
      <c r="G77" s="18" t="s">
        <v>11</v>
      </c>
      <c r="H77" s="133">
        <f t="shared" si="7"/>
        <v>75</v>
      </c>
      <c r="I77" s="133">
        <f>CODE(MID(Table2[[#This Row],[Description]],LEN(Table2[[#This Row],[Description]]),1))</f>
        <v>82</v>
      </c>
      <c r="J77">
        <f t="shared" si="8"/>
        <v>71</v>
      </c>
      <c r="K77">
        <f>CODE(MID(Table2[[#This Row],[Category]],LEN(Table2[[#This Row],[Category]]),1))</f>
        <v>115</v>
      </c>
    </row>
    <row r="78" spans="5:11">
      <c r="E78" s="167">
        <f t="shared" si="6"/>
        <v>2</v>
      </c>
      <c r="F78" s="169" t="s">
        <v>697</v>
      </c>
      <c r="G78" s="21" t="s">
        <v>558</v>
      </c>
      <c r="H78" s="21">
        <f t="shared" si="7"/>
        <v>75</v>
      </c>
      <c r="I78" s="21">
        <f>CODE(MID(Table2[[#This Row],[Description]],LEN(Table2[[#This Row],[Description]]),1))</f>
        <v>76</v>
      </c>
      <c r="J78">
        <f t="shared" si="8"/>
        <v>65</v>
      </c>
      <c r="K78">
        <f>CODE(MID(Table2[[#This Row],[Category]],LEN(Table2[[#This Row],[Category]]),1))</f>
        <v>108</v>
      </c>
    </row>
    <row r="79" spans="5:11">
      <c r="E79" s="167">
        <f t="shared" si="6"/>
        <v>1</v>
      </c>
      <c r="F79" s="169" t="s">
        <v>732</v>
      </c>
      <c r="G79" s="21" t="s">
        <v>531</v>
      </c>
      <c r="H79" s="21">
        <f t="shared" si="7"/>
        <v>76</v>
      </c>
      <c r="I79" s="21">
        <f>CODE(MID(Table2[[#This Row],[Description]],LEN(Table2[[#This Row],[Description]]),1))</f>
        <v>78</v>
      </c>
      <c r="J79">
        <f t="shared" si="8"/>
        <v>67</v>
      </c>
      <c r="K79">
        <f>CODE(MID(Table2[[#This Row],[Category]],LEN(Table2[[#This Row],[Category]]),1))</f>
        <v>110</v>
      </c>
    </row>
    <row r="80" spans="5:11">
      <c r="E80" s="167">
        <f t="shared" si="6"/>
        <v>1</v>
      </c>
      <c r="F80" s="170" t="s">
        <v>732</v>
      </c>
      <c r="G80" s="18" t="s">
        <v>531</v>
      </c>
      <c r="H80" s="133">
        <f t="shared" si="7"/>
        <v>76</v>
      </c>
      <c r="I80" s="133">
        <f>CODE(MID(Table2[[#This Row],[Description]],LEN(Table2[[#This Row],[Description]]),1))</f>
        <v>78</v>
      </c>
      <c r="J80">
        <f t="shared" si="8"/>
        <v>67</v>
      </c>
      <c r="K80">
        <f>CODE(MID(Table2[[#This Row],[Category]],LEN(Table2[[#This Row],[Category]]),1))</f>
        <v>110</v>
      </c>
    </row>
    <row r="81" spans="5:11">
      <c r="E81" s="167">
        <f t="shared" si="6"/>
        <v>2</v>
      </c>
      <c r="F81" s="169" t="s">
        <v>699</v>
      </c>
      <c r="G81" s="21" t="s">
        <v>85</v>
      </c>
      <c r="H81" s="21">
        <f t="shared" si="7"/>
        <v>76</v>
      </c>
      <c r="I81" s="21">
        <f>CODE(MID(Table2[[#This Row],[Description]],LEN(Table2[[#This Row],[Description]]),1))</f>
        <v>83</v>
      </c>
      <c r="J81">
        <f t="shared" si="8"/>
        <v>68</v>
      </c>
      <c r="K81">
        <f>CODE(MID(Table2[[#This Row],[Category]],LEN(Table2[[#This Row],[Category]]),1))</f>
        <v>100</v>
      </c>
    </row>
    <row r="82" spans="5:11">
      <c r="E82" s="167">
        <f t="shared" si="6"/>
        <v>1</v>
      </c>
      <c r="F82" s="169" t="s">
        <v>700</v>
      </c>
      <c r="G82" s="21" t="s">
        <v>145</v>
      </c>
      <c r="H82" s="21">
        <f t="shared" si="7"/>
        <v>76</v>
      </c>
      <c r="I82" s="21">
        <f>CODE(MID(Table2[[#This Row],[Description]],LEN(Table2[[#This Row],[Description]]),1))</f>
        <v>83</v>
      </c>
      <c r="J82">
        <f t="shared" si="8"/>
        <v>68</v>
      </c>
      <c r="K82">
        <f>CODE(MID(Table2[[#This Row],[Category]],LEN(Table2[[#This Row],[Category]]),1))</f>
        <v>116</v>
      </c>
    </row>
    <row r="83" spans="5:11">
      <c r="E83" s="167">
        <f t="shared" si="6"/>
        <v>3</v>
      </c>
      <c r="F83" s="22" t="s">
        <v>854</v>
      </c>
      <c r="G83" s="21" t="s">
        <v>145</v>
      </c>
      <c r="H83" s="21">
        <f t="shared" si="7"/>
        <v>77</v>
      </c>
      <c r="I83" s="21">
        <f>CODE(MID(Table2[[#This Row],[Description]],LEN(Table2[[#This Row],[Description]]),1))</f>
        <v>76</v>
      </c>
      <c r="J83">
        <f t="shared" si="8"/>
        <v>68</v>
      </c>
      <c r="K83">
        <f>CODE(MID(Table2[[#This Row],[Category]],LEN(Table2[[#This Row],[Category]]),1))</f>
        <v>116</v>
      </c>
    </row>
    <row r="84" spans="5:11">
      <c r="E84" s="167">
        <f t="shared" si="6"/>
        <v>2</v>
      </c>
      <c r="F84" s="169" t="s">
        <v>701</v>
      </c>
      <c r="G84" s="21" t="s">
        <v>85</v>
      </c>
      <c r="H84" s="21">
        <f t="shared" si="7"/>
        <v>77</v>
      </c>
      <c r="I84" s="21">
        <f>CODE(MID(Table2[[#This Row],[Description]],LEN(Table2[[#This Row],[Description]]),1))</f>
        <v>83</v>
      </c>
      <c r="J84">
        <f t="shared" si="8"/>
        <v>68</v>
      </c>
      <c r="K84">
        <f>CODE(MID(Table2[[#This Row],[Category]],LEN(Table2[[#This Row],[Category]]),1))</f>
        <v>100</v>
      </c>
    </row>
    <row r="85" spans="5:11">
      <c r="E85" s="167">
        <f t="shared" si="6"/>
        <v>1</v>
      </c>
      <c r="F85" s="169" t="s">
        <v>834</v>
      </c>
      <c r="G85" s="21" t="s">
        <v>85</v>
      </c>
      <c r="H85" s="21">
        <f t="shared" si="7"/>
        <v>77</v>
      </c>
      <c r="I85" s="21">
        <f>CODE(MID(Table2[[#This Row],[Description]],LEN(Table2[[#This Row],[Description]]),1))</f>
        <v>83</v>
      </c>
      <c r="J85">
        <f t="shared" si="8"/>
        <v>68</v>
      </c>
      <c r="K85">
        <f>CODE(MID(Table2[[#This Row],[Category]],LEN(Table2[[#This Row],[Category]]),1))</f>
        <v>100</v>
      </c>
    </row>
    <row r="86" spans="5:11">
      <c r="E86" s="167">
        <f t="shared" si="6"/>
        <v>1</v>
      </c>
      <c r="F86" s="22" t="s">
        <v>840</v>
      </c>
      <c r="G86" s="21" t="s">
        <v>85</v>
      </c>
      <c r="H86" s="21">
        <f t="shared" si="7"/>
        <v>77</v>
      </c>
      <c r="I86" s="21">
        <f>CODE(MID(Table2[[#This Row],[Description]],LEN(Table2[[#This Row],[Description]]),1))</f>
        <v>83</v>
      </c>
      <c r="J86">
        <f t="shared" si="8"/>
        <v>68</v>
      </c>
      <c r="K86">
        <f>CODE(MID(Table2[[#This Row],[Category]],LEN(Table2[[#This Row],[Category]]),1))</f>
        <v>100</v>
      </c>
    </row>
    <row r="87" spans="5:11">
      <c r="E87" s="167">
        <f t="shared" si="6"/>
        <v>1</v>
      </c>
      <c r="F87" s="169" t="s">
        <v>702</v>
      </c>
      <c r="G87" s="21" t="s">
        <v>11</v>
      </c>
      <c r="H87" s="21">
        <f t="shared" si="7"/>
        <v>77</v>
      </c>
      <c r="I87" s="21">
        <f>CODE(MID(Table2[[#This Row],[Description]],LEN(Table2[[#This Row],[Description]]),1))</f>
        <v>82</v>
      </c>
      <c r="J87">
        <f t="shared" si="8"/>
        <v>71</v>
      </c>
      <c r="K87">
        <f>CODE(MID(Table2[[#This Row],[Category]],LEN(Table2[[#This Row],[Category]]),1))</f>
        <v>115</v>
      </c>
    </row>
    <row r="88" spans="5:11">
      <c r="E88" s="167">
        <f t="shared" si="6"/>
        <v>3</v>
      </c>
      <c r="F88" s="169" t="s">
        <v>703</v>
      </c>
      <c r="G88" s="21" t="s">
        <v>529</v>
      </c>
      <c r="H88" s="21">
        <f t="shared" si="7"/>
        <v>77</v>
      </c>
      <c r="I88" s="21">
        <f>CODE(MID(Table2[[#This Row],[Description]],LEN(Table2[[#This Row],[Description]]),1))</f>
        <v>86</v>
      </c>
      <c r="J88">
        <f t="shared" si="8"/>
        <v>67</v>
      </c>
      <c r="K88">
        <f>CODE(MID(Table2[[#This Row],[Category]],LEN(Table2[[#This Row],[Category]]),1))</f>
        <v>115</v>
      </c>
    </row>
    <row r="89" spans="5:11">
      <c r="E89" s="167">
        <f t="shared" si="6"/>
        <v>4</v>
      </c>
      <c r="F89" s="169" t="s">
        <v>813</v>
      </c>
      <c r="G89" s="21" t="s">
        <v>16</v>
      </c>
      <c r="H89" s="21">
        <f t="shared" si="7"/>
        <v>77</v>
      </c>
      <c r="I89" s="21">
        <f>CODE(MID(Table2[[#This Row],[Description]],LEN(Table2[[#This Row],[Description]]),1))</f>
        <v>76</v>
      </c>
      <c r="J89">
        <f t="shared" si="8"/>
        <v>67</v>
      </c>
      <c r="K89">
        <f>CODE(MID(Table2[[#This Row],[Category]],LEN(Table2[[#This Row],[Category]]),1))</f>
        <v>68</v>
      </c>
    </row>
    <row r="90" spans="5:11">
      <c r="E90" s="167">
        <f t="shared" si="6"/>
        <v>3</v>
      </c>
      <c r="F90" s="169" t="s">
        <v>704</v>
      </c>
      <c r="G90" s="21" t="s">
        <v>627</v>
      </c>
      <c r="H90" s="21">
        <f t="shared" si="7"/>
        <v>77</v>
      </c>
      <c r="I90" s="21">
        <f>CODE(MID(Table2[[#This Row],[Description]],LEN(Table2[[#This Row],[Description]]),1))</f>
        <v>46</v>
      </c>
      <c r="J90">
        <f t="shared" si="8"/>
        <v>76</v>
      </c>
      <c r="K90">
        <f>CODE(MID(Table2[[#This Row],[Category]],LEN(Table2[[#This Row],[Category]]),1))</f>
        <v>110</v>
      </c>
    </row>
    <row r="91" spans="5:11">
      <c r="E91" s="167">
        <f t="shared" si="6"/>
        <v>3</v>
      </c>
      <c r="F91" s="169" t="s">
        <v>818</v>
      </c>
      <c r="G91" s="21" t="s">
        <v>35</v>
      </c>
      <c r="H91" s="21">
        <f t="shared" si="7"/>
        <v>77</v>
      </c>
      <c r="I91" s="21">
        <f>CODE(MID(Table2[[#This Row],[Description]],LEN(Table2[[#This Row],[Description]]),1))</f>
        <v>53</v>
      </c>
      <c r="J91">
        <f t="shared" si="8"/>
        <v>77</v>
      </c>
      <c r="K91">
        <f>CODE(MID(Table2[[#This Row],[Category]],LEN(Table2[[#This Row],[Category]]),1))</f>
        <v>114</v>
      </c>
    </row>
    <row r="92" spans="5:11">
      <c r="E92" s="167">
        <f t="shared" si="6"/>
        <v>3</v>
      </c>
      <c r="F92" s="22" t="s">
        <v>855</v>
      </c>
      <c r="G92" s="21" t="s">
        <v>17</v>
      </c>
      <c r="H92" s="21">
        <f t="shared" si="7"/>
        <v>77</v>
      </c>
      <c r="I92" s="21">
        <f>CODE(MID(Table2[[#This Row],[Description]],LEN(Table2[[#This Row],[Description]]),1))</f>
        <v>80</v>
      </c>
      <c r="J92">
        <f t="shared" si="8"/>
        <v>67</v>
      </c>
      <c r="K92">
        <f>CODE(MID(Table2[[#This Row],[Category]],LEN(Table2[[#This Row],[Category]]),1))</f>
        <v>103</v>
      </c>
    </row>
    <row r="93" spans="5:11">
      <c r="E93" s="167">
        <f t="shared" si="6"/>
        <v>3</v>
      </c>
      <c r="F93" s="169" t="s">
        <v>819</v>
      </c>
      <c r="G93" s="21" t="s">
        <v>658</v>
      </c>
      <c r="H93" s="21">
        <f t="shared" si="7"/>
        <v>77</v>
      </c>
      <c r="I93" s="21">
        <f>CODE(MID(Table2[[#This Row],[Description]],LEN(Table2[[#This Row],[Description]]),1))</f>
        <v>75</v>
      </c>
      <c r="J93">
        <f t="shared" si="8"/>
        <v>42</v>
      </c>
      <c r="K93">
        <f>CODE(MID(Table2[[#This Row],[Category]],LEN(Table2[[#This Row],[Category]]),1))</f>
        <v>42</v>
      </c>
    </row>
    <row r="94" spans="5:11">
      <c r="E94" s="167">
        <f t="shared" si="6"/>
        <v>4</v>
      </c>
      <c r="F94" s="169" t="s">
        <v>736</v>
      </c>
      <c r="G94" s="21" t="s">
        <v>557</v>
      </c>
      <c r="H94" s="21">
        <f t="shared" si="7"/>
        <v>77</v>
      </c>
      <c r="I94" s="21">
        <f>CODE(MID(Table2[[#This Row],[Description]],LEN(Table2[[#This Row],[Description]]),1))</f>
        <v>72</v>
      </c>
      <c r="J94">
        <f t="shared" si="8"/>
        <v>65</v>
      </c>
      <c r="K94">
        <f>CODE(MID(Table2[[#This Row],[Category]],LEN(Table2[[#This Row],[Category]]),1))</f>
        <v>101</v>
      </c>
    </row>
    <row r="95" spans="5:11">
      <c r="E95" s="167">
        <f t="shared" si="6"/>
        <v>1</v>
      </c>
      <c r="F95" s="169" t="s">
        <v>705</v>
      </c>
      <c r="G95" s="21" t="s">
        <v>528</v>
      </c>
      <c r="H95" s="21">
        <f t="shared" si="7"/>
        <v>77</v>
      </c>
      <c r="I95" s="21">
        <f>CODE(MID(Table2[[#This Row],[Description]],LEN(Table2[[#This Row],[Description]]),1))</f>
        <v>84</v>
      </c>
      <c r="J95">
        <f t="shared" si="8"/>
        <v>67</v>
      </c>
      <c r="K95">
        <f>CODE(MID(Table2[[#This Row],[Category]],LEN(Table2[[#This Row],[Category]]),1))</f>
        <v>114</v>
      </c>
    </row>
    <row r="96" spans="5:11">
      <c r="E96" s="167">
        <f t="shared" si="6"/>
        <v>2</v>
      </c>
      <c r="F96" s="169" t="s">
        <v>827</v>
      </c>
      <c r="G96" s="21" t="s">
        <v>85</v>
      </c>
      <c r="H96" s="21">
        <f t="shared" si="7"/>
        <v>77</v>
      </c>
      <c r="I96" s="21">
        <f>CODE(MID(Table2[[#This Row],[Description]],LEN(Table2[[#This Row],[Description]]),1))</f>
        <v>83</v>
      </c>
      <c r="J96">
        <f t="shared" si="8"/>
        <v>68</v>
      </c>
      <c r="K96">
        <f>CODE(MID(Table2[[#This Row],[Category]],LEN(Table2[[#This Row],[Category]]),1))</f>
        <v>100</v>
      </c>
    </row>
    <row r="97" spans="5:11">
      <c r="E97" s="167">
        <f t="shared" si="6"/>
        <v>3</v>
      </c>
      <c r="F97" s="22" t="s">
        <v>856</v>
      </c>
      <c r="G97" s="21" t="s">
        <v>145</v>
      </c>
      <c r="H97" s="21">
        <f t="shared" si="7"/>
        <v>78</v>
      </c>
      <c r="I97" s="21">
        <f>CODE(MID(Table2[[#This Row],[Description]],LEN(Table2[[#This Row],[Description]]),1))</f>
        <v>83</v>
      </c>
      <c r="J97">
        <f t="shared" si="8"/>
        <v>68</v>
      </c>
      <c r="K97">
        <f>CODE(MID(Table2[[#This Row],[Category]],LEN(Table2[[#This Row],[Category]]),1))</f>
        <v>116</v>
      </c>
    </row>
    <row r="98" spans="5:11">
      <c r="E98" s="167">
        <f t="shared" ref="E98:E129" si="9">IF(LEN(TRIM(F98))=0,0,LEN(TRIM(F98))-LEN(SUBSTITUTE(F98," ",""))+1)</f>
        <v>3</v>
      </c>
      <c r="F98" s="169" t="s">
        <v>706</v>
      </c>
      <c r="G98" s="21" t="s">
        <v>145</v>
      </c>
      <c r="H98" s="21">
        <f t="shared" si="7"/>
        <v>78</v>
      </c>
      <c r="I98" s="21">
        <f>CODE(MID(Table2[[#This Row],[Description]],LEN(Table2[[#This Row],[Description]]),1))</f>
        <v>68</v>
      </c>
      <c r="J98">
        <f t="shared" si="8"/>
        <v>68</v>
      </c>
      <c r="K98">
        <f>CODE(MID(Table2[[#This Row],[Category]],LEN(Table2[[#This Row],[Category]]),1))</f>
        <v>116</v>
      </c>
    </row>
    <row r="99" spans="5:11">
      <c r="E99" s="167">
        <f t="shared" si="9"/>
        <v>2</v>
      </c>
      <c r="F99" s="22" t="s">
        <v>857</v>
      </c>
      <c r="G99" s="21" t="s">
        <v>18</v>
      </c>
      <c r="H99" s="21">
        <f t="shared" si="7"/>
        <v>78</v>
      </c>
      <c r="I99" s="21">
        <f>CODE(MID(Table2[[#This Row],[Description]],LEN(Table2[[#This Row],[Description]]),1))</f>
        <v>77</v>
      </c>
      <c r="J99">
        <f t="shared" si="8"/>
        <v>69</v>
      </c>
      <c r="K99">
        <f>CODE(MID(Table2[[#This Row],[Category]],LEN(Table2[[#This Row],[Category]]),1))</f>
        <v>116</v>
      </c>
    </row>
    <row r="100" spans="5:11">
      <c r="E100" s="167">
        <f t="shared" si="9"/>
        <v>1</v>
      </c>
      <c r="F100" s="169" t="s">
        <v>707</v>
      </c>
      <c r="G100" s="21" t="s">
        <v>15</v>
      </c>
      <c r="H100" s="21">
        <f t="shared" si="7"/>
        <v>78</v>
      </c>
      <c r="I100" s="21">
        <f>CODE(MID(Table2[[#This Row],[Description]],LEN(Table2[[#This Row],[Description]]),1))</f>
        <v>77</v>
      </c>
      <c r="J100">
        <f t="shared" si="8"/>
        <v>83</v>
      </c>
      <c r="K100">
        <f>CODE(MID(Table2[[#This Row],[Category]],LEN(Table2[[#This Row],[Category]]),1))</f>
        <v>86</v>
      </c>
    </row>
    <row r="101" spans="5:11">
      <c r="E101" s="167">
        <f t="shared" si="9"/>
        <v>4</v>
      </c>
      <c r="F101" s="169" t="s">
        <v>708</v>
      </c>
      <c r="G101" s="21" t="s">
        <v>94</v>
      </c>
      <c r="H101" s="21">
        <f t="shared" si="7"/>
        <v>78</v>
      </c>
      <c r="I101" s="21">
        <f>CODE(MID(Table2[[#This Row],[Description]],LEN(Table2[[#This Row],[Description]]),1))</f>
        <v>69</v>
      </c>
      <c r="J101">
        <f t="shared" si="8"/>
        <v>70</v>
      </c>
      <c r="K101">
        <f>CODE(MID(Table2[[#This Row],[Category]],LEN(Table2[[#This Row],[Category]]),1))</f>
        <v>70</v>
      </c>
    </row>
    <row r="102" spans="5:11">
      <c r="E102" s="167">
        <f t="shared" si="9"/>
        <v>2</v>
      </c>
      <c r="F102" s="169" t="s">
        <v>709</v>
      </c>
      <c r="G102" s="21" t="s">
        <v>19</v>
      </c>
      <c r="H102" s="21">
        <f t="shared" ref="H102:H133" si="10">CODE(F102)</f>
        <v>79</v>
      </c>
      <c r="I102" s="21">
        <f>CODE(MID(Table2[[#This Row],[Description]],LEN(Table2[[#This Row],[Description]]),1))</f>
        <v>84</v>
      </c>
      <c r="J102">
        <f t="shared" ref="J102:J133" si="11">CODE(G102)</f>
        <v>77</v>
      </c>
      <c r="K102">
        <f>CODE(MID(Table2[[#This Row],[Category]],LEN(Table2[[#This Row],[Category]]),1))</f>
        <v>101</v>
      </c>
    </row>
    <row r="103" spans="5:11">
      <c r="E103" s="167">
        <f t="shared" si="9"/>
        <v>2</v>
      </c>
      <c r="F103" s="169" t="s">
        <v>828</v>
      </c>
      <c r="G103" s="21" t="s">
        <v>145</v>
      </c>
      <c r="H103" s="21">
        <f t="shared" si="10"/>
        <v>79</v>
      </c>
      <c r="I103" s="21">
        <f>CODE(MID(Table2[[#This Row],[Description]],LEN(Table2[[#This Row],[Description]]),1))</f>
        <v>78</v>
      </c>
      <c r="J103">
        <f t="shared" si="11"/>
        <v>68</v>
      </c>
      <c r="K103">
        <f>CODE(MID(Table2[[#This Row],[Category]],LEN(Table2[[#This Row],[Category]]),1))</f>
        <v>116</v>
      </c>
    </row>
    <row r="104" spans="5:11">
      <c r="E104" s="167">
        <f t="shared" si="9"/>
        <v>3</v>
      </c>
      <c r="F104" s="169" t="s">
        <v>820</v>
      </c>
      <c r="G104" s="21" t="s">
        <v>631</v>
      </c>
      <c r="H104" s="21">
        <f t="shared" si="10"/>
        <v>79</v>
      </c>
      <c r="I104" s="21">
        <f>CODE(MID(Table2[[#This Row],[Description]],LEN(Table2[[#This Row],[Description]]),1))</f>
        <v>82</v>
      </c>
      <c r="J104">
        <f t="shared" si="11"/>
        <v>66</v>
      </c>
      <c r="K104">
        <f>CODE(MID(Table2[[#This Row],[Category]],LEN(Table2[[#This Row],[Category]]),1))</f>
        <v>115</v>
      </c>
    </row>
    <row r="105" spans="5:11">
      <c r="E105" s="167">
        <f t="shared" si="9"/>
        <v>2</v>
      </c>
      <c r="F105" s="169" t="s">
        <v>829</v>
      </c>
      <c r="G105" s="21" t="s">
        <v>367</v>
      </c>
      <c r="H105" s="21">
        <f t="shared" si="10"/>
        <v>79</v>
      </c>
      <c r="I105" s="21">
        <f>CODE(MID(Table2[[#This Row],[Description]],LEN(Table2[[#This Row],[Description]]),1))</f>
        <v>84</v>
      </c>
      <c r="J105">
        <f t="shared" si="11"/>
        <v>80</v>
      </c>
      <c r="K105">
        <f>CODE(MID(Table2[[#This Row],[Category]],LEN(Table2[[#This Row],[Category]]),1))</f>
        <v>82</v>
      </c>
    </row>
    <row r="106" spans="5:11">
      <c r="E106" s="167">
        <f t="shared" si="9"/>
        <v>2</v>
      </c>
      <c r="F106" s="169" t="s">
        <v>838</v>
      </c>
      <c r="G106" s="21" t="s">
        <v>367</v>
      </c>
      <c r="H106" s="21">
        <f t="shared" si="10"/>
        <v>79</v>
      </c>
      <c r="I106" s="21">
        <f>CODE(MID(Table2[[#This Row],[Description]],LEN(Table2[[#This Row],[Description]]),1))</f>
        <v>44</v>
      </c>
      <c r="J106">
        <f t="shared" si="11"/>
        <v>80</v>
      </c>
      <c r="K106">
        <f>CODE(MID(Table2[[#This Row],[Category]],LEN(Table2[[#This Row],[Category]]),1))</f>
        <v>82</v>
      </c>
    </row>
    <row r="107" spans="5:11">
      <c r="E107" s="167">
        <f t="shared" si="9"/>
        <v>4</v>
      </c>
      <c r="F107" s="173" t="s">
        <v>629</v>
      </c>
      <c r="G107" s="18" t="s">
        <v>954</v>
      </c>
      <c r="H107" s="21">
        <f t="shared" si="10"/>
        <v>79</v>
      </c>
      <c r="I107" s="21">
        <f>CODE(MID(Table2[[#This Row],[Description]],LEN(Table2[[#This Row],[Description]]),1))</f>
        <v>101</v>
      </c>
      <c r="J107">
        <f t="shared" si="11"/>
        <v>67</v>
      </c>
      <c r="K107">
        <f>CODE(MID(Table2[[#This Row],[Category]],LEN(Table2[[#This Row],[Category]]),1))</f>
        <v>110</v>
      </c>
    </row>
    <row r="108" spans="5:11">
      <c r="E108" s="167">
        <f t="shared" si="9"/>
        <v>3</v>
      </c>
      <c r="F108" s="169" t="s">
        <v>710</v>
      </c>
      <c r="G108" s="21" t="s">
        <v>94</v>
      </c>
      <c r="H108" s="21">
        <f t="shared" si="10"/>
        <v>79</v>
      </c>
      <c r="I108" s="21">
        <f>CODE(MID(Table2[[#This Row],[Description]],LEN(Table2[[#This Row],[Description]]),1))</f>
        <v>69</v>
      </c>
      <c r="J108">
        <f t="shared" si="11"/>
        <v>70</v>
      </c>
      <c r="K108">
        <f>CODE(MID(Table2[[#This Row],[Category]],LEN(Table2[[#This Row],[Category]]),1))</f>
        <v>70</v>
      </c>
    </row>
    <row r="109" spans="5:11">
      <c r="E109" s="167">
        <f t="shared" si="9"/>
        <v>2</v>
      </c>
      <c r="F109" s="169" t="s">
        <v>711</v>
      </c>
      <c r="G109" s="21" t="s">
        <v>145</v>
      </c>
      <c r="H109" s="21">
        <f t="shared" si="10"/>
        <v>80</v>
      </c>
      <c r="I109" s="21">
        <f>CODE(MID(Table2[[#This Row],[Description]],LEN(Table2[[#This Row],[Description]]),1))</f>
        <v>78</v>
      </c>
      <c r="J109">
        <f t="shared" si="11"/>
        <v>68</v>
      </c>
      <c r="K109">
        <f>CODE(MID(Table2[[#This Row],[Category]],LEN(Table2[[#This Row],[Category]]),1))</f>
        <v>116</v>
      </c>
    </row>
    <row r="110" spans="5:11">
      <c r="E110" s="167">
        <f t="shared" si="9"/>
        <v>3</v>
      </c>
      <c r="F110" s="169" t="s">
        <v>712</v>
      </c>
      <c r="G110" s="21" t="s">
        <v>367</v>
      </c>
      <c r="H110" s="21">
        <f t="shared" si="10"/>
        <v>80</v>
      </c>
      <c r="I110" s="21">
        <f>CODE(MID(Table2[[#This Row],[Description]],LEN(Table2[[#This Row],[Description]]),1))</f>
        <v>69</v>
      </c>
      <c r="J110">
        <f t="shared" si="11"/>
        <v>80</v>
      </c>
      <c r="K110">
        <f>CODE(MID(Table2[[#This Row],[Category]],LEN(Table2[[#This Row],[Category]]),1))</f>
        <v>82</v>
      </c>
    </row>
    <row r="111" spans="5:11">
      <c r="E111" s="167">
        <f t="shared" si="9"/>
        <v>1</v>
      </c>
      <c r="F111" s="169" t="s">
        <v>733</v>
      </c>
      <c r="G111" s="21" t="s">
        <v>365</v>
      </c>
      <c r="H111" s="21">
        <f t="shared" si="10"/>
        <v>80</v>
      </c>
      <c r="I111" s="21">
        <f>CODE(MID(Table2[[#This Row],[Description]],LEN(Table2[[#This Row],[Description]]),1))</f>
        <v>84</v>
      </c>
      <c r="J111">
        <f t="shared" si="11"/>
        <v>80</v>
      </c>
      <c r="K111">
        <f>CODE(MID(Table2[[#This Row],[Category]],LEN(Table2[[#This Row],[Category]]),1))</f>
        <v>114</v>
      </c>
    </row>
    <row r="112" spans="5:11">
      <c r="E112" s="167">
        <f t="shared" si="9"/>
        <v>2</v>
      </c>
      <c r="F112" s="172" t="s">
        <v>847</v>
      </c>
      <c r="G112" s="172" t="s">
        <v>847</v>
      </c>
      <c r="H112" s="172">
        <f t="shared" si="10"/>
        <v>80</v>
      </c>
      <c r="I112" s="172">
        <f>CODE(MID(Table2[[#This Row],[Description]],LEN(Table2[[#This Row],[Description]]),1))</f>
        <v>119</v>
      </c>
      <c r="J112">
        <f t="shared" si="11"/>
        <v>80</v>
      </c>
      <c r="K112">
        <f>CODE(MID(Table2[[#This Row],[Category]],LEN(Table2[[#This Row],[Category]]),1))</f>
        <v>119</v>
      </c>
    </row>
    <row r="113" spans="5:11">
      <c r="E113" s="167">
        <f t="shared" si="9"/>
        <v>2</v>
      </c>
      <c r="F113" s="172" t="s">
        <v>848</v>
      </c>
      <c r="G113" s="172" t="s">
        <v>848</v>
      </c>
      <c r="H113" s="172">
        <f t="shared" si="10"/>
        <v>80</v>
      </c>
      <c r="I113" s="172">
        <f>CODE(MID(Table2[[#This Row],[Description]],LEN(Table2[[#This Row],[Description]]),1))</f>
        <v>115</v>
      </c>
      <c r="J113">
        <f t="shared" si="11"/>
        <v>80</v>
      </c>
      <c r="K113">
        <f>CODE(MID(Table2[[#This Row],[Category]],LEN(Table2[[#This Row],[Category]]),1))</f>
        <v>115</v>
      </c>
    </row>
    <row r="114" spans="5:11">
      <c r="E114" s="167">
        <f t="shared" si="9"/>
        <v>2</v>
      </c>
      <c r="F114" s="172" t="s">
        <v>849</v>
      </c>
      <c r="G114" s="172" t="s">
        <v>849</v>
      </c>
      <c r="H114" s="172">
        <f t="shared" si="10"/>
        <v>80</v>
      </c>
      <c r="I114" s="172">
        <f>CODE(MID(Table2[[#This Row],[Description]],LEN(Table2[[#This Row],[Description]]),1))</f>
        <v>116</v>
      </c>
      <c r="J114">
        <f t="shared" si="11"/>
        <v>80</v>
      </c>
      <c r="K114">
        <f>CODE(MID(Table2[[#This Row],[Category]],LEN(Table2[[#This Row],[Category]]),1))</f>
        <v>116</v>
      </c>
    </row>
    <row r="115" spans="5:11">
      <c r="E115" s="167">
        <f t="shared" si="9"/>
        <v>2</v>
      </c>
      <c r="F115" s="172" t="s">
        <v>850</v>
      </c>
      <c r="G115" s="172" t="s">
        <v>850</v>
      </c>
      <c r="H115" s="172">
        <f t="shared" si="10"/>
        <v>80</v>
      </c>
      <c r="I115" s="172">
        <f>CODE(MID(Table2[[#This Row],[Description]],LEN(Table2[[#This Row],[Description]]),1))</f>
        <v>101</v>
      </c>
      <c r="J115">
        <f t="shared" si="11"/>
        <v>80</v>
      </c>
      <c r="K115">
        <f>CODE(MID(Table2[[#This Row],[Category]],LEN(Table2[[#This Row],[Category]]),1))</f>
        <v>101</v>
      </c>
    </row>
    <row r="116" spans="5:11">
      <c r="E116" s="167">
        <f t="shared" si="9"/>
        <v>2</v>
      </c>
      <c r="F116" s="169" t="s">
        <v>713</v>
      </c>
      <c r="G116" s="21" t="s">
        <v>17</v>
      </c>
      <c r="H116" s="21">
        <f t="shared" si="10"/>
        <v>80</v>
      </c>
      <c r="I116" s="21">
        <f>CODE(MID(Table2[[#This Row],[Description]],LEN(Table2[[#This Row],[Description]]),1))</f>
        <v>69</v>
      </c>
      <c r="J116">
        <f t="shared" si="11"/>
        <v>67</v>
      </c>
      <c r="K116">
        <f>CODE(MID(Table2[[#This Row],[Category]],LEN(Table2[[#This Row],[Category]]),1))</f>
        <v>103</v>
      </c>
    </row>
    <row r="117" spans="5:11">
      <c r="E117" s="167">
        <f t="shared" si="9"/>
        <v>2</v>
      </c>
      <c r="F117" s="171" t="s">
        <v>858</v>
      </c>
      <c r="G117" s="18" t="s">
        <v>358</v>
      </c>
      <c r="H117" s="133">
        <f t="shared" si="10"/>
        <v>80</v>
      </c>
      <c r="I117" s="133">
        <f>CODE(MID(Table2[[#This Row],[Description]],LEN(Table2[[#This Row],[Description]]),1))</f>
        <v>82</v>
      </c>
      <c r="J117">
        <f t="shared" si="11"/>
        <v>77</v>
      </c>
      <c r="K117">
        <f>CODE(MID(Table2[[#This Row],[Category]],LEN(Table2[[#This Row],[Category]]),1))</f>
        <v>101</v>
      </c>
    </row>
    <row r="118" spans="5:11">
      <c r="E118" s="167">
        <f t="shared" si="9"/>
        <v>3</v>
      </c>
      <c r="F118" s="169" t="s">
        <v>714</v>
      </c>
      <c r="G118" s="21" t="s">
        <v>94</v>
      </c>
      <c r="H118" s="21">
        <f t="shared" si="10"/>
        <v>82</v>
      </c>
      <c r="I118" s="21">
        <f>CODE(MID(Table2[[#This Row],[Description]],LEN(Table2[[#This Row],[Description]]),1))</f>
        <v>69</v>
      </c>
      <c r="J118">
        <f t="shared" si="11"/>
        <v>70</v>
      </c>
      <c r="K118">
        <f>CODE(MID(Table2[[#This Row],[Category]],LEN(Table2[[#This Row],[Category]]),1))</f>
        <v>70</v>
      </c>
    </row>
    <row r="119" spans="5:11">
      <c r="E119" s="167">
        <f t="shared" si="9"/>
        <v>4</v>
      </c>
      <c r="F119" s="169" t="s">
        <v>715</v>
      </c>
      <c r="G119" s="21" t="s">
        <v>674</v>
      </c>
      <c r="H119" s="21">
        <f t="shared" si="10"/>
        <v>82</v>
      </c>
      <c r="I119" s="21">
        <f>CODE(MID(Table2[[#This Row],[Description]],LEN(Table2[[#This Row],[Description]]),1))</f>
        <v>75</v>
      </c>
      <c r="J119">
        <f t="shared" si="11"/>
        <v>67</v>
      </c>
      <c r="K119">
        <f>CODE(MID(Table2[[#This Row],[Category]],LEN(Table2[[#This Row],[Category]]),1))</f>
        <v>116</v>
      </c>
    </row>
    <row r="120" spans="5:11">
      <c r="E120" s="167">
        <f t="shared" si="9"/>
        <v>3</v>
      </c>
      <c r="F120" s="169" t="s">
        <v>453</v>
      </c>
      <c r="G120" s="21" t="s">
        <v>94</v>
      </c>
      <c r="H120" s="21">
        <f t="shared" si="10"/>
        <v>82</v>
      </c>
      <c r="I120" s="21">
        <f>CODE(MID(Table2[[#This Row],[Description]],LEN(Table2[[#This Row],[Description]]),1))</f>
        <v>69</v>
      </c>
      <c r="J120">
        <f t="shared" si="11"/>
        <v>70</v>
      </c>
      <c r="K120">
        <f>CODE(MID(Table2[[#This Row],[Category]],LEN(Table2[[#This Row],[Category]]),1))</f>
        <v>70</v>
      </c>
    </row>
    <row r="121" spans="5:11">
      <c r="E121" s="167">
        <f t="shared" si="9"/>
        <v>2</v>
      </c>
      <c r="F121" s="169" t="s">
        <v>716</v>
      </c>
      <c r="G121" s="21" t="s">
        <v>562</v>
      </c>
      <c r="H121">
        <f t="shared" si="10"/>
        <v>82</v>
      </c>
      <c r="I121">
        <f>CODE(MID(Table2[[#This Row],[Description]],LEN(Table2[[#This Row],[Description]]),1))</f>
        <v>89</v>
      </c>
      <c r="J121">
        <f t="shared" si="11"/>
        <v>80</v>
      </c>
      <c r="K121">
        <f>CODE(MID(Table2[[#This Row],[Category]],LEN(Table2[[#This Row],[Category]]),1))</f>
        <v>114</v>
      </c>
    </row>
    <row r="122" spans="5:11">
      <c r="E122" s="167">
        <f t="shared" si="9"/>
        <v>1</v>
      </c>
      <c r="F122" s="169" t="s">
        <v>835</v>
      </c>
      <c r="G122" s="21" t="s">
        <v>326</v>
      </c>
      <c r="H122" s="21">
        <f t="shared" si="10"/>
        <v>82</v>
      </c>
      <c r="I122" s="21">
        <f>CODE(MID(Table2[[#This Row],[Description]],LEN(Table2[[#This Row],[Description]]),1))</f>
        <v>68</v>
      </c>
      <c r="J122">
        <f t="shared" si="11"/>
        <v>77</v>
      </c>
      <c r="K122">
        <f>CODE(MID(Table2[[#This Row],[Category]],LEN(Table2[[#This Row],[Category]]),1))</f>
        <v>115</v>
      </c>
    </row>
    <row r="123" spans="5:11">
      <c r="E123" s="167">
        <f t="shared" si="9"/>
        <v>2</v>
      </c>
      <c r="F123" s="171" t="s">
        <v>859</v>
      </c>
      <c r="G123" s="18" t="s">
        <v>10</v>
      </c>
      <c r="H123" s="133">
        <f t="shared" si="10"/>
        <v>83</v>
      </c>
      <c r="I123" s="133">
        <f>CODE(MID(Table2[[#This Row],[Description]],LEN(Table2[[#This Row],[Description]]),1))</f>
        <v>69</v>
      </c>
      <c r="J123">
        <f t="shared" si="11"/>
        <v>82</v>
      </c>
      <c r="K123">
        <f>CODE(MID(Table2[[#This Row],[Category]],LEN(Table2[[#This Row],[Category]]),1))</f>
        <v>115</v>
      </c>
    </row>
    <row r="124" spans="5:11">
      <c r="E124" s="167">
        <f t="shared" si="9"/>
        <v>3</v>
      </c>
      <c r="F124" s="169" t="s">
        <v>737</v>
      </c>
      <c r="G124" s="21" t="s">
        <v>10</v>
      </c>
      <c r="H124" s="21">
        <f t="shared" si="10"/>
        <v>83</v>
      </c>
      <c r="I124" s="21">
        <f>CODE(MID(Table2[[#This Row],[Description]],LEN(Table2[[#This Row],[Description]]),1))</f>
        <v>83</v>
      </c>
      <c r="J124">
        <f t="shared" si="11"/>
        <v>82</v>
      </c>
      <c r="K124">
        <f>CODE(MID(Table2[[#This Row],[Category]],LEN(Table2[[#This Row],[Category]]),1))</f>
        <v>115</v>
      </c>
    </row>
    <row r="125" spans="5:11">
      <c r="E125" s="167">
        <f t="shared" si="9"/>
        <v>2</v>
      </c>
      <c r="F125" s="169" t="s">
        <v>717</v>
      </c>
      <c r="G125" s="21" t="s">
        <v>530</v>
      </c>
      <c r="H125" s="21">
        <f t="shared" si="10"/>
        <v>83</v>
      </c>
      <c r="I125" s="21">
        <f>CODE(MID(Table2[[#This Row],[Description]],LEN(Table2[[#This Row],[Description]]),1))</f>
        <v>89</v>
      </c>
      <c r="J125">
        <f t="shared" si="11"/>
        <v>67</v>
      </c>
      <c r="K125">
        <f>CODE(MID(Table2[[#This Row],[Category]],LEN(Table2[[#This Row],[Category]]),1))</f>
        <v>103</v>
      </c>
    </row>
    <row r="126" spans="5:11">
      <c r="E126" s="167">
        <f t="shared" si="9"/>
        <v>1</v>
      </c>
      <c r="F126" s="169" t="s">
        <v>718</v>
      </c>
      <c r="G126" s="21" t="s">
        <v>87</v>
      </c>
      <c r="H126" s="21">
        <f t="shared" si="10"/>
        <v>83</v>
      </c>
      <c r="I126" s="21">
        <f>CODE(MID(Table2[[#This Row],[Description]],LEN(Table2[[#This Row],[Description]]),1))</f>
        <v>89</v>
      </c>
      <c r="J126">
        <f t="shared" si="11"/>
        <v>68</v>
      </c>
      <c r="K126">
        <f>CODE(MID(Table2[[#This Row],[Category]],LEN(Table2[[#This Row],[Category]]),1))</f>
        <v>115</v>
      </c>
    </row>
    <row r="127" spans="5:11">
      <c r="E127" s="167">
        <f t="shared" si="9"/>
        <v>1</v>
      </c>
      <c r="F127" s="169" t="s">
        <v>719</v>
      </c>
      <c r="G127" s="21" t="s">
        <v>21</v>
      </c>
      <c r="H127" s="21">
        <f t="shared" si="10"/>
        <v>83</v>
      </c>
      <c r="I127" s="21">
        <f>CODE(MID(Table2[[#This Row],[Description]],LEN(Table2[[#This Row],[Description]]),1))</f>
        <v>84</v>
      </c>
      <c r="J127">
        <f t="shared" si="11"/>
        <v>80</v>
      </c>
      <c r="K127">
        <f>CODE(MID(Table2[[#This Row],[Category]],LEN(Table2[[#This Row],[Category]]),1))</f>
        <v>101</v>
      </c>
    </row>
    <row r="128" spans="5:11">
      <c r="E128" s="167">
        <f t="shared" si="9"/>
        <v>1</v>
      </c>
      <c r="F128" s="169" t="s">
        <v>836</v>
      </c>
      <c r="G128" s="21" t="s">
        <v>85</v>
      </c>
      <c r="H128" s="21">
        <f t="shared" si="10"/>
        <v>83</v>
      </c>
      <c r="I128" s="21">
        <f>CODE(MID(Table2[[#This Row],[Description]],LEN(Table2[[#This Row],[Description]]),1))</f>
        <v>83</v>
      </c>
      <c r="J128">
        <f t="shared" si="11"/>
        <v>68</v>
      </c>
      <c r="K128">
        <f>CODE(MID(Table2[[#This Row],[Category]],LEN(Table2[[#This Row],[Category]]),1))</f>
        <v>100</v>
      </c>
    </row>
    <row r="129" spans="5:11">
      <c r="E129" s="167">
        <f t="shared" si="9"/>
        <v>4</v>
      </c>
      <c r="F129" s="169" t="s">
        <v>814</v>
      </c>
      <c r="G129" s="21" t="s">
        <v>260</v>
      </c>
      <c r="H129" s="21">
        <f t="shared" si="10"/>
        <v>83</v>
      </c>
      <c r="I129" s="21">
        <f>CODE(MID(Table2[[#This Row],[Description]],LEN(Table2[[#This Row],[Description]]),1))</f>
        <v>83</v>
      </c>
      <c r="J129">
        <f t="shared" si="11"/>
        <v>67</v>
      </c>
      <c r="K129">
        <f>CODE(MID(Table2[[#This Row],[Category]],LEN(Table2[[#This Row],[Category]]),1))</f>
        <v>116</v>
      </c>
    </row>
    <row r="130" spans="5:11">
      <c r="E130" s="167">
        <f t="shared" ref="E130:E153" si="12">IF(LEN(TRIM(F130))=0,0,LEN(TRIM(F130))-LEN(SUBSTITUTE(F130," ",""))+1)</f>
        <v>1</v>
      </c>
      <c r="F130" s="169" t="s">
        <v>720</v>
      </c>
      <c r="G130" s="21" t="s">
        <v>85</v>
      </c>
      <c r="H130" s="21">
        <f t="shared" si="10"/>
        <v>83</v>
      </c>
      <c r="I130" s="21">
        <f>CODE(MID(Table2[[#This Row],[Description]],LEN(Table2[[#This Row],[Description]]),1))</f>
        <v>89</v>
      </c>
      <c r="J130">
        <f t="shared" si="11"/>
        <v>68</v>
      </c>
      <c r="K130">
        <f>CODE(MID(Table2[[#This Row],[Category]],LEN(Table2[[#This Row],[Category]]),1))</f>
        <v>100</v>
      </c>
    </row>
    <row r="131" spans="5:11">
      <c r="E131" s="167">
        <f t="shared" si="12"/>
        <v>3</v>
      </c>
      <c r="F131" s="169" t="s">
        <v>721</v>
      </c>
      <c r="G131" s="21" t="s">
        <v>558</v>
      </c>
      <c r="H131" s="21">
        <f t="shared" si="10"/>
        <v>83</v>
      </c>
      <c r="I131" s="21">
        <f>CODE(MID(Table2[[#This Row],[Description]],LEN(Table2[[#This Row],[Description]]),1))</f>
        <v>72</v>
      </c>
      <c r="J131">
        <f t="shared" si="11"/>
        <v>65</v>
      </c>
      <c r="K131">
        <f>CODE(MID(Table2[[#This Row],[Category]],LEN(Table2[[#This Row],[Category]]),1))</f>
        <v>108</v>
      </c>
    </row>
    <row r="132" spans="5:11">
      <c r="E132" s="167">
        <f t="shared" si="12"/>
        <v>2</v>
      </c>
      <c r="F132" s="22" t="s">
        <v>860</v>
      </c>
      <c r="G132" s="21" t="s">
        <v>85</v>
      </c>
      <c r="H132" s="21">
        <f t="shared" si="10"/>
        <v>84</v>
      </c>
      <c r="I132" s="21">
        <f>CODE(MID(Table2[[#This Row],[Description]],LEN(Table2[[#This Row],[Description]]),1))</f>
        <v>76</v>
      </c>
      <c r="J132">
        <f t="shared" si="11"/>
        <v>68</v>
      </c>
      <c r="K132">
        <f>CODE(MID(Table2[[#This Row],[Category]],LEN(Table2[[#This Row],[Category]]),1))</f>
        <v>100</v>
      </c>
    </row>
    <row r="133" spans="5:11">
      <c r="E133" s="167">
        <f t="shared" si="12"/>
        <v>3</v>
      </c>
      <c r="F133" s="171" t="s">
        <v>861</v>
      </c>
      <c r="G133" s="18" t="s">
        <v>10</v>
      </c>
      <c r="H133" s="133">
        <f t="shared" si="10"/>
        <v>84</v>
      </c>
      <c r="I133" s="133">
        <f>CODE(MID(Table2[[#This Row],[Description]],LEN(Table2[[#This Row],[Description]]),1))</f>
        <v>78</v>
      </c>
      <c r="J133">
        <f t="shared" si="11"/>
        <v>82</v>
      </c>
      <c r="K133">
        <f>CODE(MID(Table2[[#This Row],[Category]],LEN(Table2[[#This Row],[Category]]),1))</f>
        <v>115</v>
      </c>
    </row>
    <row r="134" spans="5:11">
      <c r="E134" s="167">
        <f t="shared" si="12"/>
        <v>4</v>
      </c>
      <c r="F134" s="169" t="s">
        <v>722</v>
      </c>
      <c r="G134" s="21" t="s">
        <v>20</v>
      </c>
      <c r="H134" s="21">
        <f t="shared" ref="H134:H153" si="13">CODE(F134)</f>
        <v>84</v>
      </c>
      <c r="I134" s="21">
        <f>CODE(MID(Table2[[#This Row],[Description]],LEN(Table2[[#This Row],[Description]]),1))</f>
        <v>80</v>
      </c>
      <c r="J134">
        <f t="shared" ref="J134:J153" si="14">CODE(G134)</f>
        <v>80</v>
      </c>
      <c r="K134">
        <f>CODE(MID(Table2[[#This Row],[Category]],LEN(Table2[[#This Row],[Category]]),1))</f>
        <v>101</v>
      </c>
    </row>
    <row r="135" spans="5:11">
      <c r="E135" s="167">
        <f t="shared" si="12"/>
        <v>3</v>
      </c>
      <c r="F135" s="169" t="s">
        <v>723</v>
      </c>
      <c r="G135" s="21" t="s">
        <v>19</v>
      </c>
      <c r="H135" s="21">
        <f t="shared" si="13"/>
        <v>84</v>
      </c>
      <c r="I135" s="21">
        <f>CODE(MID(Table2[[#This Row],[Description]],LEN(Table2[[#This Row],[Description]]),1))</f>
        <v>84</v>
      </c>
      <c r="J135">
        <f t="shared" si="14"/>
        <v>77</v>
      </c>
      <c r="K135">
        <f>CODE(MID(Table2[[#This Row],[Category]],LEN(Table2[[#This Row],[Category]]),1))</f>
        <v>101</v>
      </c>
    </row>
    <row r="136" spans="5:11">
      <c r="E136" s="167">
        <f t="shared" si="12"/>
        <v>2</v>
      </c>
      <c r="F136" s="169" t="s">
        <v>738</v>
      </c>
      <c r="G136" s="21" t="s">
        <v>85</v>
      </c>
      <c r="H136" s="21">
        <f t="shared" si="13"/>
        <v>84</v>
      </c>
      <c r="I136" s="21">
        <f>CODE(MID(Table2[[#This Row],[Description]],LEN(Table2[[#This Row],[Description]]),1))</f>
        <v>78</v>
      </c>
      <c r="J136">
        <f t="shared" si="14"/>
        <v>68</v>
      </c>
      <c r="K136">
        <f>CODE(MID(Table2[[#This Row],[Category]],LEN(Table2[[#This Row],[Category]]),1))</f>
        <v>100</v>
      </c>
    </row>
    <row r="137" spans="5:11">
      <c r="E137" s="167">
        <f t="shared" si="12"/>
        <v>2</v>
      </c>
      <c r="F137" s="169" t="s">
        <v>724</v>
      </c>
      <c r="G137" s="21" t="s">
        <v>85</v>
      </c>
      <c r="H137" s="21">
        <f t="shared" si="13"/>
        <v>84</v>
      </c>
      <c r="I137" s="21">
        <f>CODE(MID(Table2[[#This Row],[Description]],LEN(Table2[[#This Row],[Description]]),1))</f>
        <v>83</v>
      </c>
      <c r="J137">
        <f t="shared" si="14"/>
        <v>68</v>
      </c>
      <c r="K137">
        <f>CODE(MID(Table2[[#This Row],[Category]],LEN(Table2[[#This Row],[Category]]),1))</f>
        <v>100</v>
      </c>
    </row>
    <row r="138" spans="5:11">
      <c r="E138" s="167">
        <f t="shared" si="12"/>
        <v>2</v>
      </c>
      <c r="F138" s="170" t="s">
        <v>862</v>
      </c>
      <c r="G138" s="21" t="s">
        <v>85</v>
      </c>
      <c r="H138" s="21">
        <f t="shared" si="13"/>
        <v>84</v>
      </c>
      <c r="I138" s="21">
        <f>CODE(MID(Table2[[#This Row],[Description]],LEN(Table2[[#This Row],[Description]]),1))</f>
        <v>83</v>
      </c>
      <c r="J138">
        <f t="shared" si="14"/>
        <v>68</v>
      </c>
      <c r="K138">
        <f>CODE(MID(Table2[[#This Row],[Category]],LEN(Table2[[#This Row],[Category]]),1))</f>
        <v>100</v>
      </c>
    </row>
    <row r="139" spans="5:11">
      <c r="E139" s="167">
        <f t="shared" si="12"/>
        <v>3</v>
      </c>
      <c r="F139" s="173" t="s">
        <v>617</v>
      </c>
      <c r="G139" s="18" t="s">
        <v>364</v>
      </c>
      <c r="H139" s="133">
        <f t="shared" si="13"/>
        <v>84</v>
      </c>
      <c r="I139" s="133">
        <f>CODE(MID(Table2[[#This Row],[Description]],LEN(Table2[[#This Row],[Description]]),1))</f>
        <v>115</v>
      </c>
      <c r="J139">
        <f t="shared" si="14"/>
        <v>84</v>
      </c>
      <c r="K139">
        <f>CODE(MID(Table2[[#This Row],[Category]],LEN(Table2[[#This Row],[Category]]),1))</f>
        <v>114</v>
      </c>
    </row>
    <row r="140" spans="5:11">
      <c r="E140" s="167">
        <f t="shared" si="12"/>
        <v>3</v>
      </c>
      <c r="F140" s="22" t="s">
        <v>863</v>
      </c>
      <c r="G140" s="21" t="s">
        <v>145</v>
      </c>
      <c r="H140" s="21">
        <f t="shared" si="13"/>
        <v>84</v>
      </c>
      <c r="I140" s="21">
        <f>CODE(MID(Table2[[#This Row],[Description]],LEN(Table2[[#This Row],[Description]]),1))</f>
        <v>79</v>
      </c>
      <c r="J140">
        <f t="shared" si="14"/>
        <v>68</v>
      </c>
      <c r="K140">
        <f>CODE(MID(Table2[[#This Row],[Category]],LEN(Table2[[#This Row],[Category]]),1))</f>
        <v>116</v>
      </c>
    </row>
    <row r="141" spans="5:11">
      <c r="E141" s="167">
        <f t="shared" si="12"/>
        <v>3</v>
      </c>
      <c r="F141" s="169" t="s">
        <v>725</v>
      </c>
      <c r="G141" s="21" t="s">
        <v>145</v>
      </c>
      <c r="H141" s="21">
        <f t="shared" si="13"/>
        <v>84</v>
      </c>
      <c r="I141" s="21">
        <f>CODE(MID(Table2[[#This Row],[Description]],LEN(Table2[[#This Row],[Description]]),1))</f>
        <v>80</v>
      </c>
      <c r="J141">
        <f t="shared" si="14"/>
        <v>68</v>
      </c>
      <c r="K141">
        <f>CODE(MID(Table2[[#This Row],[Category]],LEN(Table2[[#This Row],[Category]]),1))</f>
        <v>116</v>
      </c>
    </row>
    <row r="142" spans="5:11">
      <c r="E142" s="167">
        <f t="shared" si="12"/>
        <v>4</v>
      </c>
      <c r="F142" s="169" t="s">
        <v>726</v>
      </c>
      <c r="G142" s="21" t="s">
        <v>532</v>
      </c>
      <c r="H142" s="21">
        <f t="shared" si="13"/>
        <v>84</v>
      </c>
      <c r="I142" s="21">
        <f>CODE(MID(Table2[[#This Row],[Description]],LEN(Table2[[#This Row],[Description]]),1))</f>
        <v>65</v>
      </c>
      <c r="J142">
        <f t="shared" si="14"/>
        <v>68</v>
      </c>
      <c r="K142">
        <f>CODE(MID(Table2[[#This Row],[Category]],LEN(Table2[[#This Row],[Category]]),1))</f>
        <v>103</v>
      </c>
    </row>
    <row r="143" spans="5:11">
      <c r="E143" s="167">
        <f t="shared" si="12"/>
        <v>4</v>
      </c>
      <c r="F143" s="169" t="s">
        <v>727</v>
      </c>
      <c r="G143" s="21" t="s">
        <v>532</v>
      </c>
      <c r="H143" s="21">
        <f t="shared" si="13"/>
        <v>84</v>
      </c>
      <c r="I143" s="21">
        <f>CODE(MID(Table2[[#This Row],[Description]],LEN(Table2[[#This Row],[Description]]),1))</f>
        <v>71</v>
      </c>
      <c r="J143">
        <f t="shared" si="14"/>
        <v>68</v>
      </c>
      <c r="K143">
        <f>CODE(MID(Table2[[#This Row],[Category]],LEN(Table2[[#This Row],[Category]]),1))</f>
        <v>103</v>
      </c>
    </row>
    <row r="144" spans="5:11">
      <c r="E144" s="167">
        <f t="shared" si="12"/>
        <v>2</v>
      </c>
      <c r="F144" s="22" t="s">
        <v>864</v>
      </c>
      <c r="G144" s="21" t="s">
        <v>19</v>
      </c>
      <c r="H144" s="21">
        <f t="shared" si="13"/>
        <v>87</v>
      </c>
      <c r="I144" s="21">
        <f>CODE(MID(Table2[[#This Row],[Description]],LEN(Table2[[#This Row],[Description]]),1))</f>
        <v>116</v>
      </c>
      <c r="J144">
        <f t="shared" si="14"/>
        <v>77</v>
      </c>
      <c r="K144">
        <f>CODE(MID(Table2[[#This Row],[Category]],LEN(Table2[[#This Row],[Category]]),1))</f>
        <v>101</v>
      </c>
    </row>
    <row r="145" spans="5:11">
      <c r="E145" s="167">
        <f t="shared" si="12"/>
        <v>1</v>
      </c>
      <c r="F145" s="169" t="s">
        <v>728</v>
      </c>
      <c r="G145" s="21" t="s">
        <v>11</v>
      </c>
      <c r="H145" s="21">
        <f t="shared" si="13"/>
        <v>87</v>
      </c>
      <c r="I145" s="21">
        <f>CODE(MID(Table2[[#This Row],[Description]],LEN(Table2[[#This Row],[Description]]),1))</f>
        <v>84</v>
      </c>
      <c r="J145">
        <f t="shared" si="14"/>
        <v>71</v>
      </c>
      <c r="K145">
        <f>CODE(MID(Table2[[#This Row],[Category]],LEN(Table2[[#This Row],[Category]]),1))</f>
        <v>115</v>
      </c>
    </row>
    <row r="146" spans="5:11">
      <c r="E146" s="167">
        <f t="shared" si="12"/>
        <v>1</v>
      </c>
      <c r="F146" s="169" t="s">
        <v>729</v>
      </c>
      <c r="G146" s="21" t="s">
        <v>17</v>
      </c>
      <c r="H146" s="21">
        <f t="shared" si="13"/>
        <v>87</v>
      </c>
      <c r="I146" s="21">
        <f>CODE(MID(Table2[[#This Row],[Description]],LEN(Table2[[#This Row],[Description]]),1))</f>
        <v>77</v>
      </c>
      <c r="J146">
        <f t="shared" si="14"/>
        <v>67</v>
      </c>
      <c r="K146">
        <f>CODE(MID(Table2[[#This Row],[Category]],LEN(Table2[[#This Row],[Category]]),1))</f>
        <v>103</v>
      </c>
    </row>
    <row r="147" spans="5:11">
      <c r="E147" s="167">
        <f t="shared" si="12"/>
        <v>2</v>
      </c>
      <c r="F147" s="169" t="s">
        <v>730</v>
      </c>
      <c r="G147" s="21" t="s">
        <v>85</v>
      </c>
      <c r="H147" s="21">
        <f t="shared" si="13"/>
        <v>87</v>
      </c>
      <c r="I147" s="21">
        <f>CODE(MID(Table2[[#This Row],[Description]],LEN(Table2[[#This Row],[Description]]),1))</f>
        <v>83</v>
      </c>
      <c r="J147">
        <f t="shared" si="14"/>
        <v>68</v>
      </c>
      <c r="K147">
        <f>CODE(MID(Table2[[#This Row],[Category]],LEN(Table2[[#This Row],[Category]]),1))</f>
        <v>100</v>
      </c>
    </row>
    <row r="148" spans="5:11">
      <c r="E148" s="167">
        <f t="shared" si="12"/>
        <v>2</v>
      </c>
      <c r="F148" s="22" t="s">
        <v>730</v>
      </c>
      <c r="G148" s="21" t="s">
        <v>85</v>
      </c>
      <c r="H148" s="21">
        <f t="shared" si="13"/>
        <v>87</v>
      </c>
      <c r="I148" s="21">
        <f>CODE(MID(Table2[[#This Row],[Description]],LEN(Table2[[#This Row],[Description]]),1))</f>
        <v>83</v>
      </c>
      <c r="J148">
        <f t="shared" si="14"/>
        <v>68</v>
      </c>
      <c r="K148">
        <f>CODE(MID(Table2[[#This Row],[Category]],LEN(Table2[[#This Row],[Category]]),1))</f>
        <v>100</v>
      </c>
    </row>
    <row r="149" spans="5:11">
      <c r="E149" s="167">
        <f t="shared" si="12"/>
        <v>1</v>
      </c>
      <c r="F149" s="170" t="s">
        <v>865</v>
      </c>
      <c r="G149" s="21" t="s">
        <v>85</v>
      </c>
      <c r="H149" s="21">
        <f t="shared" si="13"/>
        <v>87</v>
      </c>
      <c r="I149" s="21">
        <f>CODE(MID(Table2[[#This Row],[Description]],LEN(Table2[[#This Row],[Description]]),1))</f>
        <v>83</v>
      </c>
      <c r="J149">
        <f t="shared" si="14"/>
        <v>68</v>
      </c>
      <c r="K149">
        <f>CODE(MID(Table2[[#This Row],[Category]],LEN(Table2[[#This Row],[Category]]),1))</f>
        <v>100</v>
      </c>
    </row>
    <row r="150" spans="5:11">
      <c r="E150" s="167">
        <f t="shared" si="12"/>
        <v>1</v>
      </c>
      <c r="F150" s="170" t="s">
        <v>866</v>
      </c>
      <c r="G150" s="18" t="s">
        <v>528</v>
      </c>
      <c r="H150" s="133">
        <f t="shared" si="13"/>
        <v>87</v>
      </c>
      <c r="I150" s="133">
        <f>CODE(MID(Table2[[#This Row],[Description]],LEN(Table2[[#This Row],[Description]]),1))</f>
        <v>88</v>
      </c>
      <c r="J150">
        <f t="shared" si="14"/>
        <v>67</v>
      </c>
      <c r="K150">
        <f>CODE(MID(Table2[[#This Row],[Category]],LEN(Table2[[#This Row],[Category]]),1))</f>
        <v>114</v>
      </c>
    </row>
    <row r="151" spans="5:11">
      <c r="E151" s="167">
        <f t="shared" si="12"/>
        <v>1</v>
      </c>
      <c r="F151" s="169" t="s">
        <v>837</v>
      </c>
      <c r="G151" s="21" t="s">
        <v>731</v>
      </c>
      <c r="H151" s="21">
        <f t="shared" si="13"/>
        <v>87</v>
      </c>
      <c r="I151" s="21">
        <f>CODE(MID(Table2[[#This Row],[Description]],LEN(Table2[[#This Row],[Description]]),1))</f>
        <v>77</v>
      </c>
      <c r="J151">
        <f t="shared" si="14"/>
        <v>67</v>
      </c>
      <c r="K151">
        <f>CODE(MID(Table2[[#This Row],[Category]],LEN(Table2[[#This Row],[Category]]),1))</f>
        <v>115</v>
      </c>
    </row>
    <row r="152" spans="5:11">
      <c r="E152" s="167">
        <f t="shared" si="12"/>
        <v>1</v>
      </c>
      <c r="F152" s="170" t="s">
        <v>871</v>
      </c>
      <c r="G152" s="18" t="s">
        <v>528</v>
      </c>
      <c r="H152" s="133">
        <f t="shared" si="13"/>
        <v>87</v>
      </c>
      <c r="I152" s="133">
        <f>CODE(MID(Table2[[#This Row],[Description]],LEN(Table2[[#This Row],[Description]]),1))</f>
        <v>44</v>
      </c>
      <c r="J152">
        <f t="shared" si="14"/>
        <v>67</v>
      </c>
      <c r="K152">
        <f>CODE(MID(Table2[[#This Row],[Category]],LEN(Table2[[#This Row],[Category]]),1))</f>
        <v>114</v>
      </c>
    </row>
    <row r="153" spans="5:11">
      <c r="E153" s="167">
        <f t="shared" si="12"/>
        <v>1</v>
      </c>
      <c r="F153" s="22" t="s">
        <v>867</v>
      </c>
      <c r="G153" s="18" t="s">
        <v>557</v>
      </c>
      <c r="H153" s="133">
        <f t="shared" si="13"/>
        <v>90</v>
      </c>
      <c r="I153" s="133">
        <f>CODE(MID(Table2[[#This Row],[Description]],LEN(Table2[[#This Row],[Description]]),1))</f>
        <v>90</v>
      </c>
      <c r="J153">
        <f t="shared" si="14"/>
        <v>65</v>
      </c>
      <c r="K153">
        <f>CODE(MID(Table2[[#This Row],[Category]],LEN(Table2[[#This Row],[Category]]),1))</f>
        <v>101</v>
      </c>
    </row>
  </sheetData>
  <sortState xmlns:xlrd2="http://schemas.microsoft.com/office/spreadsheetml/2017/richdata2" ref="E2:G159">
    <sortCondition ref="E2:E159"/>
    <sortCondition ref="F2:F159"/>
  </sortState>
  <phoneticPr fontId="21" type="noConversion"/>
  <conditionalFormatting sqref="F154:F1048576 F1">
    <cfRule type="duplicateValues" dxfId="2" priority="5"/>
  </conditionalFormatting>
  <conditionalFormatting sqref="I154:J1048576 I1:K153 H1:H1048576">
    <cfRule type="cellIs" dxfId="1" priority="4" operator="equal">
      <formula>32</formula>
    </cfRule>
  </conditionalFormatting>
  <conditionalFormatting sqref="H121">
    <cfRule type="cellIs" dxfId="0" priority="2" operator="equal">
      <formula>32</formula>
    </cfRule>
  </conditionalFormatting>
  <pageMargins left="0.7" right="0.7" top="0.75" bottom="0.75" header="0.3" footer="0.3"/>
  <legacyDrawing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88C5B-F402-CA44-91AB-343673AA2606}">
  <sheetPr codeName="Sheet5"/>
  <dimension ref="A1:H29"/>
  <sheetViews>
    <sheetView workbookViewId="0">
      <pane xSplit="7" ySplit="1" topLeftCell="H20" activePane="bottomRight" state="frozenSplit"/>
      <selection pane="topRight" activeCell="H1" sqref="H1"/>
      <selection pane="bottomLeft" activeCell="A10" sqref="A10"/>
      <selection pane="bottomRight" activeCell="E26" sqref="E26:F29"/>
    </sheetView>
  </sheetViews>
  <sheetFormatPr defaultColWidth="11" defaultRowHeight="15.75"/>
  <cols>
    <col min="3" max="3" width="13.125" style="5" bestFit="1" customWidth="1"/>
    <col min="4" max="4" width="28.125" customWidth="1"/>
    <col min="5" max="5" width="17.875" style="2" bestFit="1" customWidth="1"/>
    <col min="6" max="6" width="17" style="2" bestFit="1" customWidth="1"/>
    <col min="7" max="7" width="11.125" style="2" bestFit="1" customWidth="1"/>
    <col min="8" max="8" width="14" customWidth="1"/>
    <col min="9" max="9" width="13.375" customWidth="1"/>
  </cols>
  <sheetData>
    <row r="1" spans="1:8">
      <c r="A1" t="s">
        <v>29</v>
      </c>
      <c r="B1" t="s">
        <v>41</v>
      </c>
      <c r="C1" s="23" t="s">
        <v>0</v>
      </c>
      <c r="D1" s="22" t="s">
        <v>95</v>
      </c>
      <c r="E1" s="91" t="s">
        <v>6</v>
      </c>
      <c r="F1" s="91" t="s">
        <v>7</v>
      </c>
      <c r="G1" s="91" t="s">
        <v>5</v>
      </c>
      <c r="H1" s="24" t="s">
        <v>96</v>
      </c>
    </row>
    <row r="2" spans="1:8">
      <c r="A2" t="s">
        <v>13</v>
      </c>
      <c r="B2" s="21" t="str">
        <f>VLOOKUP(MONTH(C2),'Lookup Tables'!$A$3:$B$14,2,FALSE)</f>
        <v>Jan</v>
      </c>
      <c r="C2" s="5">
        <v>43831</v>
      </c>
      <c r="D2" t="s">
        <v>97</v>
      </c>
      <c r="E2" s="2" t="s">
        <v>80</v>
      </c>
      <c r="F2" s="21" t="str">
        <f>IFERROR(VLOOKUP(E2,'2020 Budget'!$A$6:$B$462,2,FALSE),"N/F")</f>
        <v>N/F</v>
      </c>
      <c r="H2" s="28">
        <v>143971.57</v>
      </c>
    </row>
    <row r="3" spans="1:8">
      <c r="A3" t="s">
        <v>13</v>
      </c>
      <c r="B3" s="21" t="str">
        <f>VLOOKUP(MONTH(C3),'Lookup Tables'!$A$3:$B$14,2,FALSE)</f>
        <v>Jan</v>
      </c>
      <c r="C3" s="23">
        <v>43839</v>
      </c>
      <c r="D3" s="22" t="s">
        <v>566</v>
      </c>
      <c r="E3" s="22" t="s">
        <v>324</v>
      </c>
      <c r="F3" s="21" t="str">
        <f>IFERROR(VLOOKUP(E3,'2020 Budget'!$A$6:$B$462,2,FALSE),"N/F")</f>
        <v>12. Mortgage Grouping</v>
      </c>
      <c r="G3" s="91">
        <v>-584.88</v>
      </c>
      <c r="H3" s="28">
        <f>IF(D3="Mortgage Principle",H2+G3,H2)</f>
        <v>143971.57</v>
      </c>
    </row>
    <row r="4" spans="1:8">
      <c r="A4" t="s">
        <v>13</v>
      </c>
      <c r="B4" s="21" t="str">
        <f>VLOOKUP(MONTH(C4),'Lookup Tables'!$A$3:$B$14,2,FALSE)</f>
        <v>Jan</v>
      </c>
      <c r="C4" s="1">
        <v>43839</v>
      </c>
      <c r="D4" s="22" t="s">
        <v>567</v>
      </c>
      <c r="E4" s="22" t="s">
        <v>325</v>
      </c>
      <c r="F4" s="21" t="str">
        <f>IFERROR(VLOOKUP(E4,'2020 Budget'!$A$6:$B$462,2,FALSE),"N/F")</f>
        <v>12. Mortgage Grouping</v>
      </c>
      <c r="G4" s="91">
        <v>-240.68</v>
      </c>
      <c r="H4" s="28">
        <f>H3+G4</f>
        <v>143730.89000000001</v>
      </c>
    </row>
    <row r="5" spans="1:8">
      <c r="A5" t="s">
        <v>13</v>
      </c>
      <c r="B5" s="21" t="str">
        <f>VLOOKUP(MONTH(C5),'Lookup Tables'!$A$3:$B$14,2,FALSE)</f>
        <v>Jan</v>
      </c>
      <c r="C5" s="5">
        <v>43839</v>
      </c>
      <c r="D5" s="22" t="s">
        <v>568</v>
      </c>
      <c r="E5" s="22" t="s">
        <v>326</v>
      </c>
      <c r="F5" s="21" t="str">
        <f>IFERROR(VLOOKUP(E5,'2020 Budget'!$A$6:$B$462,2,FALSE),"N/F")</f>
        <v>14. Undesired Expenses</v>
      </c>
      <c r="G5" s="2">
        <v>0</v>
      </c>
      <c r="H5" s="28">
        <f>IF(D5="Mortgage Principle",H4+G5,H4)</f>
        <v>143730.89000000001</v>
      </c>
    </row>
    <row r="6" spans="1:8">
      <c r="A6" t="s">
        <v>13</v>
      </c>
      <c r="B6" s="21" t="str">
        <f>VLOOKUP(MONTH(C6),'Lookup Tables'!$A$3:$B$14,2,FALSE)</f>
        <v>Jan</v>
      </c>
      <c r="C6" s="5">
        <v>43839</v>
      </c>
      <c r="D6" s="22" t="s">
        <v>569</v>
      </c>
      <c r="E6" s="22" t="s">
        <v>327</v>
      </c>
      <c r="F6" s="21" t="str">
        <f>IFERROR(VLOOKUP(E6,'2020 Budget'!$A$6:$B$462,2,FALSE),"N/F")</f>
        <v>12. Mortgage Grouping</v>
      </c>
      <c r="G6" s="2">
        <v>-697.44</v>
      </c>
      <c r="H6" s="28">
        <f>IF(D6="Mortgage Principle",H5+G6,H5)</f>
        <v>143730.89000000001</v>
      </c>
    </row>
    <row r="7" spans="1:8">
      <c r="A7" t="s">
        <v>13</v>
      </c>
      <c r="B7" s="21" t="str">
        <f>VLOOKUP(MONTH(C7),'Lookup Tables'!$A$3:$B$14,2,FALSE)</f>
        <v>Feb</v>
      </c>
      <c r="C7" s="5">
        <v>43864</v>
      </c>
      <c r="D7" s="22" t="s">
        <v>570</v>
      </c>
      <c r="E7" s="22" t="s">
        <v>324</v>
      </c>
      <c r="F7" s="21" t="str">
        <f>IFERROR(VLOOKUP(E7,'2020 Budget'!$A$6:$B$462,2,FALSE),"N/F")</f>
        <v>12. Mortgage Grouping</v>
      </c>
      <c r="G7" s="134">
        <v>-583.91</v>
      </c>
      <c r="H7" s="28">
        <f>IF(D7="Mortgage Principle",H6+G7,H6)</f>
        <v>143730.89000000001</v>
      </c>
    </row>
    <row r="8" spans="1:8">
      <c r="A8" t="s">
        <v>13</v>
      </c>
      <c r="B8" s="21" t="str">
        <f>VLOOKUP(MONTH(C8),'Lookup Tables'!$A$3:$B$14,2,FALSE)</f>
        <v>Feb</v>
      </c>
      <c r="C8" s="5">
        <v>43864</v>
      </c>
      <c r="D8" s="22" t="s">
        <v>571</v>
      </c>
      <c r="E8" s="22" t="s">
        <v>325</v>
      </c>
      <c r="F8" s="21" t="str">
        <f>IFERROR(VLOOKUP(E8,'2020 Budget'!$A$6:$B$462,2,FALSE),"N/F")</f>
        <v>12. Mortgage Grouping</v>
      </c>
      <c r="G8" s="134">
        <v>-241.65</v>
      </c>
      <c r="H8" s="28">
        <f>H7+G8</f>
        <v>143489.24000000002</v>
      </c>
    </row>
    <row r="9" spans="1:8">
      <c r="A9" t="s">
        <v>13</v>
      </c>
      <c r="B9" s="21" t="str">
        <f>VLOOKUP(MONTH(C9),'Lookup Tables'!$A$3:$B$14,2,FALSE)</f>
        <v>Feb</v>
      </c>
      <c r="C9" s="5">
        <v>43864</v>
      </c>
      <c r="D9" s="22" t="s">
        <v>572</v>
      </c>
      <c r="E9" s="22" t="s">
        <v>326</v>
      </c>
      <c r="F9" s="21" t="str">
        <f>IFERROR(VLOOKUP(E9,'2020 Budget'!$A$6:$B$462,2,FALSE),"N/F")</f>
        <v>14. Undesired Expenses</v>
      </c>
      <c r="G9" s="2">
        <v>0</v>
      </c>
      <c r="H9" s="28">
        <f>H8</f>
        <v>143489.24000000002</v>
      </c>
    </row>
    <row r="10" spans="1:8">
      <c r="A10" t="s">
        <v>13</v>
      </c>
      <c r="B10" s="21" t="str">
        <f>VLOOKUP(MONTH(C10),'Lookup Tables'!$A$3:$B$14,2,FALSE)</f>
        <v>Feb</v>
      </c>
      <c r="C10" s="5">
        <v>43864</v>
      </c>
      <c r="D10" s="22" t="s">
        <v>573</v>
      </c>
      <c r="E10" s="22" t="s">
        <v>327</v>
      </c>
      <c r="F10" s="21" t="str">
        <f>IFERROR(VLOOKUP(E10,'2020 Budget'!$A$6:$B$462,2,FALSE),"N/F")</f>
        <v>12. Mortgage Grouping</v>
      </c>
      <c r="G10" s="2">
        <v>-697.44</v>
      </c>
      <c r="H10" s="28">
        <f>H9</f>
        <v>143489.24000000002</v>
      </c>
    </row>
    <row r="11" spans="1:8">
      <c r="A11" t="s">
        <v>13</v>
      </c>
      <c r="B11" s="21" t="str">
        <f>VLOOKUP(MONTH(C11),'Lookup Tables'!$A$3:$B$14,2,FALSE)</f>
        <v>Mar</v>
      </c>
      <c r="C11" s="5">
        <v>43893</v>
      </c>
      <c r="D11" s="22" t="s">
        <v>574</v>
      </c>
      <c r="E11" s="22" t="s">
        <v>324</v>
      </c>
      <c r="F11" s="21" t="str">
        <f>IFERROR(VLOOKUP(E11,'2020 Budget'!$A$6:$B$462,2,FALSE),"N/F")</f>
        <v>12. Mortgage Grouping</v>
      </c>
      <c r="G11" s="134">
        <v>-582.92999999999995</v>
      </c>
      <c r="H11" s="28">
        <f>IF(D11="Mortgage Principle",H6+G11,H6)</f>
        <v>143730.89000000001</v>
      </c>
    </row>
    <row r="12" spans="1:8">
      <c r="A12" t="s">
        <v>13</v>
      </c>
      <c r="B12" s="21" t="str">
        <f>VLOOKUP(MONTH(C12),'Lookup Tables'!$A$3:$B$14,2,FALSE)</f>
        <v>Mar</v>
      </c>
      <c r="C12" s="5">
        <v>43893</v>
      </c>
      <c r="D12" s="22" t="s">
        <v>575</v>
      </c>
      <c r="E12" s="22" t="s">
        <v>325</v>
      </c>
      <c r="F12" s="21" t="str">
        <f>IFERROR(VLOOKUP(E12,'2020 Budget'!$A$6:$B$462,2,FALSE),"N/F")</f>
        <v>12. Mortgage Grouping</v>
      </c>
      <c r="G12" s="134">
        <v>-242.63</v>
      </c>
      <c r="H12" s="28">
        <f>H11+G12</f>
        <v>143488.26</v>
      </c>
    </row>
    <row r="13" spans="1:8">
      <c r="A13" t="s">
        <v>13</v>
      </c>
      <c r="B13" s="21" t="str">
        <f>VLOOKUP(MONTH(C13),'Lookup Tables'!$A$3:$B$14,2,FALSE)</f>
        <v>Mar</v>
      </c>
      <c r="C13" s="5">
        <v>43893</v>
      </c>
      <c r="D13" s="22" t="s">
        <v>576</v>
      </c>
      <c r="E13" s="22" t="s">
        <v>326</v>
      </c>
      <c r="F13" s="21" t="str">
        <f>IFERROR(VLOOKUP(E13,'2020 Budget'!$A$6:$B$462,2,FALSE),"N/F")</f>
        <v>14. Undesired Expenses</v>
      </c>
      <c r="G13" s="2">
        <v>0</v>
      </c>
      <c r="H13" s="28">
        <f>H12</f>
        <v>143488.26</v>
      </c>
    </row>
    <row r="14" spans="1:8">
      <c r="A14" t="s">
        <v>13</v>
      </c>
      <c r="B14" s="21" t="str">
        <f>VLOOKUP(MONTH(C14),'Lookup Tables'!$A$3:$B$14,2,FALSE)</f>
        <v>Mar</v>
      </c>
      <c r="C14" s="5">
        <v>43893</v>
      </c>
      <c r="D14" s="22" t="s">
        <v>577</v>
      </c>
      <c r="E14" s="22" t="s">
        <v>327</v>
      </c>
      <c r="F14" s="21" t="str">
        <f>IFERROR(VLOOKUP(E14,'2020 Budget'!$A$6:$B$462,2,FALSE),"N/F")</f>
        <v>12. Mortgage Grouping</v>
      </c>
      <c r="G14" s="2">
        <v>-697.44</v>
      </c>
      <c r="H14" s="28">
        <f>H13</f>
        <v>143488.26</v>
      </c>
    </row>
    <row r="15" spans="1:8">
      <c r="A15" t="s">
        <v>13</v>
      </c>
      <c r="B15" s="21" t="str">
        <f>VLOOKUP(MONTH(C15),'Lookup Tables'!$A$3:$B$14,2,FALSE)</f>
        <v>Mar</v>
      </c>
      <c r="C15" s="5">
        <v>43893</v>
      </c>
      <c r="D15" s="22" t="s">
        <v>578</v>
      </c>
      <c r="E15" s="22" t="s">
        <v>324</v>
      </c>
      <c r="F15" s="21" t="str">
        <f>IFERROR(VLOOKUP(E15,'2020 Budget'!$A$6:$B$462,2,FALSE),"N/F")</f>
        <v>12. Mortgage Grouping</v>
      </c>
      <c r="G15" s="134">
        <v>582.92999999999995</v>
      </c>
      <c r="H15" s="28">
        <f>IF(D15="Mortgage Principle",H10+G15,H10)</f>
        <v>143489.24000000002</v>
      </c>
    </row>
    <row r="16" spans="1:8">
      <c r="A16" t="s">
        <v>13</v>
      </c>
      <c r="B16" s="21" t="str">
        <f>VLOOKUP(MONTH(C16),'Lookup Tables'!$A$3:$B$14,2,FALSE)</f>
        <v>Mar</v>
      </c>
      <c r="C16" s="5">
        <v>43893</v>
      </c>
      <c r="D16" s="22" t="s">
        <v>579</v>
      </c>
      <c r="E16" s="22" t="s">
        <v>325</v>
      </c>
      <c r="F16" s="21" t="str">
        <f>IFERROR(VLOOKUP(E16,'2020 Budget'!$A$6:$B$462,2,FALSE),"N/F")</f>
        <v>12. Mortgage Grouping</v>
      </c>
      <c r="G16" s="134">
        <v>242.63</v>
      </c>
      <c r="H16" s="28">
        <f>H15+G16</f>
        <v>143731.87000000002</v>
      </c>
    </row>
    <row r="17" spans="1:8">
      <c r="A17" t="s">
        <v>13</v>
      </c>
      <c r="B17" s="21" t="str">
        <f>VLOOKUP(MONTH(C17),'Lookup Tables'!$A$3:$B$14,2,FALSE)</f>
        <v>Mar</v>
      </c>
      <c r="C17" s="5">
        <v>43893</v>
      </c>
      <c r="D17" s="22" t="s">
        <v>580</v>
      </c>
      <c r="E17" s="22" t="s">
        <v>326</v>
      </c>
      <c r="F17" s="21" t="str">
        <f>IFERROR(VLOOKUP(E17,'2020 Budget'!$A$6:$B$462,2,FALSE),"N/F")</f>
        <v>14. Undesired Expenses</v>
      </c>
      <c r="G17" s="2">
        <v>0</v>
      </c>
      <c r="H17" s="28">
        <f>H16</f>
        <v>143731.87000000002</v>
      </c>
    </row>
    <row r="18" spans="1:8">
      <c r="A18" t="s">
        <v>13</v>
      </c>
      <c r="B18" s="21" t="str">
        <f>VLOOKUP(MONTH(C18),'Lookup Tables'!$A$3:$B$14,2,FALSE)</f>
        <v>Mar</v>
      </c>
      <c r="C18" s="5">
        <v>43893</v>
      </c>
      <c r="D18" s="22" t="s">
        <v>581</v>
      </c>
      <c r="E18" s="22" t="s">
        <v>327</v>
      </c>
      <c r="F18" s="21" t="str">
        <f>IFERROR(VLOOKUP(E18,'2020 Budget'!$A$6:$B$462,2,FALSE),"N/F")</f>
        <v>12. Mortgage Grouping</v>
      </c>
      <c r="G18" s="2">
        <v>697.44</v>
      </c>
      <c r="H18" s="28">
        <f>H17</f>
        <v>143731.87000000002</v>
      </c>
    </row>
    <row r="19" spans="1:8">
      <c r="A19" t="s">
        <v>13</v>
      </c>
      <c r="B19" s="21" t="str">
        <f>VLOOKUP(MONTH(C19),'Lookup Tables'!$A$3:$B$14,2,FALSE)</f>
        <v>Apr</v>
      </c>
      <c r="C19" s="5">
        <v>43927</v>
      </c>
      <c r="D19" s="22" t="s">
        <v>574</v>
      </c>
      <c r="E19" s="22" t="s">
        <v>324</v>
      </c>
      <c r="F19" s="21" t="str">
        <f>IFERROR(VLOOKUP(E19,'2020 Budget'!$A$6:$B$462,2,FALSE),"N/F")</f>
        <v>12. Mortgage Grouping</v>
      </c>
      <c r="G19" s="134">
        <v>-582.92999999999995</v>
      </c>
      <c r="H19" s="28">
        <f>IF(D19="Mortgage Principle",H14+G19,H14)</f>
        <v>143488.26</v>
      </c>
    </row>
    <row r="20" spans="1:8">
      <c r="A20" t="s">
        <v>13</v>
      </c>
      <c r="B20" s="21" t="str">
        <f>VLOOKUP(MONTH(C20),'Lookup Tables'!$A$3:$B$14,2,FALSE)</f>
        <v>Apr</v>
      </c>
      <c r="C20" s="5">
        <v>43927</v>
      </c>
      <c r="D20" s="22" t="s">
        <v>575</v>
      </c>
      <c r="E20" s="22" t="s">
        <v>325</v>
      </c>
      <c r="F20" s="21" t="str">
        <f>IFERROR(VLOOKUP(E20,'2020 Budget'!$A$6:$B$462,2,FALSE),"N/F")</f>
        <v>12. Mortgage Grouping</v>
      </c>
      <c r="G20" s="134">
        <v>-242.63</v>
      </c>
      <c r="H20" s="28">
        <f>H19+G20</f>
        <v>143245.63</v>
      </c>
    </row>
    <row r="21" spans="1:8">
      <c r="A21" t="s">
        <v>13</v>
      </c>
      <c r="B21" s="21" t="str">
        <f>VLOOKUP(MONTH(C21),'Lookup Tables'!$A$3:$B$14,2,FALSE)</f>
        <v>Apr</v>
      </c>
      <c r="C21" s="5">
        <v>43927</v>
      </c>
      <c r="D21" s="22" t="s">
        <v>576</v>
      </c>
      <c r="E21" s="22" t="s">
        <v>326</v>
      </c>
      <c r="F21" s="21" t="str">
        <f>IFERROR(VLOOKUP(E21,'2020 Budget'!$A$6:$B$462,2,FALSE),"N/F")</f>
        <v>14. Undesired Expenses</v>
      </c>
      <c r="G21" s="2">
        <v>-41.28</v>
      </c>
      <c r="H21" s="28">
        <f>H20</f>
        <v>143245.63</v>
      </c>
    </row>
    <row r="22" spans="1:8">
      <c r="A22" t="s">
        <v>13</v>
      </c>
      <c r="B22" s="21" t="str">
        <f>VLOOKUP(MONTH(C22),'Lookup Tables'!$A$3:$B$14,2,FALSE)</f>
        <v>Apr</v>
      </c>
      <c r="C22" s="5">
        <v>43927</v>
      </c>
      <c r="D22" s="22" t="s">
        <v>577</v>
      </c>
      <c r="E22" s="22" t="s">
        <v>327</v>
      </c>
      <c r="F22" s="21" t="str">
        <f>IFERROR(VLOOKUP(E22,'2020 Budget'!$A$6:$B$462,2,FALSE),"N/F")</f>
        <v>12. Mortgage Grouping</v>
      </c>
      <c r="G22" s="2">
        <v>-596.16</v>
      </c>
      <c r="H22" s="28">
        <f>H21</f>
        <v>143245.63</v>
      </c>
    </row>
    <row r="23" spans="1:8">
      <c r="A23" s="21"/>
    </row>
    <row r="26" spans="1:8">
      <c r="F26"/>
      <c r="G26"/>
    </row>
    <row r="27" spans="1:8">
      <c r="F27"/>
      <c r="G27"/>
    </row>
    <row r="28" spans="1:8">
      <c r="F28"/>
      <c r="G28"/>
    </row>
    <row r="29" spans="1:8">
      <c r="F29"/>
      <c r="G29"/>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E68E8-ACBC-ED42-8ED9-C9928A1446FB}">
  <sheetPr codeName="Sheet6"/>
  <dimension ref="A1:G11"/>
  <sheetViews>
    <sheetView workbookViewId="0">
      <selection activeCell="A2" sqref="A2:A11"/>
    </sheetView>
  </sheetViews>
  <sheetFormatPr defaultColWidth="11" defaultRowHeight="15.75"/>
  <sheetData>
    <row r="1" spans="1:7">
      <c r="A1" s="25" t="s">
        <v>98</v>
      </c>
      <c r="B1" s="25" t="s">
        <v>99</v>
      </c>
      <c r="C1" s="25" t="s">
        <v>100</v>
      </c>
      <c r="D1" s="25" t="s">
        <v>101</v>
      </c>
      <c r="E1" s="25" t="s">
        <v>102</v>
      </c>
      <c r="F1" s="25" t="s">
        <v>103</v>
      </c>
      <c r="G1" s="25"/>
    </row>
    <row r="2" spans="1:7">
      <c r="A2" s="19">
        <v>2019</v>
      </c>
      <c r="B2" s="19" t="s">
        <v>104</v>
      </c>
      <c r="C2" s="26">
        <v>2639.86</v>
      </c>
      <c r="D2" s="26">
        <v>2639.86</v>
      </c>
      <c r="E2" s="27">
        <v>43825</v>
      </c>
      <c r="F2" s="26">
        <v>0</v>
      </c>
      <c r="G2" s="19"/>
    </row>
    <row r="3" spans="1:7">
      <c r="A3" s="19">
        <v>2019</v>
      </c>
      <c r="B3" s="19" t="s">
        <v>105</v>
      </c>
      <c r="C3" s="26">
        <v>4042.15</v>
      </c>
      <c r="D3" s="26">
        <v>4042.15</v>
      </c>
      <c r="E3" s="27">
        <v>43700</v>
      </c>
      <c r="F3" s="26">
        <v>0</v>
      </c>
      <c r="G3" s="19"/>
    </row>
    <row r="4" spans="1:7">
      <c r="A4" s="19">
        <v>2018</v>
      </c>
      <c r="B4" s="19" t="s">
        <v>104</v>
      </c>
      <c r="C4" s="26">
        <v>2408.29</v>
      </c>
      <c r="D4" s="26">
        <v>2408.29</v>
      </c>
      <c r="E4" s="27">
        <v>43453</v>
      </c>
      <c r="F4" s="26">
        <v>0</v>
      </c>
      <c r="G4" s="19"/>
    </row>
    <row r="5" spans="1:7">
      <c r="A5" s="19">
        <v>2018</v>
      </c>
      <c r="B5" s="19" t="s">
        <v>105</v>
      </c>
      <c r="C5" s="26">
        <v>3972.51</v>
      </c>
      <c r="D5" s="26">
        <v>3972.51</v>
      </c>
      <c r="E5" s="27">
        <v>43332</v>
      </c>
      <c r="F5" s="26">
        <v>0</v>
      </c>
      <c r="G5" s="19"/>
    </row>
    <row r="6" spans="1:7">
      <c r="A6" s="19">
        <v>2017</v>
      </c>
      <c r="B6" s="19" t="s">
        <v>104</v>
      </c>
      <c r="C6" s="26">
        <v>2308.0100000000002</v>
      </c>
      <c r="D6" s="26">
        <v>2308.0100000000002</v>
      </c>
      <c r="E6" s="27">
        <v>43089</v>
      </c>
      <c r="F6" s="26">
        <v>0</v>
      </c>
      <c r="G6" s="19"/>
    </row>
    <row r="7" spans="1:7">
      <c r="A7" s="19">
        <v>2017</v>
      </c>
      <c r="B7" s="19" t="s">
        <v>105</v>
      </c>
      <c r="C7" s="26">
        <v>3861.99</v>
      </c>
      <c r="D7" s="26">
        <v>3861.99</v>
      </c>
      <c r="E7" s="27">
        <v>42970</v>
      </c>
      <c r="F7" s="26">
        <v>0</v>
      </c>
      <c r="G7" s="19"/>
    </row>
    <row r="8" spans="1:7">
      <c r="A8" s="19">
        <v>2016</v>
      </c>
      <c r="B8" s="19" t="s">
        <v>104</v>
      </c>
      <c r="C8" s="26">
        <v>2698.9</v>
      </c>
      <c r="D8" s="26">
        <v>2698.9</v>
      </c>
      <c r="E8" s="27">
        <v>42755</v>
      </c>
      <c r="F8" s="26">
        <v>0</v>
      </c>
      <c r="G8" s="19"/>
    </row>
    <row r="9" spans="1:7">
      <c r="A9" s="19">
        <v>2016</v>
      </c>
      <c r="B9" s="19" t="s">
        <v>105</v>
      </c>
      <c r="C9" s="26">
        <v>3594.36</v>
      </c>
      <c r="D9" s="26">
        <v>3594.36</v>
      </c>
      <c r="E9" s="27">
        <v>42601</v>
      </c>
      <c r="F9" s="26">
        <v>0</v>
      </c>
      <c r="G9" s="19"/>
    </row>
    <row r="10" spans="1:7">
      <c r="A10" s="19">
        <v>2015</v>
      </c>
      <c r="B10" s="19" t="s">
        <v>104</v>
      </c>
      <c r="C10" s="26">
        <v>1927.21</v>
      </c>
      <c r="D10" s="26">
        <v>1927.21</v>
      </c>
      <c r="E10" s="27">
        <v>42369</v>
      </c>
      <c r="F10" s="26">
        <v>0</v>
      </c>
      <c r="G10" s="19"/>
    </row>
    <row r="11" spans="1:7">
      <c r="A11" s="19">
        <v>2015</v>
      </c>
      <c r="B11" s="19" t="s">
        <v>105</v>
      </c>
      <c r="C11" s="26">
        <v>2782</v>
      </c>
      <c r="D11" s="26">
        <v>2782</v>
      </c>
      <c r="E11" s="27">
        <v>42241</v>
      </c>
      <c r="F11" s="2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B2F40-28DA-094B-8CD5-C4B238945946}">
  <sheetPr codeName="Sheet10"/>
  <dimension ref="A1:D28"/>
  <sheetViews>
    <sheetView workbookViewId="0">
      <selection activeCell="C9" sqref="C9"/>
    </sheetView>
  </sheetViews>
  <sheetFormatPr defaultColWidth="11" defaultRowHeight="15.75"/>
  <cols>
    <col min="1" max="1" width="10.875" style="166"/>
    <col min="2" max="2" width="18.875" bestFit="1" customWidth="1"/>
    <col min="3" max="3" width="11.5" style="2" bestFit="1" customWidth="1"/>
    <col min="4" max="4" width="11.5" bestFit="1" customWidth="1"/>
  </cols>
  <sheetData>
    <row r="1" spans="1:4">
      <c r="A1" s="166" t="s">
        <v>0</v>
      </c>
      <c r="B1" t="s">
        <v>648</v>
      </c>
      <c r="C1" s="165" t="s">
        <v>649</v>
      </c>
      <c r="D1" t="s">
        <v>153</v>
      </c>
    </row>
    <row r="2" spans="1:4">
      <c r="A2" s="166">
        <v>43891</v>
      </c>
      <c r="B2" t="s">
        <v>650</v>
      </c>
      <c r="C2" s="2">
        <v>0</v>
      </c>
      <c r="D2">
        <v>0</v>
      </c>
    </row>
    <row r="3" spans="1:4">
      <c r="A3" s="166">
        <v>43921</v>
      </c>
      <c r="B3" t="s">
        <v>651</v>
      </c>
      <c r="C3" s="2">
        <v>36943.9</v>
      </c>
      <c r="D3" s="18">
        <f>D2+C3</f>
        <v>36943.9</v>
      </c>
    </row>
    <row r="4" spans="1:4">
      <c r="A4" s="166">
        <v>43921</v>
      </c>
      <c r="B4" t="s">
        <v>652</v>
      </c>
      <c r="C4" s="2">
        <v>-50</v>
      </c>
      <c r="D4" s="18">
        <f t="shared" ref="D4:D28" si="0">D3+C4</f>
        <v>36893.9</v>
      </c>
    </row>
    <row r="5" spans="1:4">
      <c r="A5" s="166">
        <v>43921</v>
      </c>
      <c r="B5" t="s">
        <v>653</v>
      </c>
      <c r="C5" s="2">
        <v>16442.48</v>
      </c>
      <c r="D5" s="18">
        <f t="shared" si="0"/>
        <v>53336.380000000005</v>
      </c>
    </row>
    <row r="6" spans="1:4">
      <c r="A6" s="166">
        <v>43921</v>
      </c>
      <c r="B6" s="166" t="s">
        <v>654</v>
      </c>
      <c r="C6" s="2">
        <v>0</v>
      </c>
      <c r="D6" s="18">
        <f t="shared" si="0"/>
        <v>53336.380000000005</v>
      </c>
    </row>
    <row r="7" spans="1:4">
      <c r="A7" s="166">
        <v>43921</v>
      </c>
      <c r="B7" t="s">
        <v>655</v>
      </c>
      <c r="C7" s="2">
        <v>-1337.91</v>
      </c>
      <c r="D7" s="18">
        <f t="shared" si="0"/>
        <v>51998.47</v>
      </c>
    </row>
    <row r="8" spans="1:4">
      <c r="A8" s="166">
        <v>43921</v>
      </c>
      <c r="B8" t="s">
        <v>656</v>
      </c>
      <c r="C8" s="2">
        <v>9.61</v>
      </c>
      <c r="D8" s="18">
        <f t="shared" si="0"/>
        <v>52008.08</v>
      </c>
    </row>
    <row r="9" spans="1:4">
      <c r="D9" s="18">
        <f t="shared" si="0"/>
        <v>52008.08</v>
      </c>
    </row>
    <row r="10" spans="1:4">
      <c r="D10" s="18">
        <f t="shared" si="0"/>
        <v>52008.08</v>
      </c>
    </row>
    <row r="11" spans="1:4">
      <c r="D11" s="18">
        <f t="shared" si="0"/>
        <v>52008.08</v>
      </c>
    </row>
    <row r="12" spans="1:4">
      <c r="D12" s="18">
        <f t="shared" si="0"/>
        <v>52008.08</v>
      </c>
    </row>
    <row r="13" spans="1:4">
      <c r="D13" s="18">
        <f t="shared" si="0"/>
        <v>52008.08</v>
      </c>
    </row>
    <row r="14" spans="1:4">
      <c r="D14" s="18">
        <f t="shared" si="0"/>
        <v>52008.08</v>
      </c>
    </row>
    <row r="15" spans="1:4">
      <c r="D15" s="18">
        <f t="shared" si="0"/>
        <v>52008.08</v>
      </c>
    </row>
    <row r="16" spans="1:4">
      <c r="D16" s="18">
        <f t="shared" si="0"/>
        <v>52008.08</v>
      </c>
    </row>
    <row r="17" spans="4:4">
      <c r="D17" s="18">
        <f t="shared" si="0"/>
        <v>52008.08</v>
      </c>
    </row>
    <row r="18" spans="4:4">
      <c r="D18" s="18">
        <f t="shared" si="0"/>
        <v>52008.08</v>
      </c>
    </row>
    <row r="19" spans="4:4">
      <c r="D19" s="18">
        <f t="shared" si="0"/>
        <v>52008.08</v>
      </c>
    </row>
    <row r="20" spans="4:4">
      <c r="D20" s="18">
        <f t="shared" si="0"/>
        <v>52008.08</v>
      </c>
    </row>
    <row r="21" spans="4:4">
      <c r="D21" s="18">
        <f t="shared" si="0"/>
        <v>52008.08</v>
      </c>
    </row>
    <row r="22" spans="4:4">
      <c r="D22" s="18">
        <f t="shared" si="0"/>
        <v>52008.08</v>
      </c>
    </row>
    <row r="23" spans="4:4">
      <c r="D23" s="18">
        <f t="shared" si="0"/>
        <v>52008.08</v>
      </c>
    </row>
    <row r="24" spans="4:4">
      <c r="D24" s="18">
        <f t="shared" si="0"/>
        <v>52008.08</v>
      </c>
    </row>
    <row r="25" spans="4:4">
      <c r="D25" s="18">
        <f t="shared" si="0"/>
        <v>52008.08</v>
      </c>
    </row>
    <row r="26" spans="4:4">
      <c r="D26" s="18">
        <f t="shared" si="0"/>
        <v>52008.08</v>
      </c>
    </row>
    <row r="27" spans="4:4">
      <c r="D27" s="18">
        <f t="shared" si="0"/>
        <v>52008.08</v>
      </c>
    </row>
    <row r="28" spans="4:4">
      <c r="D28" s="18">
        <f t="shared" si="0"/>
        <v>52008.08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1C7AB-A35E-2445-B89F-C1C50FD450BB}">
  <sheetPr codeName="Sheet7"/>
  <dimension ref="A1:O114"/>
  <sheetViews>
    <sheetView workbookViewId="0">
      <pane xSplit="1" ySplit="1" topLeftCell="H60" activePane="bottomRight" state="frozenSplit"/>
      <selection pane="topRight" activeCell="I1" sqref="I1"/>
      <selection pane="bottomLeft" activeCell="A2" sqref="A2"/>
      <selection pane="bottomRight" activeCell="A3" sqref="A3"/>
    </sheetView>
  </sheetViews>
  <sheetFormatPr defaultColWidth="11" defaultRowHeight="15.75"/>
  <cols>
    <col min="1" max="1" width="50.875" style="3" customWidth="1"/>
    <col min="2" max="8" width="11.5" style="2" bestFit="1" customWidth="1"/>
  </cols>
  <sheetData>
    <row r="1" spans="1:15">
      <c r="B1" s="17">
        <v>43485</v>
      </c>
      <c r="C1" s="17">
        <v>43516</v>
      </c>
      <c r="D1" s="17">
        <v>43544</v>
      </c>
      <c r="E1" s="17">
        <v>43575</v>
      </c>
      <c r="F1" s="17">
        <v>43605</v>
      </c>
      <c r="G1" s="17">
        <v>43636</v>
      </c>
      <c r="H1" s="17">
        <v>43666</v>
      </c>
      <c r="I1" s="20">
        <v>43697</v>
      </c>
      <c r="J1" s="20">
        <v>43728</v>
      </c>
      <c r="K1" s="20">
        <v>43758</v>
      </c>
      <c r="L1" s="20">
        <v>43789</v>
      </c>
      <c r="M1" s="20">
        <v>43819</v>
      </c>
    </row>
    <row r="2" spans="1:15" ht="18.75">
      <c r="A2" s="15" t="s">
        <v>117</v>
      </c>
      <c r="B2" s="17"/>
      <c r="C2" s="17"/>
      <c r="D2" s="17"/>
      <c r="E2" s="17"/>
      <c r="F2" s="17"/>
      <c r="G2" s="17"/>
      <c r="H2" s="17"/>
    </row>
    <row r="3" spans="1:15">
      <c r="A3" s="3" t="s">
        <v>103</v>
      </c>
      <c r="B3" s="2">
        <v>194.74</v>
      </c>
      <c r="C3" s="2">
        <v>226.71</v>
      </c>
      <c r="D3" s="2">
        <v>428.45</v>
      </c>
      <c r="E3" s="2">
        <v>512.29</v>
      </c>
      <c r="F3" s="2">
        <v>148.34</v>
      </c>
      <c r="G3" s="2">
        <v>345.2</v>
      </c>
      <c r="H3" s="2">
        <v>210.72</v>
      </c>
      <c r="I3" s="2">
        <v>199.72</v>
      </c>
      <c r="J3" s="2">
        <v>218.08</v>
      </c>
      <c r="K3" s="2">
        <v>231.59</v>
      </c>
      <c r="L3" s="2">
        <v>210.05</v>
      </c>
      <c r="M3" s="2">
        <v>231.01</v>
      </c>
    </row>
    <row r="4" spans="1:15">
      <c r="A4" s="3" t="s">
        <v>101</v>
      </c>
      <c r="B4" s="2">
        <v>-194.74</v>
      </c>
      <c r="C4" s="2">
        <v>0</v>
      </c>
      <c r="D4" s="2">
        <f>-201.74-226.71</f>
        <v>-428.45000000000005</v>
      </c>
      <c r="E4" s="2">
        <v>-512.29</v>
      </c>
      <c r="F4" s="2">
        <v>0</v>
      </c>
      <c r="G4" s="2">
        <v>-345.2</v>
      </c>
      <c r="H4" s="2">
        <v>-210.72</v>
      </c>
      <c r="I4" s="2">
        <v>-199.72</v>
      </c>
      <c r="J4" s="2">
        <v>-218.08</v>
      </c>
      <c r="K4" s="2">
        <v>-231.59</v>
      </c>
      <c r="L4" s="2">
        <v>-210.05</v>
      </c>
      <c r="M4" s="2">
        <v>-231.01</v>
      </c>
    </row>
    <row r="5" spans="1:15">
      <c r="B5" s="17"/>
      <c r="D5" s="17"/>
      <c r="E5" s="17"/>
      <c r="F5" s="17"/>
      <c r="G5" s="17"/>
      <c r="H5" s="17"/>
    </row>
    <row r="6" spans="1:15" ht="18.75">
      <c r="A6" s="15" t="s">
        <v>119</v>
      </c>
      <c r="B6" s="17"/>
      <c r="D6" s="17"/>
      <c r="E6" s="17"/>
      <c r="F6" s="17"/>
      <c r="G6" s="17"/>
      <c r="H6" s="17"/>
    </row>
    <row r="7" spans="1:15">
      <c r="A7" s="12" t="s">
        <v>117</v>
      </c>
      <c r="B7" s="11">
        <f t="shared" ref="B7:I7" si="0">SUM(B3:B4)</f>
        <v>0</v>
      </c>
      <c r="C7" s="11">
        <f t="shared" si="0"/>
        <v>226.71</v>
      </c>
      <c r="D7" s="11">
        <f t="shared" si="0"/>
        <v>0</v>
      </c>
      <c r="E7" s="11">
        <f t="shared" si="0"/>
        <v>0</v>
      </c>
      <c r="F7" s="11">
        <f t="shared" si="0"/>
        <v>148.34</v>
      </c>
      <c r="G7" s="11">
        <f t="shared" si="0"/>
        <v>0</v>
      </c>
      <c r="H7" s="11">
        <f t="shared" si="0"/>
        <v>0</v>
      </c>
      <c r="I7" s="11">
        <f t="shared" si="0"/>
        <v>0</v>
      </c>
      <c r="J7" s="11">
        <f>SUM(I3:I4)</f>
        <v>0</v>
      </c>
      <c r="K7" s="11">
        <f t="shared" ref="K7:M7" si="1">SUM(K3:K4)</f>
        <v>0</v>
      </c>
      <c r="L7" s="11">
        <f t="shared" si="1"/>
        <v>0</v>
      </c>
      <c r="M7" s="11">
        <f t="shared" si="1"/>
        <v>0</v>
      </c>
    </row>
    <row r="8" spans="1:15">
      <c r="A8" s="12" t="s">
        <v>57</v>
      </c>
      <c r="B8" s="11">
        <v>0</v>
      </c>
      <c r="C8" s="11">
        <v>0</v>
      </c>
      <c r="D8" s="11">
        <f>SUM(D17:D18)</f>
        <v>61</v>
      </c>
      <c r="E8" s="11"/>
      <c r="F8" s="11">
        <v>2</v>
      </c>
      <c r="G8" s="11"/>
      <c r="H8" s="11"/>
      <c r="I8" s="11"/>
      <c r="J8" s="11"/>
      <c r="K8" s="11"/>
      <c r="L8" s="11"/>
      <c r="M8" s="11"/>
    </row>
    <row r="9" spans="1:15">
      <c r="A9" s="12" t="s">
        <v>54</v>
      </c>
      <c r="B9" s="11">
        <f t="shared" ref="B9:H9" si="2">B22</f>
        <v>0</v>
      </c>
      <c r="C9" s="11">
        <f t="shared" si="2"/>
        <v>0</v>
      </c>
      <c r="D9" s="11">
        <f t="shared" si="2"/>
        <v>0</v>
      </c>
      <c r="E9" s="11">
        <f t="shared" si="2"/>
        <v>-51.05</v>
      </c>
      <c r="F9" s="11">
        <f t="shared" si="2"/>
        <v>0</v>
      </c>
      <c r="G9" s="11">
        <f t="shared" si="2"/>
        <v>0</v>
      </c>
      <c r="H9" s="11">
        <f t="shared" si="2"/>
        <v>0</v>
      </c>
      <c r="I9" s="11">
        <f t="shared" ref="I9:M9" si="3">I22</f>
        <v>0</v>
      </c>
      <c r="J9" s="11">
        <f t="shared" si="3"/>
        <v>0</v>
      </c>
      <c r="K9" s="11">
        <f t="shared" si="3"/>
        <v>0</v>
      </c>
      <c r="L9" s="11">
        <f t="shared" si="3"/>
        <v>0</v>
      </c>
      <c r="M9" s="11">
        <f t="shared" si="3"/>
        <v>0</v>
      </c>
    </row>
    <row r="10" spans="1:15">
      <c r="A10" s="12" t="s">
        <v>115</v>
      </c>
      <c r="B10" s="11">
        <f t="shared" ref="B10:H10" si="4">SUM(B32,B41,B49,B58)</f>
        <v>202.03000000000003</v>
      </c>
      <c r="C10" s="11">
        <f t="shared" si="4"/>
        <v>180.14</v>
      </c>
      <c r="D10" s="11">
        <f t="shared" si="4"/>
        <v>382.97</v>
      </c>
      <c r="E10" s="11">
        <f t="shared" si="4"/>
        <v>178.15000000000003</v>
      </c>
      <c r="F10" s="11">
        <f t="shared" si="4"/>
        <v>174.17000000000002</v>
      </c>
      <c r="G10" s="11">
        <f t="shared" si="4"/>
        <v>188.10000000000002</v>
      </c>
      <c r="H10" s="11">
        <f t="shared" si="4"/>
        <v>178.15000000000003</v>
      </c>
      <c r="I10" s="11">
        <f t="shared" ref="I10:M10" si="5">SUM(I32,I41,I49,I58)</f>
        <v>194.07000000000002</v>
      </c>
      <c r="J10" s="11">
        <f t="shared" si="5"/>
        <v>207.76</v>
      </c>
      <c r="K10" s="11">
        <f t="shared" si="5"/>
        <v>188.15000000000003</v>
      </c>
      <c r="L10" s="11">
        <f t="shared" si="5"/>
        <v>204.07000000000002</v>
      </c>
      <c r="M10" s="11">
        <f t="shared" si="5"/>
        <v>184.17000000000002</v>
      </c>
    </row>
    <row r="11" spans="1:15">
      <c r="A11" s="12" t="s">
        <v>56</v>
      </c>
      <c r="B11" s="11">
        <f t="shared" ref="B11:H11" si="6">B66</f>
        <v>15.11</v>
      </c>
      <c r="C11" s="11">
        <f t="shared" si="6"/>
        <v>13.440000000000001</v>
      </c>
      <c r="D11" s="11">
        <f t="shared" si="6"/>
        <v>58.22</v>
      </c>
      <c r="E11" s="11">
        <f t="shared" si="6"/>
        <v>13.22</v>
      </c>
      <c r="F11" s="11">
        <f t="shared" si="6"/>
        <v>12.93</v>
      </c>
      <c r="G11" s="11">
        <f t="shared" si="6"/>
        <v>13.96</v>
      </c>
      <c r="H11" s="11">
        <f t="shared" si="6"/>
        <v>13.530000000000001</v>
      </c>
      <c r="I11" s="11">
        <f t="shared" ref="I11:M11" si="7">I66</f>
        <v>14.93</v>
      </c>
      <c r="J11" s="11">
        <f t="shared" si="7"/>
        <v>14.83</v>
      </c>
      <c r="K11" s="11">
        <f t="shared" si="7"/>
        <v>13.75</v>
      </c>
      <c r="L11" s="11">
        <f t="shared" si="7"/>
        <v>17.59</v>
      </c>
      <c r="M11" s="11">
        <f t="shared" si="7"/>
        <v>15.75</v>
      </c>
    </row>
    <row r="12" spans="1:15">
      <c r="A12" s="12" t="s">
        <v>55</v>
      </c>
      <c r="B12" s="11">
        <f t="shared" ref="B12:H12" si="8">B72</f>
        <v>9.57</v>
      </c>
      <c r="C12" s="11">
        <f t="shared" si="8"/>
        <v>8.16</v>
      </c>
      <c r="D12" s="11">
        <f t="shared" si="8"/>
        <v>10.1</v>
      </c>
      <c r="E12" s="11">
        <f t="shared" si="8"/>
        <v>8.02</v>
      </c>
      <c r="F12" s="11">
        <f t="shared" si="8"/>
        <v>7.76</v>
      </c>
      <c r="G12" s="11">
        <f t="shared" si="8"/>
        <v>8.66</v>
      </c>
      <c r="H12" s="11">
        <f t="shared" si="8"/>
        <v>8.0399999999999991</v>
      </c>
      <c r="I12" s="11">
        <f t="shared" ref="I12:M12" si="9">I72</f>
        <v>9.08</v>
      </c>
      <c r="J12" s="11">
        <f t="shared" si="9"/>
        <v>9</v>
      </c>
      <c r="K12" s="11">
        <f t="shared" si="9"/>
        <v>8.1499999999999986</v>
      </c>
      <c r="L12" s="11">
        <f t="shared" si="9"/>
        <v>9.35</v>
      </c>
      <c r="M12" s="11">
        <f t="shared" si="9"/>
        <v>8.0500000000000007</v>
      </c>
    </row>
    <row r="13" spans="1:15" ht="16.5" thickBot="1">
      <c r="A13" s="10" t="s">
        <v>116</v>
      </c>
      <c r="B13" s="30">
        <f>SUM(B7:B12)</f>
        <v>226.71000000000004</v>
      </c>
      <c r="C13" s="30">
        <f t="shared" ref="C13:H13" si="10">SUM(C7:C12)</f>
        <v>428.45000000000005</v>
      </c>
      <c r="D13" s="30">
        <f t="shared" si="10"/>
        <v>512.29000000000008</v>
      </c>
      <c r="E13" s="30">
        <f t="shared" si="10"/>
        <v>148.34000000000006</v>
      </c>
      <c r="F13" s="30">
        <f t="shared" si="10"/>
        <v>345.2</v>
      </c>
      <c r="G13" s="30">
        <f t="shared" si="10"/>
        <v>210.72000000000003</v>
      </c>
      <c r="H13" s="30">
        <f t="shared" si="10"/>
        <v>199.72000000000003</v>
      </c>
      <c r="I13" s="30">
        <f t="shared" ref="I13" si="11">SUM(I7:I12)</f>
        <v>218.08000000000004</v>
      </c>
      <c r="J13" s="30">
        <f t="shared" ref="J13" si="12">SUM(J7:J12)</f>
        <v>231.59</v>
      </c>
      <c r="K13" s="30">
        <f t="shared" ref="K13" si="13">SUM(K7:K12)</f>
        <v>210.05000000000004</v>
      </c>
      <c r="L13" s="30">
        <f t="shared" ref="L13" si="14">SUM(L7:L12)</f>
        <v>231.01000000000002</v>
      </c>
      <c r="M13" s="30">
        <f t="shared" ref="M13" si="15">SUM(M7:M12)</f>
        <v>207.97000000000003</v>
      </c>
    </row>
    <row r="14" spans="1:15" ht="16.5" thickTop="1">
      <c r="A14" s="31"/>
      <c r="B14" s="32"/>
      <c r="C14" s="32"/>
      <c r="D14" s="32"/>
      <c r="E14" s="32"/>
      <c r="F14" s="32"/>
      <c r="G14" s="32"/>
      <c r="H14" s="32"/>
      <c r="I14" s="32"/>
      <c r="J14" s="32"/>
      <c r="K14" s="32"/>
      <c r="L14" s="32"/>
      <c r="M14" s="32"/>
    </row>
    <row r="15" spans="1:15">
      <c r="A15" s="31"/>
      <c r="B15" s="32"/>
      <c r="C15" s="32"/>
      <c r="D15" s="32"/>
      <c r="E15" s="32"/>
      <c r="F15" s="32"/>
      <c r="G15" s="32"/>
      <c r="H15" s="32"/>
      <c r="I15" s="32"/>
      <c r="J15" s="32"/>
      <c r="K15" s="32"/>
      <c r="L15" s="32"/>
      <c r="M15" s="32"/>
    </row>
    <row r="16" spans="1:15" ht="18.75">
      <c r="A16" s="15" t="s">
        <v>57</v>
      </c>
      <c r="I16" s="2"/>
      <c r="J16" s="2"/>
      <c r="K16" s="2"/>
      <c r="L16" s="2"/>
      <c r="M16" s="2"/>
      <c r="N16" s="2"/>
      <c r="O16" s="2"/>
    </row>
    <row r="17" spans="1:15">
      <c r="A17" s="13" t="s">
        <v>77</v>
      </c>
      <c r="B17" s="14">
        <v>0</v>
      </c>
      <c r="C17" s="14">
        <v>0</v>
      </c>
      <c r="D17" s="14">
        <v>36</v>
      </c>
      <c r="E17" s="14">
        <v>0</v>
      </c>
      <c r="F17" s="14">
        <v>0</v>
      </c>
      <c r="G17" s="14">
        <v>0</v>
      </c>
      <c r="H17" s="14">
        <v>0</v>
      </c>
      <c r="I17" s="14">
        <v>0</v>
      </c>
      <c r="J17" s="14">
        <v>0</v>
      </c>
      <c r="K17" s="14">
        <v>0</v>
      </c>
      <c r="L17" s="14">
        <v>0</v>
      </c>
      <c r="M17" s="14">
        <v>0</v>
      </c>
      <c r="N17" s="2"/>
      <c r="O17" s="2"/>
    </row>
    <row r="18" spans="1:15">
      <c r="A18" s="13" t="s">
        <v>76</v>
      </c>
      <c r="B18" s="14">
        <v>0</v>
      </c>
      <c r="C18" s="14">
        <v>0</v>
      </c>
      <c r="D18" s="14">
        <v>25</v>
      </c>
      <c r="E18" s="14">
        <v>0</v>
      </c>
      <c r="F18" s="14">
        <v>0</v>
      </c>
      <c r="G18" s="14">
        <v>0</v>
      </c>
      <c r="H18" s="14">
        <v>0</v>
      </c>
      <c r="I18" s="14">
        <v>0</v>
      </c>
      <c r="J18" s="14">
        <v>0</v>
      </c>
      <c r="K18" s="14">
        <v>0</v>
      </c>
      <c r="L18" s="14">
        <v>0</v>
      </c>
      <c r="M18" s="14">
        <v>0</v>
      </c>
      <c r="N18" s="2"/>
      <c r="O18" s="2"/>
    </row>
    <row r="19" spans="1:15">
      <c r="A19" s="13" t="s">
        <v>120</v>
      </c>
      <c r="B19" s="14"/>
      <c r="C19" s="14"/>
      <c r="D19" s="14"/>
      <c r="E19" s="14"/>
      <c r="F19" s="14">
        <v>2</v>
      </c>
      <c r="G19" s="14"/>
      <c r="H19" s="14"/>
      <c r="I19" s="14"/>
      <c r="J19" s="14"/>
      <c r="K19" s="14"/>
      <c r="L19" s="14"/>
      <c r="M19" s="14"/>
      <c r="N19" s="2"/>
      <c r="O19" s="2"/>
    </row>
    <row r="20" spans="1:15">
      <c r="A20" s="13"/>
      <c r="I20" s="2"/>
      <c r="J20" s="2"/>
      <c r="K20" s="2"/>
      <c r="L20" s="2"/>
      <c r="M20" s="2"/>
      <c r="N20" s="2"/>
      <c r="O20" s="2"/>
    </row>
    <row r="21" spans="1:15" ht="18.75">
      <c r="A21" s="15" t="s">
        <v>54</v>
      </c>
      <c r="I21" s="2"/>
      <c r="J21" s="2"/>
      <c r="K21" s="2"/>
      <c r="L21" s="2"/>
      <c r="M21" s="2"/>
      <c r="N21" s="2"/>
      <c r="O21" s="2"/>
    </row>
    <row r="22" spans="1:15">
      <c r="A22" s="13" t="s">
        <v>75</v>
      </c>
      <c r="B22" s="2">
        <v>0</v>
      </c>
      <c r="C22" s="2">
        <v>0</v>
      </c>
      <c r="D22" s="2">
        <v>0</v>
      </c>
      <c r="E22" s="2">
        <v>-51.05</v>
      </c>
      <c r="I22" s="2"/>
      <c r="J22" s="2"/>
      <c r="K22" s="2"/>
      <c r="L22" s="2"/>
      <c r="M22" s="2"/>
      <c r="N22" s="2"/>
      <c r="O22" s="2"/>
    </row>
    <row r="23" spans="1:15">
      <c r="A23" s="13"/>
      <c r="I23" s="2"/>
      <c r="J23" s="2"/>
      <c r="K23" s="2"/>
      <c r="L23" s="2"/>
      <c r="M23" s="2"/>
      <c r="N23" s="2"/>
      <c r="O23" s="2"/>
    </row>
    <row r="24" spans="1:15">
      <c r="A24" s="13"/>
      <c r="I24" s="2"/>
      <c r="J24" s="2"/>
      <c r="K24" s="2"/>
      <c r="L24" s="2"/>
      <c r="M24" s="2"/>
      <c r="N24" s="2"/>
      <c r="O24" s="2"/>
    </row>
    <row r="25" spans="1:15" ht="18.75">
      <c r="A25" s="15" t="s">
        <v>78</v>
      </c>
      <c r="I25" s="2"/>
      <c r="J25" s="2"/>
      <c r="K25" s="2"/>
      <c r="L25" s="2"/>
      <c r="M25" s="2"/>
    </row>
    <row r="26" spans="1:15">
      <c r="A26" s="13" t="s">
        <v>64</v>
      </c>
      <c r="B26" s="2">
        <v>65</v>
      </c>
      <c r="C26" s="2">
        <v>65</v>
      </c>
      <c r="D26" s="2">
        <v>65</v>
      </c>
      <c r="E26" s="2">
        <v>65</v>
      </c>
      <c r="F26" s="2">
        <v>65</v>
      </c>
      <c r="G26" s="2">
        <v>65</v>
      </c>
      <c r="H26" s="2">
        <v>65</v>
      </c>
      <c r="I26" s="2">
        <v>65</v>
      </c>
      <c r="J26" s="2">
        <v>65</v>
      </c>
      <c r="K26" s="2">
        <v>65</v>
      </c>
      <c r="L26" s="2">
        <v>65</v>
      </c>
      <c r="M26" s="2">
        <v>65</v>
      </c>
      <c r="N26" s="2"/>
      <c r="O26" s="2"/>
    </row>
    <row r="27" spans="1:15">
      <c r="A27" s="9" t="s">
        <v>74</v>
      </c>
      <c r="B27" s="2">
        <v>0</v>
      </c>
      <c r="C27" s="2">
        <v>1.99</v>
      </c>
      <c r="I27" s="2"/>
      <c r="J27" s="2"/>
      <c r="K27" s="2"/>
      <c r="L27" s="2"/>
      <c r="M27" s="2"/>
      <c r="N27" s="2"/>
      <c r="O27" s="2"/>
    </row>
    <row r="28" spans="1:15">
      <c r="A28" s="13" t="s">
        <v>62</v>
      </c>
      <c r="B28" s="2">
        <v>0</v>
      </c>
      <c r="C28" s="2">
        <v>0</v>
      </c>
      <c r="D28" s="2">
        <v>0</v>
      </c>
      <c r="E28" s="2">
        <v>0</v>
      </c>
      <c r="F28" s="2">
        <v>0</v>
      </c>
      <c r="G28" s="2">
        <v>0</v>
      </c>
      <c r="H28" s="2">
        <v>0</v>
      </c>
      <c r="I28" s="2">
        <v>0</v>
      </c>
      <c r="J28" s="2">
        <v>0</v>
      </c>
      <c r="K28" s="2">
        <v>0</v>
      </c>
      <c r="L28" s="2">
        <v>0</v>
      </c>
      <c r="M28" s="2">
        <v>0</v>
      </c>
      <c r="N28" s="2"/>
      <c r="O28" s="2"/>
    </row>
    <row r="29" spans="1:15">
      <c r="A29" s="13" t="s">
        <v>73</v>
      </c>
      <c r="D29" s="2">
        <v>208.8</v>
      </c>
      <c r="I29" s="2"/>
      <c r="J29" s="2"/>
      <c r="K29" s="2"/>
      <c r="L29" s="2"/>
      <c r="M29" s="2"/>
      <c r="N29" s="2"/>
      <c r="O29" s="2"/>
    </row>
    <row r="30" spans="1:15">
      <c r="A30" s="13" t="s">
        <v>72</v>
      </c>
      <c r="B30" s="2">
        <v>29.17</v>
      </c>
      <c r="C30" s="2">
        <v>29.17</v>
      </c>
      <c r="D30" s="2">
        <v>29.17</v>
      </c>
      <c r="E30" s="2">
        <v>29.17</v>
      </c>
      <c r="F30" s="2">
        <v>29.17</v>
      </c>
      <c r="G30" s="2">
        <v>29.17</v>
      </c>
      <c r="H30" s="2">
        <v>29.17</v>
      </c>
      <c r="I30" s="2">
        <v>29.17</v>
      </c>
      <c r="J30" s="2">
        <v>29.17</v>
      </c>
      <c r="K30" s="2">
        <v>29.17</v>
      </c>
      <c r="L30" s="2">
        <v>29.17</v>
      </c>
      <c r="M30" s="2">
        <v>29.17</v>
      </c>
      <c r="N30" s="2"/>
      <c r="O30" s="2"/>
    </row>
    <row r="31" spans="1:15">
      <c r="A31" s="13" t="s">
        <v>66</v>
      </c>
      <c r="B31" s="2">
        <v>-5</v>
      </c>
      <c r="C31" s="2">
        <v>-5</v>
      </c>
      <c r="D31" s="2">
        <v>-5</v>
      </c>
      <c r="E31" s="2">
        <v>-5</v>
      </c>
      <c r="F31" s="2">
        <v>-5</v>
      </c>
      <c r="G31" s="2">
        <v>-5</v>
      </c>
      <c r="H31" s="2">
        <v>-5</v>
      </c>
      <c r="I31" s="2">
        <v>-5</v>
      </c>
      <c r="J31" s="2">
        <v>-5</v>
      </c>
      <c r="K31" s="2">
        <v>-5</v>
      </c>
      <c r="L31" s="2">
        <v>-5</v>
      </c>
      <c r="M31" s="2">
        <v>-5</v>
      </c>
      <c r="N31" s="2"/>
      <c r="O31" s="2"/>
    </row>
    <row r="32" spans="1:15" ht="16.5" thickBot="1">
      <c r="A32" s="13" t="s">
        <v>58</v>
      </c>
      <c r="B32" s="33">
        <f t="shared" ref="B32:H32" si="16">SUM(B26:B31)</f>
        <v>89.17</v>
      </c>
      <c r="C32" s="33">
        <f t="shared" si="16"/>
        <v>91.16</v>
      </c>
      <c r="D32" s="33">
        <f t="shared" si="16"/>
        <v>297.97000000000003</v>
      </c>
      <c r="E32" s="33">
        <f t="shared" si="16"/>
        <v>89.17</v>
      </c>
      <c r="F32" s="33">
        <f t="shared" si="16"/>
        <v>89.17</v>
      </c>
      <c r="G32" s="33">
        <f t="shared" si="16"/>
        <v>89.17</v>
      </c>
      <c r="H32" s="33">
        <f t="shared" si="16"/>
        <v>89.17</v>
      </c>
      <c r="I32" s="33">
        <f t="shared" ref="I32:M32" si="17">SUM(I26:I31)</f>
        <v>89.17</v>
      </c>
      <c r="J32" s="33">
        <f t="shared" si="17"/>
        <v>89.17</v>
      </c>
      <c r="K32" s="33">
        <f t="shared" si="17"/>
        <v>89.17</v>
      </c>
      <c r="L32" s="33">
        <f t="shared" si="17"/>
        <v>89.17</v>
      </c>
      <c r="M32" s="33">
        <f t="shared" si="17"/>
        <v>89.17</v>
      </c>
      <c r="N32" s="2"/>
      <c r="O32" s="2"/>
    </row>
    <row r="33" spans="1:15" ht="16.5" thickTop="1">
      <c r="I33" s="2"/>
      <c r="J33" s="2"/>
      <c r="K33" s="2"/>
      <c r="L33" s="2"/>
      <c r="M33" s="2"/>
      <c r="N33" s="2"/>
      <c r="O33" s="2"/>
    </row>
    <row r="34" spans="1:15" ht="18.75">
      <c r="A34" s="15" t="s">
        <v>26</v>
      </c>
      <c r="I34" s="2"/>
      <c r="J34" s="2"/>
      <c r="K34" s="2"/>
      <c r="L34" s="2"/>
      <c r="M34" s="2"/>
      <c r="N34" s="2"/>
      <c r="O34" s="2"/>
    </row>
    <row r="35" spans="1:15">
      <c r="A35" s="16" t="s">
        <v>64</v>
      </c>
      <c r="B35" s="2">
        <v>45</v>
      </c>
      <c r="C35" s="2">
        <v>45</v>
      </c>
      <c r="D35" s="2">
        <v>45</v>
      </c>
      <c r="E35" s="2">
        <v>45</v>
      </c>
      <c r="F35" s="2">
        <v>45</v>
      </c>
      <c r="G35" s="2">
        <v>45</v>
      </c>
      <c r="H35" s="2">
        <v>45</v>
      </c>
      <c r="I35" s="2">
        <v>45</v>
      </c>
      <c r="J35" s="2">
        <v>45</v>
      </c>
      <c r="K35" s="2">
        <v>45</v>
      </c>
      <c r="L35" s="2">
        <v>45</v>
      </c>
      <c r="M35" s="2">
        <v>45</v>
      </c>
      <c r="N35" s="2"/>
      <c r="O35" s="2"/>
    </row>
    <row r="36" spans="1:15">
      <c r="A36" s="16" t="s">
        <v>121</v>
      </c>
      <c r="I36" s="2"/>
      <c r="J36" s="2">
        <v>17.670000000000002</v>
      </c>
      <c r="K36" s="2">
        <v>10</v>
      </c>
      <c r="L36" s="2">
        <v>10</v>
      </c>
      <c r="M36" s="2">
        <v>10</v>
      </c>
      <c r="N36" s="2"/>
      <c r="O36" s="2"/>
    </row>
    <row r="37" spans="1:15">
      <c r="A37" s="16" t="s">
        <v>62</v>
      </c>
      <c r="B37" s="2">
        <v>0</v>
      </c>
      <c r="C37" s="2">
        <v>0</v>
      </c>
      <c r="D37" s="2">
        <v>0</v>
      </c>
      <c r="E37" s="2">
        <v>0</v>
      </c>
      <c r="F37" s="2">
        <v>0</v>
      </c>
      <c r="G37" s="2">
        <v>0</v>
      </c>
      <c r="H37" s="2">
        <v>0</v>
      </c>
      <c r="I37" s="2">
        <v>0</v>
      </c>
      <c r="J37" s="2">
        <v>0</v>
      </c>
      <c r="K37" s="2">
        <v>0</v>
      </c>
      <c r="L37" s="2">
        <v>0</v>
      </c>
      <c r="M37" s="2">
        <v>0</v>
      </c>
      <c r="N37" s="2"/>
      <c r="O37" s="2"/>
    </row>
    <row r="38" spans="1:15">
      <c r="A38" s="16" t="s">
        <v>71</v>
      </c>
      <c r="B38" s="2">
        <v>29.17</v>
      </c>
      <c r="C38" s="2">
        <v>29.17</v>
      </c>
      <c r="D38" s="2">
        <v>29.17</v>
      </c>
      <c r="E38" s="2">
        <v>29.17</v>
      </c>
      <c r="F38" s="2">
        <v>29.17</v>
      </c>
      <c r="G38" s="2">
        <v>29.17</v>
      </c>
      <c r="H38" s="2">
        <v>29.17</v>
      </c>
      <c r="I38" s="2">
        <v>29.17</v>
      </c>
      <c r="J38" s="2">
        <v>29.17</v>
      </c>
      <c r="K38" s="2">
        <v>29.17</v>
      </c>
      <c r="L38" s="2">
        <v>29.17</v>
      </c>
      <c r="M38" s="2">
        <v>29.17</v>
      </c>
      <c r="N38" s="2"/>
      <c r="O38" s="2"/>
    </row>
    <row r="39" spans="1:15" ht="31.5">
      <c r="A39" s="3" t="s">
        <v>70</v>
      </c>
      <c r="B39" s="2">
        <v>-29.17</v>
      </c>
      <c r="C39" s="2">
        <v>-29.17</v>
      </c>
      <c r="D39" s="2">
        <v>-29.17</v>
      </c>
      <c r="E39" s="2">
        <v>-29.17</v>
      </c>
      <c r="F39" s="2">
        <v>-29.17</v>
      </c>
      <c r="G39" s="2">
        <v>-29.17</v>
      </c>
      <c r="H39" s="2">
        <v>-29.17</v>
      </c>
      <c r="I39" s="2">
        <v>-29.17</v>
      </c>
      <c r="J39" s="2">
        <v>-29.17</v>
      </c>
      <c r="K39" s="2">
        <v>-29.17</v>
      </c>
      <c r="L39" s="2">
        <v>-29.17</v>
      </c>
      <c r="M39" s="2">
        <v>-29.17</v>
      </c>
      <c r="N39" s="2"/>
      <c r="O39" s="2"/>
    </row>
    <row r="40" spans="1:15">
      <c r="A40" s="3" t="s">
        <v>69</v>
      </c>
      <c r="B40" s="2">
        <v>-5</v>
      </c>
      <c r="C40" s="2">
        <v>-5</v>
      </c>
      <c r="D40" s="2">
        <v>-5</v>
      </c>
      <c r="E40" s="2">
        <v>-5</v>
      </c>
      <c r="F40" s="2">
        <v>-5</v>
      </c>
      <c r="G40" s="2">
        <v>-5</v>
      </c>
      <c r="H40" s="2">
        <v>-5</v>
      </c>
      <c r="I40" s="2">
        <v>-5</v>
      </c>
      <c r="J40" s="2">
        <v>-5</v>
      </c>
      <c r="K40" s="2">
        <v>-5</v>
      </c>
      <c r="L40" s="2">
        <v>-5</v>
      </c>
      <c r="M40" s="2">
        <v>-5</v>
      </c>
      <c r="N40" s="2"/>
      <c r="O40" s="2"/>
    </row>
    <row r="41" spans="1:15" ht="16.5" thickBot="1">
      <c r="A41" s="13" t="s">
        <v>58</v>
      </c>
      <c r="B41" s="33">
        <f t="shared" ref="B41:H41" si="18">SUM(B35:B40)</f>
        <v>40</v>
      </c>
      <c r="C41" s="33">
        <f t="shared" si="18"/>
        <v>40</v>
      </c>
      <c r="D41" s="33">
        <f t="shared" si="18"/>
        <v>40</v>
      </c>
      <c r="E41" s="33">
        <f t="shared" si="18"/>
        <v>40</v>
      </c>
      <c r="F41" s="33">
        <f t="shared" si="18"/>
        <v>40</v>
      </c>
      <c r="G41" s="33">
        <f t="shared" si="18"/>
        <v>40</v>
      </c>
      <c r="H41" s="33">
        <f t="shared" si="18"/>
        <v>40</v>
      </c>
      <c r="I41" s="33">
        <f t="shared" ref="I41:M41" si="19">SUM(I35:I40)</f>
        <v>40</v>
      </c>
      <c r="J41" s="33">
        <f t="shared" si="19"/>
        <v>57.67</v>
      </c>
      <c r="K41" s="33">
        <f t="shared" si="19"/>
        <v>50</v>
      </c>
      <c r="L41" s="33">
        <f t="shared" si="19"/>
        <v>50</v>
      </c>
      <c r="M41" s="33">
        <f t="shared" si="19"/>
        <v>50</v>
      </c>
      <c r="N41" s="2"/>
      <c r="O41" s="2"/>
    </row>
    <row r="42" spans="1:15" ht="16.5" thickTop="1">
      <c r="I42" s="2"/>
      <c r="J42" s="2"/>
      <c r="K42" s="2"/>
      <c r="L42" s="2"/>
      <c r="M42" s="2"/>
      <c r="N42" s="2"/>
      <c r="O42" s="2"/>
    </row>
    <row r="43" spans="1:15" ht="18.75">
      <c r="A43" s="15" t="s">
        <v>32</v>
      </c>
      <c r="I43" s="2"/>
      <c r="J43" s="2"/>
      <c r="K43" s="2"/>
      <c r="L43" s="2"/>
      <c r="M43" s="2"/>
      <c r="N43" s="2"/>
      <c r="O43" s="2"/>
    </row>
    <row r="44" spans="1:15">
      <c r="A44" s="9" t="s">
        <v>64</v>
      </c>
      <c r="B44" s="2">
        <v>25</v>
      </c>
      <c r="C44" s="2">
        <v>25</v>
      </c>
      <c r="D44" s="2">
        <v>25</v>
      </c>
      <c r="E44" s="2">
        <v>25</v>
      </c>
      <c r="F44" s="2">
        <v>25</v>
      </c>
      <c r="G44" s="2">
        <v>25</v>
      </c>
      <c r="H44" s="2">
        <v>25</v>
      </c>
      <c r="I44" s="2">
        <v>25</v>
      </c>
      <c r="J44" s="2">
        <v>25</v>
      </c>
      <c r="K44" s="2">
        <v>25</v>
      </c>
      <c r="L44" s="2">
        <v>25</v>
      </c>
      <c r="M44" s="2">
        <v>25</v>
      </c>
      <c r="N44" s="2"/>
      <c r="O44" s="2"/>
    </row>
    <row r="45" spans="1:15">
      <c r="A45" s="9" t="s">
        <v>62</v>
      </c>
      <c r="B45" s="2">
        <v>0</v>
      </c>
      <c r="C45" s="2">
        <v>0</v>
      </c>
      <c r="D45" s="2">
        <v>0</v>
      </c>
      <c r="E45" s="2">
        <v>0</v>
      </c>
      <c r="F45" s="2">
        <v>0</v>
      </c>
      <c r="G45" s="2">
        <v>0</v>
      </c>
      <c r="H45" s="2">
        <v>0</v>
      </c>
      <c r="I45" s="2">
        <v>0</v>
      </c>
      <c r="J45" s="2">
        <v>0</v>
      </c>
      <c r="K45" s="2">
        <v>0</v>
      </c>
      <c r="L45" s="2">
        <v>0</v>
      </c>
      <c r="M45" s="2">
        <v>0</v>
      </c>
      <c r="N45" s="2"/>
      <c r="O45" s="2"/>
    </row>
    <row r="46" spans="1:15">
      <c r="A46" s="9" t="s">
        <v>68</v>
      </c>
      <c r="B46" s="2">
        <v>25</v>
      </c>
      <c r="C46" s="2">
        <v>25</v>
      </c>
      <c r="D46" s="2">
        <v>25</v>
      </c>
      <c r="E46" s="2">
        <v>25</v>
      </c>
      <c r="F46" s="2">
        <v>25</v>
      </c>
      <c r="G46" s="2">
        <v>25</v>
      </c>
      <c r="H46" s="2">
        <v>25</v>
      </c>
      <c r="I46" s="2">
        <v>25</v>
      </c>
      <c r="J46" s="2">
        <v>25</v>
      </c>
      <c r="K46" s="2">
        <v>25</v>
      </c>
      <c r="L46" s="2">
        <v>25</v>
      </c>
      <c r="M46" s="2">
        <v>25</v>
      </c>
      <c r="N46" s="2"/>
      <c r="O46" s="2"/>
    </row>
    <row r="47" spans="1:15">
      <c r="A47" s="3" t="s">
        <v>67</v>
      </c>
      <c r="B47" s="2">
        <v>-25</v>
      </c>
      <c r="C47" s="2">
        <v>-25</v>
      </c>
      <c r="D47" s="2">
        <v>-25</v>
      </c>
      <c r="E47" s="2">
        <v>-25</v>
      </c>
      <c r="F47" s="2">
        <v>-25</v>
      </c>
      <c r="G47" s="2">
        <v>-25</v>
      </c>
      <c r="H47" s="2">
        <v>-25</v>
      </c>
      <c r="I47" s="2">
        <v>-25</v>
      </c>
      <c r="J47" s="2">
        <v>-25</v>
      </c>
      <c r="K47" s="2">
        <v>-25</v>
      </c>
      <c r="L47" s="2">
        <v>-25</v>
      </c>
      <c r="M47" s="2">
        <v>-25</v>
      </c>
      <c r="N47" s="2"/>
      <c r="O47" s="2"/>
    </row>
    <row r="48" spans="1:15">
      <c r="A48" s="3" t="s">
        <v>66</v>
      </c>
      <c r="B48" s="2">
        <v>-5</v>
      </c>
      <c r="C48" s="2">
        <v>-5</v>
      </c>
      <c r="D48" s="2">
        <v>-5</v>
      </c>
      <c r="E48" s="2">
        <v>-5</v>
      </c>
      <c r="F48" s="2">
        <v>-5</v>
      </c>
      <c r="G48" s="2">
        <v>-5</v>
      </c>
      <c r="H48" s="2">
        <v>-5</v>
      </c>
      <c r="I48" s="2">
        <v>-5</v>
      </c>
      <c r="J48" s="2">
        <v>-5</v>
      </c>
      <c r="K48" s="2">
        <v>-5</v>
      </c>
      <c r="L48" s="2">
        <v>-5</v>
      </c>
      <c r="M48" s="2">
        <v>-5</v>
      </c>
      <c r="N48" s="2"/>
      <c r="O48" s="2"/>
    </row>
    <row r="49" spans="1:15">
      <c r="A49" s="13" t="s">
        <v>58</v>
      </c>
      <c r="B49" s="34">
        <f t="shared" ref="B49:H49" si="20">SUM(B44:B48)</f>
        <v>20</v>
      </c>
      <c r="C49" s="34">
        <f t="shared" si="20"/>
        <v>20</v>
      </c>
      <c r="D49" s="34">
        <f t="shared" si="20"/>
        <v>20</v>
      </c>
      <c r="E49" s="34">
        <f t="shared" si="20"/>
        <v>20</v>
      </c>
      <c r="F49" s="34">
        <f t="shared" si="20"/>
        <v>20</v>
      </c>
      <c r="G49" s="34">
        <f t="shared" si="20"/>
        <v>20</v>
      </c>
      <c r="H49" s="34">
        <f t="shared" si="20"/>
        <v>20</v>
      </c>
      <c r="I49" s="34">
        <f t="shared" ref="I49:M49" si="21">SUM(I44:I48)</f>
        <v>20</v>
      </c>
      <c r="J49" s="34">
        <f t="shared" si="21"/>
        <v>20</v>
      </c>
      <c r="K49" s="34">
        <f t="shared" si="21"/>
        <v>20</v>
      </c>
      <c r="L49" s="34">
        <f t="shared" si="21"/>
        <v>20</v>
      </c>
      <c r="M49" s="34">
        <f t="shared" si="21"/>
        <v>20</v>
      </c>
      <c r="N49" s="2"/>
      <c r="O49" s="2"/>
    </row>
    <row r="50" spans="1:15" ht="16.5" thickBot="1">
      <c r="B50" s="35"/>
      <c r="C50" s="35"/>
      <c r="D50" s="35"/>
      <c r="E50" s="35"/>
      <c r="F50" s="35"/>
      <c r="G50" s="35"/>
      <c r="H50" s="35"/>
      <c r="I50" s="35"/>
      <c r="J50" s="35"/>
      <c r="K50" s="35"/>
      <c r="L50" s="35"/>
      <c r="M50" s="35"/>
      <c r="N50" s="2"/>
      <c r="O50" s="2"/>
    </row>
    <row r="51" spans="1:15" ht="19.5" thickTop="1">
      <c r="A51" s="15" t="s">
        <v>65</v>
      </c>
      <c r="I51" s="2"/>
      <c r="J51" s="2"/>
      <c r="K51" s="2"/>
      <c r="L51" s="2"/>
      <c r="M51" s="2"/>
      <c r="N51" s="2"/>
      <c r="O51" s="2"/>
    </row>
    <row r="52" spans="1:15">
      <c r="A52" s="9" t="s">
        <v>64</v>
      </c>
      <c r="B52" s="2">
        <v>25</v>
      </c>
      <c r="C52" s="2">
        <v>25</v>
      </c>
      <c r="D52" s="2">
        <v>25</v>
      </c>
      <c r="E52" s="2">
        <v>25</v>
      </c>
      <c r="F52" s="2">
        <v>25</v>
      </c>
      <c r="G52" s="2">
        <v>25</v>
      </c>
      <c r="H52" s="2">
        <v>25</v>
      </c>
      <c r="I52" s="2">
        <v>25</v>
      </c>
      <c r="J52" s="2">
        <v>25</v>
      </c>
      <c r="K52" s="2">
        <v>25</v>
      </c>
      <c r="L52" s="2">
        <v>25</v>
      </c>
      <c r="M52" s="2">
        <v>25</v>
      </c>
      <c r="N52" s="2"/>
      <c r="O52" s="2"/>
    </row>
    <row r="53" spans="1:15">
      <c r="A53" s="9" t="s">
        <v>63</v>
      </c>
      <c r="B53" s="2">
        <v>27.86</v>
      </c>
      <c r="C53" s="2">
        <v>3.98</v>
      </c>
      <c r="E53" s="2">
        <v>3.98</v>
      </c>
      <c r="G53" s="2">
        <v>13.93</v>
      </c>
      <c r="H53" s="2">
        <v>3.98</v>
      </c>
      <c r="I53" s="2">
        <v>19.899999999999999</v>
      </c>
      <c r="J53" s="2">
        <v>15.92</v>
      </c>
      <c r="K53" s="2">
        <v>3.98</v>
      </c>
      <c r="L53" s="2">
        <v>19.899999999999999</v>
      </c>
      <c r="M53" s="2">
        <v>0</v>
      </c>
      <c r="N53" s="2"/>
      <c r="O53" s="2"/>
    </row>
    <row r="54" spans="1:15">
      <c r="A54" s="9" t="s">
        <v>62</v>
      </c>
      <c r="B54" s="2">
        <v>0</v>
      </c>
      <c r="C54" s="2">
        <v>0</v>
      </c>
      <c r="D54" s="2">
        <v>0</v>
      </c>
      <c r="E54" s="2">
        <v>0</v>
      </c>
      <c r="F54" s="2">
        <v>0</v>
      </c>
      <c r="G54" s="2">
        <v>0</v>
      </c>
      <c r="H54" s="2">
        <v>0</v>
      </c>
      <c r="I54" s="2">
        <v>0</v>
      </c>
      <c r="J54" s="2">
        <v>0</v>
      </c>
      <c r="K54" s="2">
        <v>0</v>
      </c>
      <c r="L54" s="2">
        <v>0</v>
      </c>
      <c r="M54" s="2">
        <v>0</v>
      </c>
      <c r="N54" s="2"/>
      <c r="O54" s="2"/>
    </row>
    <row r="55" spans="1:15">
      <c r="A55" s="9" t="s">
        <v>61</v>
      </c>
      <c r="B55" s="2">
        <v>25</v>
      </c>
      <c r="C55" s="2">
        <v>25</v>
      </c>
      <c r="D55" s="2">
        <v>25</v>
      </c>
      <c r="E55" s="2">
        <v>25</v>
      </c>
      <c r="F55" s="2">
        <v>25</v>
      </c>
      <c r="G55" s="2">
        <v>25</v>
      </c>
      <c r="H55" s="2">
        <v>25</v>
      </c>
      <c r="I55" s="2">
        <v>25</v>
      </c>
      <c r="J55" s="2">
        <v>25</v>
      </c>
      <c r="K55" s="2">
        <v>25</v>
      </c>
      <c r="L55" s="2">
        <v>25</v>
      </c>
      <c r="M55" s="2">
        <v>25</v>
      </c>
      <c r="N55" s="2"/>
      <c r="O55" s="2"/>
    </row>
    <row r="56" spans="1:15">
      <c r="A56" s="9" t="s">
        <v>60</v>
      </c>
      <c r="B56" s="2">
        <v>-5</v>
      </c>
      <c r="C56" s="2">
        <v>-5</v>
      </c>
      <c r="D56" s="2">
        <v>-5</v>
      </c>
      <c r="E56" s="2">
        <v>-5</v>
      </c>
      <c r="F56" s="2">
        <v>-5</v>
      </c>
      <c r="G56" s="2">
        <v>-5</v>
      </c>
      <c r="H56" s="2">
        <v>-5</v>
      </c>
      <c r="I56" s="2">
        <v>-5</v>
      </c>
      <c r="J56" s="2">
        <v>-5</v>
      </c>
      <c r="K56" s="2">
        <v>-5</v>
      </c>
      <c r="L56" s="2">
        <v>-5</v>
      </c>
      <c r="M56" s="2">
        <v>-5</v>
      </c>
    </row>
    <row r="57" spans="1:15">
      <c r="A57" s="9" t="s">
        <v>59</v>
      </c>
      <c r="B57" s="2">
        <v>-20</v>
      </c>
      <c r="C57" s="2">
        <v>-20</v>
      </c>
      <c r="D57" s="2">
        <v>-20</v>
      </c>
      <c r="E57" s="2">
        <v>-20</v>
      </c>
      <c r="F57" s="2">
        <v>-20</v>
      </c>
      <c r="G57" s="2">
        <v>-20</v>
      </c>
      <c r="H57" s="2">
        <v>-20</v>
      </c>
      <c r="I57" s="2">
        <v>-20</v>
      </c>
      <c r="J57" s="2">
        <v>-20</v>
      </c>
      <c r="K57" s="2">
        <v>-20</v>
      </c>
      <c r="L57" s="2">
        <v>-20</v>
      </c>
      <c r="M57" s="2">
        <v>-20</v>
      </c>
    </row>
    <row r="58" spans="1:15" ht="16.5" thickBot="1">
      <c r="A58" s="13" t="s">
        <v>58</v>
      </c>
      <c r="B58" s="33">
        <f t="shared" ref="B58:H58" si="22">SUM(B52:B57)</f>
        <v>52.86</v>
      </c>
      <c r="C58" s="33">
        <f t="shared" si="22"/>
        <v>28.980000000000004</v>
      </c>
      <c r="D58" s="33">
        <f t="shared" si="22"/>
        <v>25</v>
      </c>
      <c r="E58" s="33">
        <f t="shared" si="22"/>
        <v>28.980000000000004</v>
      </c>
      <c r="F58" s="33">
        <f t="shared" si="22"/>
        <v>25</v>
      </c>
      <c r="G58" s="33">
        <f t="shared" si="22"/>
        <v>38.93</v>
      </c>
      <c r="H58" s="33">
        <f t="shared" si="22"/>
        <v>28.980000000000004</v>
      </c>
      <c r="I58" s="33">
        <f t="shared" ref="I58:M58" si="23">SUM(I52:I57)</f>
        <v>44.900000000000006</v>
      </c>
      <c r="J58" s="33">
        <f t="shared" si="23"/>
        <v>40.92</v>
      </c>
      <c r="K58" s="33">
        <f t="shared" si="23"/>
        <v>28.980000000000004</v>
      </c>
      <c r="L58" s="33">
        <f t="shared" si="23"/>
        <v>44.900000000000006</v>
      </c>
      <c r="M58" s="33">
        <f t="shared" si="23"/>
        <v>25</v>
      </c>
      <c r="N58" t="s">
        <v>122</v>
      </c>
      <c r="O58" s="18">
        <f>SUM(I58:M58)</f>
        <v>184.70000000000002</v>
      </c>
    </row>
    <row r="59" spans="1:15" ht="16.5" thickTop="1">
      <c r="A59"/>
      <c r="I59" s="2"/>
      <c r="J59" s="2"/>
      <c r="K59" s="2"/>
      <c r="L59" s="2"/>
      <c r="M59" s="2"/>
    </row>
    <row r="60" spans="1:15" ht="18.75">
      <c r="A60" s="15" t="s">
        <v>56</v>
      </c>
      <c r="I60" s="2"/>
      <c r="J60" s="2"/>
      <c r="K60" s="2"/>
      <c r="L60" s="2"/>
      <c r="M60" s="2"/>
    </row>
    <row r="61" spans="1:15">
      <c r="A61" s="13" t="s">
        <v>118</v>
      </c>
      <c r="D61" s="2">
        <v>41.76</v>
      </c>
      <c r="I61" s="2"/>
      <c r="J61" s="2"/>
      <c r="K61" s="2"/>
      <c r="L61" s="2"/>
      <c r="M61" s="2"/>
    </row>
    <row r="62" spans="1:15">
      <c r="A62" s="13" t="s">
        <v>106</v>
      </c>
      <c r="B62" s="2">
        <v>0.16</v>
      </c>
      <c r="C62" s="2">
        <v>1.76</v>
      </c>
      <c r="D62" s="2">
        <v>3.94</v>
      </c>
      <c r="E62" s="2">
        <v>1.55</v>
      </c>
      <c r="F62" s="2">
        <v>1.27</v>
      </c>
      <c r="G62" s="2">
        <v>2.25</v>
      </c>
      <c r="H62" s="2">
        <v>1.86</v>
      </c>
      <c r="I62" s="2">
        <v>3.2</v>
      </c>
      <c r="J62" s="2">
        <v>3.1</v>
      </c>
      <c r="K62" s="2">
        <v>2.0699999999999998</v>
      </c>
      <c r="L62" s="2">
        <v>3.49</v>
      </c>
      <c r="M62" s="2">
        <v>1.72</v>
      </c>
    </row>
    <row r="63" spans="1:15">
      <c r="A63" s="13" t="s">
        <v>107</v>
      </c>
      <c r="B63" s="2">
        <v>3.35</v>
      </c>
      <c r="C63" s="2">
        <v>0.08</v>
      </c>
      <c r="D63" s="2">
        <v>0.92</v>
      </c>
      <c r="E63" s="2">
        <v>7.0000000000000007E-2</v>
      </c>
      <c r="F63" s="2">
        <v>0.06</v>
      </c>
      <c r="G63" s="2">
        <v>0.11</v>
      </c>
      <c r="H63" s="2">
        <v>7.0000000000000007E-2</v>
      </c>
      <c r="I63" s="2">
        <v>0.13</v>
      </c>
      <c r="J63" s="2">
        <v>0.13</v>
      </c>
      <c r="K63" s="2">
        <v>0.08</v>
      </c>
      <c r="L63" s="2">
        <v>0.14000000000000001</v>
      </c>
      <c r="M63" s="2">
        <v>7.0000000000000007E-2</v>
      </c>
    </row>
    <row r="64" spans="1:15">
      <c r="A64" s="13" t="s">
        <v>108</v>
      </c>
      <c r="B64" s="2">
        <v>1.6</v>
      </c>
      <c r="C64" s="2">
        <v>1.6</v>
      </c>
      <c r="D64" s="2">
        <v>1.6</v>
      </c>
      <c r="E64" s="2">
        <v>1.6</v>
      </c>
      <c r="F64" s="2">
        <v>1.6</v>
      </c>
      <c r="G64" s="2">
        <v>1.6</v>
      </c>
      <c r="H64" s="2">
        <v>1.6</v>
      </c>
      <c r="I64" s="2">
        <v>1.6</v>
      </c>
      <c r="J64" s="2">
        <v>1.6</v>
      </c>
      <c r="K64" s="2">
        <v>1.6</v>
      </c>
      <c r="L64" s="2">
        <v>3.96</v>
      </c>
      <c r="M64" s="2">
        <v>3.96</v>
      </c>
    </row>
    <row r="65" spans="1:15">
      <c r="A65" s="13" t="s">
        <v>109</v>
      </c>
      <c r="B65" s="2">
        <v>10</v>
      </c>
      <c r="C65" s="2">
        <v>10</v>
      </c>
      <c r="D65" s="2">
        <v>10</v>
      </c>
      <c r="E65" s="2">
        <v>10</v>
      </c>
      <c r="F65" s="2">
        <v>10</v>
      </c>
      <c r="G65" s="2">
        <v>10</v>
      </c>
      <c r="H65" s="2">
        <v>10</v>
      </c>
      <c r="I65" s="2">
        <v>10</v>
      </c>
      <c r="J65" s="2">
        <v>10</v>
      </c>
      <c r="K65" s="2">
        <v>10</v>
      </c>
      <c r="L65" s="2">
        <v>10</v>
      </c>
      <c r="M65" s="2">
        <v>10</v>
      </c>
    </row>
    <row r="66" spans="1:15" ht="16.5" thickBot="1">
      <c r="A66" s="13" t="s">
        <v>110</v>
      </c>
      <c r="B66" s="29">
        <f>SUM(B62:B65)</f>
        <v>15.11</v>
      </c>
      <c r="C66" s="29">
        <f t="shared" ref="C66:H66" si="24">SUM(C62:C65)</f>
        <v>13.440000000000001</v>
      </c>
      <c r="D66" s="29">
        <f>SUM(D61:D65)</f>
        <v>58.22</v>
      </c>
      <c r="E66" s="29">
        <f t="shared" si="24"/>
        <v>13.22</v>
      </c>
      <c r="F66" s="29">
        <f t="shared" si="24"/>
        <v>12.93</v>
      </c>
      <c r="G66" s="29">
        <f t="shared" si="24"/>
        <v>13.96</v>
      </c>
      <c r="H66" s="29">
        <f t="shared" si="24"/>
        <v>13.530000000000001</v>
      </c>
      <c r="I66" s="29">
        <f t="shared" ref="I66" si="25">SUM(I62:I65)</f>
        <v>14.93</v>
      </c>
      <c r="J66" s="29">
        <f t="shared" ref="J66" si="26">SUM(J62:J65)</f>
        <v>14.83</v>
      </c>
      <c r="K66" s="29">
        <f t="shared" ref="K66" si="27">SUM(K62:K65)</f>
        <v>13.75</v>
      </c>
      <c r="L66" s="29">
        <f t="shared" ref="L66" si="28">SUM(L62:L65)</f>
        <v>17.59</v>
      </c>
      <c r="M66" s="29">
        <f t="shared" ref="M66" si="29">SUM(M62:M65)</f>
        <v>15.75</v>
      </c>
      <c r="N66" t="s">
        <v>122</v>
      </c>
      <c r="O66" s="18">
        <f>SUM(I66:M66)/4</f>
        <v>19.212499999999999</v>
      </c>
    </row>
    <row r="67" spans="1:15" ht="16.5" thickTop="1">
      <c r="A67" s="13"/>
      <c r="I67" s="2"/>
      <c r="J67" s="2"/>
      <c r="K67" s="2"/>
      <c r="L67" s="2"/>
      <c r="M67" s="2"/>
    </row>
    <row r="68" spans="1:15" ht="18.75">
      <c r="A68" s="15" t="s">
        <v>55</v>
      </c>
      <c r="I68" s="2"/>
      <c r="J68" s="2"/>
      <c r="K68" s="2"/>
      <c r="L68" s="2"/>
      <c r="M68" s="2"/>
    </row>
    <row r="69" spans="1:15">
      <c r="A69" s="13" t="s">
        <v>111</v>
      </c>
      <c r="B69" s="2">
        <v>1</v>
      </c>
      <c r="C69" s="2">
        <v>1</v>
      </c>
      <c r="D69" s="2">
        <v>1</v>
      </c>
      <c r="E69" s="2">
        <v>1</v>
      </c>
      <c r="F69" s="2">
        <v>1</v>
      </c>
      <c r="G69" s="2">
        <v>1</v>
      </c>
      <c r="H69" s="2">
        <v>1</v>
      </c>
      <c r="I69" s="2">
        <v>1</v>
      </c>
      <c r="J69" s="2">
        <v>1</v>
      </c>
      <c r="K69" s="2">
        <v>1</v>
      </c>
      <c r="L69" s="2">
        <v>1</v>
      </c>
      <c r="M69" s="2">
        <v>1</v>
      </c>
    </row>
    <row r="70" spans="1:15">
      <c r="A70" s="13" t="s">
        <v>112</v>
      </c>
      <c r="B70" s="2">
        <v>1.68</v>
      </c>
      <c r="C70" s="2">
        <v>1.68</v>
      </c>
      <c r="D70" s="2">
        <v>1.68</v>
      </c>
      <c r="E70" s="2">
        <v>1.68</v>
      </c>
      <c r="F70" s="2">
        <v>1.68</v>
      </c>
      <c r="G70" s="2">
        <v>1.68</v>
      </c>
      <c r="H70" s="2">
        <v>1.68</v>
      </c>
      <c r="I70" s="2">
        <v>1.68</v>
      </c>
      <c r="J70" s="2">
        <v>1.68</v>
      </c>
      <c r="K70" s="2">
        <v>1.68</v>
      </c>
      <c r="L70" s="2">
        <v>1.68</v>
      </c>
      <c r="M70" s="2">
        <v>1.68</v>
      </c>
    </row>
    <row r="71" spans="1:15">
      <c r="A71" s="13" t="s">
        <v>113</v>
      </c>
      <c r="B71" s="2">
        <v>6.89</v>
      </c>
      <c r="C71" s="2">
        <v>5.48</v>
      </c>
      <c r="D71" s="2">
        <v>7.42</v>
      </c>
      <c r="E71" s="2">
        <v>5.34</v>
      </c>
      <c r="F71" s="2">
        <v>5.08</v>
      </c>
      <c r="G71" s="2">
        <v>5.98</v>
      </c>
      <c r="H71" s="2">
        <v>5.36</v>
      </c>
      <c r="I71" s="2">
        <v>6.4</v>
      </c>
      <c r="J71" s="2">
        <v>6.32</v>
      </c>
      <c r="K71" s="2">
        <v>5.47</v>
      </c>
      <c r="L71" s="2">
        <v>6.67</v>
      </c>
      <c r="M71" s="2">
        <v>5.37</v>
      </c>
    </row>
    <row r="72" spans="1:15" ht="16.5" thickBot="1">
      <c r="A72" s="13" t="s">
        <v>114</v>
      </c>
      <c r="B72" s="29">
        <f>SUM(B69:B71)</f>
        <v>9.57</v>
      </c>
      <c r="C72" s="29">
        <f t="shared" ref="C72:H72" si="30">SUM(C69:C71)</f>
        <v>8.16</v>
      </c>
      <c r="D72" s="29">
        <f t="shared" si="30"/>
        <v>10.1</v>
      </c>
      <c r="E72" s="29">
        <f t="shared" si="30"/>
        <v>8.02</v>
      </c>
      <c r="F72" s="29">
        <f t="shared" si="30"/>
        <v>7.76</v>
      </c>
      <c r="G72" s="29">
        <f t="shared" si="30"/>
        <v>8.66</v>
      </c>
      <c r="H72" s="29">
        <f t="shared" si="30"/>
        <v>8.0399999999999991</v>
      </c>
      <c r="I72" s="29">
        <f t="shared" ref="I72" si="31">SUM(I69:I71)</f>
        <v>9.08</v>
      </c>
      <c r="J72" s="29">
        <f t="shared" ref="J72" si="32">SUM(J69:J71)</f>
        <v>9</v>
      </c>
      <c r="K72" s="29">
        <f t="shared" ref="K72" si="33">SUM(K69:K71)</f>
        <v>8.1499999999999986</v>
      </c>
      <c r="L72" s="29">
        <f t="shared" ref="L72" si="34">SUM(L69:L71)</f>
        <v>9.35</v>
      </c>
      <c r="M72" s="29">
        <f t="shared" ref="M72" si="35">SUM(M69:M71)</f>
        <v>8.0500000000000007</v>
      </c>
      <c r="N72" t="s">
        <v>123</v>
      </c>
      <c r="O72" s="18">
        <f>SUM(I72:M72)/4</f>
        <v>10.907499999999999</v>
      </c>
    </row>
    <row r="73" spans="1:15" ht="16.5" thickTop="1">
      <c r="A73" s="13"/>
      <c r="I73" s="2"/>
      <c r="J73" s="2"/>
      <c r="K73" s="2"/>
      <c r="L73" s="2"/>
      <c r="M73" s="2"/>
      <c r="O73" s="18">
        <f>SUM(O58:O72)</f>
        <v>214.82000000000002</v>
      </c>
    </row>
    <row r="74" spans="1:15">
      <c r="A74"/>
      <c r="I74" s="2"/>
      <c r="J74" s="2"/>
      <c r="K74" s="2"/>
      <c r="L74" s="2"/>
      <c r="M74" s="2"/>
    </row>
    <row r="75" spans="1:15">
      <c r="A75" s="9"/>
      <c r="I75" s="2"/>
      <c r="J75" s="2"/>
      <c r="K75" s="2"/>
      <c r="L75" s="2"/>
      <c r="M75" s="2"/>
    </row>
    <row r="76" spans="1:15">
      <c r="A76"/>
      <c r="I76" s="2"/>
      <c r="J76" s="2"/>
      <c r="K76" s="2"/>
      <c r="L76" s="2"/>
      <c r="M76" s="2"/>
    </row>
    <row r="77" spans="1:15">
      <c r="A77" s="9"/>
      <c r="I77" s="2"/>
      <c r="J77" s="2"/>
      <c r="K77" s="2"/>
      <c r="L77" s="2"/>
      <c r="M77" s="2"/>
    </row>
    <row r="78" spans="1:15">
      <c r="A78"/>
      <c r="I78" s="2"/>
      <c r="J78" s="2"/>
      <c r="K78" s="2"/>
      <c r="L78" s="2"/>
      <c r="M78" s="2"/>
    </row>
    <row r="79" spans="1:15">
      <c r="A79" s="9"/>
      <c r="I79" s="2"/>
      <c r="J79" s="2"/>
      <c r="K79" s="2"/>
      <c r="L79" s="2"/>
      <c r="M79" s="2"/>
    </row>
    <row r="80" spans="1:15">
      <c r="A80"/>
      <c r="I80" s="2"/>
      <c r="J80" s="2"/>
      <c r="K80" s="2"/>
      <c r="L80" s="2"/>
      <c r="M80" s="2"/>
    </row>
    <row r="81" spans="1:13">
      <c r="A81" s="9"/>
      <c r="I81" s="2"/>
      <c r="J81" s="2"/>
      <c r="K81" s="2"/>
      <c r="L81" s="2"/>
      <c r="M81" s="2"/>
    </row>
    <row r="82" spans="1:13">
      <c r="A82"/>
      <c r="I82" s="2"/>
      <c r="J82" s="2"/>
      <c r="K82" s="2"/>
      <c r="L82" s="2"/>
      <c r="M82" s="2"/>
    </row>
    <row r="83" spans="1:13">
      <c r="A83" s="9"/>
      <c r="I83" s="2"/>
      <c r="J83" s="2"/>
      <c r="K83" s="2"/>
      <c r="L83" s="2"/>
      <c r="M83" s="2"/>
    </row>
    <row r="84" spans="1:13">
      <c r="A84"/>
      <c r="I84" s="2"/>
      <c r="J84" s="2"/>
      <c r="K84" s="2"/>
      <c r="L84" s="2"/>
      <c r="M84" s="2"/>
    </row>
    <row r="85" spans="1:13" ht="19.5">
      <c r="A85" s="8"/>
      <c r="I85" s="2"/>
      <c r="J85" s="2"/>
      <c r="K85" s="2"/>
      <c r="L85" s="2"/>
      <c r="M85" s="2"/>
    </row>
    <row r="86" spans="1:13">
      <c r="A86"/>
      <c r="I86" s="2"/>
      <c r="J86" s="2"/>
      <c r="K86" s="2"/>
      <c r="L86" s="2"/>
      <c r="M86" s="2"/>
    </row>
    <row r="87" spans="1:13">
      <c r="A87"/>
      <c r="I87" s="2"/>
      <c r="J87" s="2"/>
      <c r="K87" s="2"/>
      <c r="L87" s="2"/>
      <c r="M87" s="2"/>
    </row>
    <row r="88" spans="1:13">
      <c r="A88"/>
      <c r="I88" s="2"/>
      <c r="J88" s="2"/>
      <c r="K88" s="2"/>
      <c r="L88" s="2"/>
      <c r="M88" s="2"/>
    </row>
    <row r="89" spans="1:13">
      <c r="A89"/>
      <c r="I89" s="2"/>
      <c r="J89" s="2"/>
      <c r="K89" s="2"/>
      <c r="L89" s="2"/>
      <c r="M89" s="2"/>
    </row>
    <row r="90" spans="1:13">
      <c r="A90" s="9"/>
      <c r="I90" s="2"/>
      <c r="J90" s="2"/>
      <c r="K90" s="2"/>
      <c r="L90" s="2"/>
      <c r="M90" s="2"/>
    </row>
    <row r="91" spans="1:13">
      <c r="A91"/>
      <c r="I91" s="2"/>
      <c r="J91" s="2"/>
      <c r="K91" s="2"/>
      <c r="L91" s="2"/>
      <c r="M91" s="2"/>
    </row>
    <row r="92" spans="1:13" ht="19.5">
      <c r="A92" s="8"/>
      <c r="I92" s="2"/>
      <c r="J92" s="2"/>
      <c r="K92" s="2"/>
      <c r="L92" s="2"/>
      <c r="M92" s="2"/>
    </row>
    <row r="93" spans="1:13">
      <c r="A93"/>
      <c r="I93" s="2"/>
      <c r="J93" s="2"/>
      <c r="K93" s="2"/>
      <c r="L93" s="2"/>
      <c r="M93" s="2"/>
    </row>
    <row r="94" spans="1:13">
      <c r="A94"/>
      <c r="I94" s="2"/>
      <c r="J94" s="2"/>
      <c r="K94" s="2"/>
      <c r="L94" s="2"/>
      <c r="M94" s="2"/>
    </row>
    <row r="95" spans="1:13">
      <c r="A95"/>
      <c r="I95" s="2"/>
      <c r="J95" s="2"/>
      <c r="K95" s="2"/>
      <c r="L95" s="2"/>
      <c r="M95" s="2"/>
    </row>
    <row r="96" spans="1:13">
      <c r="A96" s="9"/>
      <c r="I96" s="2"/>
      <c r="J96" s="2"/>
      <c r="K96" s="2"/>
      <c r="L96" s="2"/>
      <c r="M96" s="2"/>
    </row>
    <row r="97" spans="1:14">
      <c r="A97"/>
      <c r="I97" s="2"/>
      <c r="J97" s="2"/>
      <c r="K97" s="2"/>
      <c r="L97" s="2"/>
      <c r="M97" s="2"/>
    </row>
    <row r="98" spans="1:14">
      <c r="A98"/>
      <c r="I98" s="2"/>
      <c r="J98" s="2"/>
      <c r="K98" s="2"/>
      <c r="L98" s="2"/>
      <c r="M98" s="2"/>
    </row>
    <row r="99" spans="1:14">
      <c r="A99"/>
      <c r="I99" s="2"/>
      <c r="J99" s="2"/>
      <c r="K99" s="2"/>
      <c r="L99" s="2"/>
      <c r="M99" s="2"/>
    </row>
    <row r="100" spans="1:14">
      <c r="A100" s="9"/>
      <c r="I100" s="2"/>
      <c r="J100" s="2"/>
      <c r="K100" s="2"/>
      <c r="L100" s="2"/>
      <c r="M100" s="2"/>
      <c r="N100" s="2"/>
    </row>
    <row r="101" spans="1:14">
      <c r="A101"/>
    </row>
    <row r="102" spans="1:14" ht="19.5">
      <c r="A102" s="8"/>
    </row>
    <row r="103" spans="1:14">
      <c r="A103"/>
    </row>
    <row r="104" spans="1:14">
      <c r="A104"/>
    </row>
    <row r="105" spans="1:14">
      <c r="A105"/>
    </row>
    <row r="106" spans="1:14">
      <c r="A106" s="9"/>
    </row>
    <row r="107" spans="1:14">
      <c r="A107"/>
    </row>
    <row r="108" spans="1:14">
      <c r="A108"/>
    </row>
    <row r="109" spans="1:14">
      <c r="A109"/>
    </row>
    <row r="110" spans="1:14">
      <c r="A110" s="9"/>
    </row>
    <row r="111" spans="1:14">
      <c r="A111"/>
    </row>
    <row r="112" spans="1:14" ht="19.5">
      <c r="A112" s="8"/>
    </row>
    <row r="113" spans="1:1">
      <c r="A113"/>
    </row>
    <row r="114" spans="1:1">
      <c r="A114"/>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D7562-614A-644F-A93E-FF4D705507CE}">
  <sheetPr codeName="Sheet3" filterMode="1">
    <pageSetUpPr fitToPage="1"/>
  </sheetPr>
  <dimension ref="A1:K1584"/>
  <sheetViews>
    <sheetView tabSelected="1" workbookViewId="0">
      <pane xSplit="4" ySplit="4" topLeftCell="E5" activePane="bottomRight" state="frozenSplit"/>
      <selection pane="topRight" activeCell="U33" sqref="U33"/>
      <selection pane="bottomLeft" activeCell="A222" sqref="A222:H222"/>
      <selection pane="bottomRight" activeCell="D1588" sqref="D1588"/>
    </sheetView>
  </sheetViews>
  <sheetFormatPr defaultColWidth="10.875" defaultRowHeight="15.75" outlineLevelRow="1"/>
  <cols>
    <col min="1" max="1" width="14.625" style="149" bestFit="1" customWidth="1"/>
    <col min="2" max="2" width="9" style="149" bestFit="1" customWidth="1"/>
    <col min="3" max="3" width="12.625" style="180" bestFit="1" customWidth="1"/>
    <col min="4" max="4" width="31" style="149" customWidth="1"/>
    <col min="5" max="5" width="34.875" style="149" customWidth="1"/>
    <col min="6" max="6" width="31.625" style="149" customWidth="1"/>
    <col min="7" max="7" width="28" style="149" customWidth="1"/>
    <col min="8" max="8" width="11.125" style="149" customWidth="1"/>
    <col min="9" max="9" width="13.125" style="149" customWidth="1"/>
    <col min="10" max="10" width="9.875" style="178" customWidth="1"/>
    <col min="11" max="11" width="14.375" style="178" customWidth="1"/>
    <col min="12" max="16384" width="10.875" style="4"/>
  </cols>
  <sheetData>
    <row r="1" spans="1:11" s="55" customFormat="1">
      <c r="A1" s="164" t="s">
        <v>29</v>
      </c>
      <c r="B1" s="164" t="s">
        <v>41</v>
      </c>
      <c r="C1" s="179" t="s">
        <v>0</v>
      </c>
      <c r="D1" s="164" t="s">
        <v>1</v>
      </c>
      <c r="E1" s="164" t="s">
        <v>268</v>
      </c>
      <c r="F1" s="164" t="s">
        <v>6</v>
      </c>
      <c r="G1" s="164" t="s">
        <v>7</v>
      </c>
      <c r="H1" s="164" t="s">
        <v>5</v>
      </c>
      <c r="I1" s="164" t="s">
        <v>221</v>
      </c>
      <c r="J1" s="164" t="s">
        <v>293</v>
      </c>
      <c r="K1" s="164" t="s">
        <v>969</v>
      </c>
    </row>
    <row r="2" spans="1:11" hidden="1">
      <c r="A2" s="211" t="s">
        <v>263</v>
      </c>
      <c r="B2" s="212" t="str">
        <f>VLOOKUP(MONTH(C2),'Lookup Tables'!$A$3:$B$14,2,FALSE)</f>
        <v>Jan</v>
      </c>
      <c r="C2" s="213">
        <v>43831</v>
      </c>
      <c r="D2" s="211" t="s">
        <v>33</v>
      </c>
      <c r="E2" s="211" t="str">
        <f t="shared" ref="E2:E65" si="0">B2&amp;" "&amp;F2</f>
        <v>Jan Merchandise Medical Care</v>
      </c>
      <c r="F2" s="211" t="s">
        <v>265</v>
      </c>
      <c r="G2" s="211" t="str">
        <f>IFERROR(VLOOKUP(F2,'2020 Budget'!$A$4:$B$462,2,FALSE),"N/F")</f>
        <v>04. Family Expenses</v>
      </c>
      <c r="H2" s="211">
        <v>-13.86</v>
      </c>
      <c r="I2" s="214">
        <v>-6599.8800000000028</v>
      </c>
      <c r="J2" s="215"/>
      <c r="K2" s="208">
        <f>SUMIF($J$2:J3,"P",$H$2:H3)</f>
        <v>0</v>
      </c>
    </row>
    <row r="3" spans="1:11" hidden="1">
      <c r="A3" s="211" t="s">
        <v>263</v>
      </c>
      <c r="B3" s="212" t="str">
        <f>VLOOKUP(MONTH(C3),'Lookup Tables'!$A$3:$B$14,2,FALSE)</f>
        <v>Jan</v>
      </c>
      <c r="C3" s="213">
        <v>43831</v>
      </c>
      <c r="D3" s="211" t="s">
        <v>3</v>
      </c>
      <c r="E3" s="211" t="str">
        <f t="shared" si="0"/>
        <v>Jan Phil Online Game Purchases</v>
      </c>
      <c r="F3" s="211" t="s">
        <v>318</v>
      </c>
      <c r="G3" s="211" t="str">
        <f>IFERROR(VLOOKUP(F3,'2020 Budget'!$A$4:$B$462,2,FALSE),"N/F")</f>
        <v>11. Phil Work Ethic</v>
      </c>
      <c r="H3" s="211">
        <v>-9.99</v>
      </c>
      <c r="I3" s="214">
        <v>-6609.8700000000026</v>
      </c>
      <c r="J3" s="216"/>
      <c r="K3" s="208">
        <f>SUMIF($J$3:J3,"P",$H$3:H3)</f>
        <v>0</v>
      </c>
    </row>
    <row r="4" spans="1:11" hidden="1">
      <c r="A4" s="211" t="s">
        <v>263</v>
      </c>
      <c r="B4" s="212" t="str">
        <f>VLOOKUP(MONTH(C4),'Lookup Tables'!$A$3:$B$14,2,FALSE)</f>
        <v>Jan</v>
      </c>
      <c r="C4" s="213">
        <v>43832</v>
      </c>
      <c r="D4" s="211" t="s">
        <v>881</v>
      </c>
      <c r="E4" s="211" t="str">
        <f t="shared" si="0"/>
        <v>Jan Merchandise Computer</v>
      </c>
      <c r="F4" s="211" t="s">
        <v>35</v>
      </c>
      <c r="G4" s="211" t="str">
        <f>IFERROR(VLOOKUP(F4,'2020 Budget'!$A$4:$B$462,2,FALSE),"N/F")</f>
        <v>09. Internet TV Entertainment Electronics</v>
      </c>
      <c r="H4" s="211">
        <v>-144.13999999999999</v>
      </c>
      <c r="I4" s="214">
        <v>-6754.0100000000029</v>
      </c>
      <c r="J4" s="211"/>
      <c r="K4" s="208">
        <f>SUMIF($J$3:J4,"P",$H$3:H4)</f>
        <v>0</v>
      </c>
    </row>
    <row r="5" spans="1:11" hidden="1">
      <c r="A5" s="211" t="s">
        <v>263</v>
      </c>
      <c r="B5" s="212" t="str">
        <f>VLOOKUP(MONTH(C5),'Lookup Tables'!$A$3:$B$14,2,FALSE)</f>
        <v>Jan</v>
      </c>
      <c r="C5" s="213">
        <v>43832</v>
      </c>
      <c r="D5" s="211" t="s">
        <v>34</v>
      </c>
      <c r="E5" s="211" t="str">
        <f t="shared" si="0"/>
        <v>Jan Dining Fast Food</v>
      </c>
      <c r="F5" s="217" t="s">
        <v>85</v>
      </c>
      <c r="G5" s="211" t="str">
        <f>IFERROR(VLOOKUP(F5,'2020 Budget'!$A$4:$B$462,2,FALSE),"N/F")</f>
        <v>04. Family Expenses</v>
      </c>
      <c r="H5" s="211">
        <v>-9.85</v>
      </c>
      <c r="I5" s="214">
        <v>-6763.8600000000033</v>
      </c>
      <c r="J5" s="215"/>
      <c r="K5" s="208">
        <f>SUMIF($J$3:J5,"P",$H$3:H5)</f>
        <v>0</v>
      </c>
    </row>
    <row r="6" spans="1:11" hidden="1">
      <c r="A6" s="211" t="s">
        <v>263</v>
      </c>
      <c r="B6" s="212" t="str">
        <f>VLOOKUP(MONTH(C6),'Lookup Tables'!$A$3:$B$14,2,FALSE)</f>
        <v>Jan</v>
      </c>
      <c r="C6" s="213">
        <v>43832</v>
      </c>
      <c r="D6" s="211" t="s">
        <v>79</v>
      </c>
      <c r="E6" s="211" t="str">
        <f t="shared" si="0"/>
        <v>Jan Clothing</v>
      </c>
      <c r="F6" s="211" t="s">
        <v>17</v>
      </c>
      <c r="G6" s="211" t="str">
        <f>IFERROR(VLOOKUP(F6,'2020 Budget'!$A$4:$B$462,2,FALSE),"N/F")</f>
        <v>04. Family Expenses</v>
      </c>
      <c r="H6" s="211">
        <v>-61.48</v>
      </c>
      <c r="I6" s="214">
        <v>-6825.3400000000029</v>
      </c>
      <c r="J6" s="215"/>
      <c r="K6" s="208">
        <f>SUMIF($J$3:J6,"P",$H$3:H6)</f>
        <v>0</v>
      </c>
    </row>
    <row r="7" spans="1:11" hidden="1">
      <c r="A7" s="211" t="s">
        <v>263</v>
      </c>
      <c r="B7" s="212" t="str">
        <f>VLOOKUP(MONTH(C7),'Lookup Tables'!$A$3:$B$14,2,FALSE)</f>
        <v>Jan</v>
      </c>
      <c r="C7" s="213">
        <v>43833</v>
      </c>
      <c r="D7" s="211" t="s">
        <v>269</v>
      </c>
      <c r="E7" s="211" t="str">
        <f t="shared" si="0"/>
        <v>Jan Dog Food</v>
      </c>
      <c r="F7" s="217" t="s">
        <v>130</v>
      </c>
      <c r="G7" s="211" t="str">
        <f>IFERROR(VLOOKUP(F7,'2020 Budget'!$A$4:$B$462,2,FALSE),"N/F")</f>
        <v>08. Dogs Expenses</v>
      </c>
      <c r="H7" s="211">
        <f>-29.68*0.666666666666667</f>
        <v>-19.786666666666676</v>
      </c>
      <c r="I7" s="214">
        <v>-6845.1266666666697</v>
      </c>
      <c r="J7" s="215"/>
      <c r="K7" s="208">
        <f>SUMIF($J$3:J7,"P",$H$3:H7)</f>
        <v>0</v>
      </c>
    </row>
    <row r="8" spans="1:11" hidden="1">
      <c r="A8" s="211" t="s">
        <v>263</v>
      </c>
      <c r="B8" s="212" t="str">
        <f>VLOOKUP(MONTH(C8),'Lookup Tables'!$A$3:$B$14,2,FALSE)</f>
        <v>Jan</v>
      </c>
      <c r="C8" s="213">
        <v>43833</v>
      </c>
      <c r="D8" s="211" t="s">
        <v>269</v>
      </c>
      <c r="E8" s="211" t="str">
        <f t="shared" si="0"/>
        <v>Jan Mom Dog Food</v>
      </c>
      <c r="F8" s="218" t="s">
        <v>129</v>
      </c>
      <c r="G8" s="211" t="str">
        <f>IFERROR(VLOOKUP(F8,'2020 Budget'!$A$4:$B$462,2,FALSE),"N/F")</f>
        <v>10. Mom Expenses</v>
      </c>
      <c r="H8" s="211">
        <f>-29.68/3</f>
        <v>-9.8933333333333326</v>
      </c>
      <c r="I8" s="214">
        <v>-6855.0200000000032</v>
      </c>
      <c r="J8" s="212"/>
      <c r="K8" s="208">
        <f>SUMIF($J$3:J8,"P",$H$3:H8)</f>
        <v>0</v>
      </c>
    </row>
    <row r="9" spans="1:11" hidden="1">
      <c r="A9" s="211" t="s">
        <v>263</v>
      </c>
      <c r="B9" s="212" t="str">
        <f>VLOOKUP(MONTH(C9),'Lookup Tables'!$A$3:$B$14,2,FALSE)</f>
        <v>Jan</v>
      </c>
      <c r="C9" s="213">
        <v>43833</v>
      </c>
      <c r="D9" s="211" t="s">
        <v>270</v>
      </c>
      <c r="E9" s="211" t="str">
        <f t="shared" si="0"/>
        <v>Jan Dog Food</v>
      </c>
      <c r="F9" s="217" t="s">
        <v>130</v>
      </c>
      <c r="G9" s="211" t="str">
        <f>IFERROR(VLOOKUP(F9,'2020 Budget'!$A$4:$B$462,2,FALSE),"N/F")</f>
        <v>08. Dogs Expenses</v>
      </c>
      <c r="H9" s="211">
        <f>-29.68*0.666666666666667</f>
        <v>-19.786666666666676</v>
      </c>
      <c r="I9" s="214">
        <v>-6874.80666666667</v>
      </c>
      <c r="J9" s="211"/>
      <c r="K9" s="208">
        <f>SUMIF($J$3:J9,"P",$H$3:H9)</f>
        <v>0</v>
      </c>
    </row>
    <row r="10" spans="1:11" hidden="1">
      <c r="A10" s="211" t="s">
        <v>263</v>
      </c>
      <c r="B10" s="212" t="str">
        <f>VLOOKUP(MONTH(C10),'Lookup Tables'!$A$3:$B$14,2,FALSE)</f>
        <v>Jan</v>
      </c>
      <c r="C10" s="213">
        <v>43833</v>
      </c>
      <c r="D10" s="211" t="s">
        <v>270</v>
      </c>
      <c r="E10" s="211" t="str">
        <f t="shared" si="0"/>
        <v>Jan Mom Dog Food</v>
      </c>
      <c r="F10" s="218" t="s">
        <v>129</v>
      </c>
      <c r="G10" s="211" t="str">
        <f>IFERROR(VLOOKUP(F10,'2020 Budget'!$A$4:$B$462,2,FALSE),"N/F")</f>
        <v>10. Mom Expenses</v>
      </c>
      <c r="H10" s="211">
        <f>-29.68/3</f>
        <v>-9.8933333333333326</v>
      </c>
      <c r="I10" s="214">
        <v>-6884.7000000000035</v>
      </c>
      <c r="J10" s="211"/>
      <c r="K10" s="208">
        <f>SUMIF($J$3:J10,"P",$H$3:H10)</f>
        <v>0</v>
      </c>
    </row>
    <row r="11" spans="1:11" hidden="1">
      <c r="A11" s="211" t="s">
        <v>263</v>
      </c>
      <c r="B11" s="211" t="str">
        <f>VLOOKUP(MONTH(C11),'Lookup Tables'!$A$3:$B$14,2,FALSE)</f>
        <v>Jan</v>
      </c>
      <c r="C11" s="213">
        <v>43833</v>
      </c>
      <c r="D11" s="211" t="s">
        <v>342</v>
      </c>
      <c r="E11" s="211" t="str">
        <f t="shared" si="0"/>
        <v>Jan Merchandise Computer</v>
      </c>
      <c r="F11" s="217" t="s">
        <v>35</v>
      </c>
      <c r="G11" s="211" t="str">
        <f>IFERROR(VLOOKUP(F11,'2020 Budget'!$A$4:$B$462,2,FALSE),"N/F")</f>
        <v>09. Internet TV Entertainment Electronics</v>
      </c>
      <c r="H11" s="211">
        <v>-7</v>
      </c>
      <c r="I11" s="214">
        <v>-6891.7000000000035</v>
      </c>
      <c r="J11" s="211"/>
      <c r="K11" s="208">
        <f>SUMIF($J$3:J11,"P",$H$3:H11)</f>
        <v>0</v>
      </c>
    </row>
    <row r="12" spans="1:11" hidden="1">
      <c r="A12" s="211" t="s">
        <v>263</v>
      </c>
      <c r="B12" s="212" t="str">
        <f>VLOOKUP(MONTH(C12),'Lookup Tables'!$A$3:$B$14,2,FALSE)</f>
        <v>Jan</v>
      </c>
      <c r="C12" s="213">
        <v>43833</v>
      </c>
      <c r="D12" s="211" t="s">
        <v>262</v>
      </c>
      <c r="E12" s="211" t="str">
        <f t="shared" si="0"/>
        <v>Jan CPBA Service Computer</v>
      </c>
      <c r="F12" s="218" t="s">
        <v>528</v>
      </c>
      <c r="G12" s="211" t="str">
        <f>IFERROR(VLOOKUP(F12,'2020 Budget'!$A$4:$B$462,2,FALSE),"N/F")</f>
        <v>03. CP Business Analysis Expenses</v>
      </c>
      <c r="H12" s="211">
        <v>-7</v>
      </c>
      <c r="I12" s="214">
        <v>-6898.7000000000035</v>
      </c>
      <c r="J12" s="211"/>
      <c r="K12" s="208">
        <f>SUMIF($J$3:J12,"P",$H$3:H12)</f>
        <v>0</v>
      </c>
    </row>
    <row r="13" spans="1:11" hidden="1">
      <c r="A13" s="211" t="s">
        <v>263</v>
      </c>
      <c r="B13" s="212" t="str">
        <f>VLOOKUP(MONTH(C13),'Lookup Tables'!$A$3:$B$14,2,FALSE)</f>
        <v>Jan</v>
      </c>
      <c r="C13" s="213">
        <v>43833</v>
      </c>
      <c r="D13" s="211" t="s">
        <v>4</v>
      </c>
      <c r="E13" s="211" t="str">
        <f t="shared" si="0"/>
        <v>Jan Dining Restaurant</v>
      </c>
      <c r="F13" s="217" t="s">
        <v>145</v>
      </c>
      <c r="G13" s="211" t="str">
        <f>IFERROR(VLOOKUP(F13,'2020 Budget'!$A$4:$B$462,2,FALSE),"N/F")</f>
        <v>04. Family Expenses</v>
      </c>
      <c r="H13" s="211">
        <v>-21.19</v>
      </c>
      <c r="I13" s="214">
        <v>-6919.8900000000031</v>
      </c>
      <c r="J13" s="212"/>
      <c r="K13" s="208">
        <f>SUMIF($J$3:J13,"P",$H$3:H13)</f>
        <v>0</v>
      </c>
    </row>
    <row r="14" spans="1:11" hidden="1">
      <c r="A14" s="211" t="s">
        <v>263</v>
      </c>
      <c r="B14" s="212" t="str">
        <f>VLOOKUP(MONTH(C14),'Lookup Tables'!$A$3:$B$14,2,FALSE)</f>
        <v>Jan</v>
      </c>
      <c r="C14" s="213">
        <v>43833</v>
      </c>
      <c r="D14" s="211" t="s">
        <v>2</v>
      </c>
      <c r="E14" s="211" t="str">
        <f t="shared" si="0"/>
        <v>Jan Payment OTHER</v>
      </c>
      <c r="F14" s="217" t="s">
        <v>367</v>
      </c>
      <c r="G14" s="211" t="str">
        <f>IFERROR(VLOOKUP(F14,'2020 Budget'!$A$4:$B$462,2,FALSE),"N/F")</f>
        <v>16. Not Tracked</v>
      </c>
      <c r="H14" s="211">
        <v>40</v>
      </c>
      <c r="I14" s="214">
        <v>-6879.8900000000031</v>
      </c>
      <c r="J14" s="219"/>
      <c r="K14" s="208">
        <f>SUMIF($J$3:J14,"P",$H$3:H14)</f>
        <v>0</v>
      </c>
    </row>
    <row r="15" spans="1:11" hidden="1">
      <c r="A15" s="211" t="s">
        <v>263</v>
      </c>
      <c r="B15" s="212" t="str">
        <f>VLOOKUP(MONTH(C15),'Lookup Tables'!$A$3:$B$14,2,FALSE)</f>
        <v>Jan</v>
      </c>
      <c r="C15" s="213">
        <v>43835</v>
      </c>
      <c r="D15" s="211" t="s">
        <v>266</v>
      </c>
      <c r="E15" s="211" t="str">
        <f t="shared" si="0"/>
        <v>Jan Dining Fast Food</v>
      </c>
      <c r="F15" s="217" t="s">
        <v>85</v>
      </c>
      <c r="G15" s="211" t="str">
        <f>IFERROR(VLOOKUP(F15,'2020 Budget'!$A$4:$B$462,2,FALSE),"N/F")</f>
        <v>04. Family Expenses</v>
      </c>
      <c r="H15" s="211">
        <v>-6.97</v>
      </c>
      <c r="I15" s="214">
        <v>-6886.8600000000033</v>
      </c>
      <c r="J15" s="211"/>
      <c r="K15" s="208">
        <f>SUMIF($J$3:J15,"P",$H$3:H15)</f>
        <v>0</v>
      </c>
    </row>
    <row r="16" spans="1:11" hidden="1">
      <c r="A16" s="211" t="s">
        <v>263</v>
      </c>
      <c r="B16" s="212" t="str">
        <f>VLOOKUP(MONTH(C16),'Lookup Tables'!$A$3:$B$14,2,FALSE)</f>
        <v>Jan</v>
      </c>
      <c r="C16" s="213">
        <v>43836</v>
      </c>
      <c r="D16" s="211" t="s">
        <v>267</v>
      </c>
      <c r="E16" s="211" t="str">
        <f t="shared" si="0"/>
        <v>Jan Dining Fast Food</v>
      </c>
      <c r="F16" s="217" t="s">
        <v>85</v>
      </c>
      <c r="G16" s="211" t="str">
        <f>IFERROR(VLOOKUP(F16,'2020 Budget'!$A$4:$B$462,2,FALSE),"N/F")</f>
        <v>04. Family Expenses</v>
      </c>
      <c r="H16" s="211">
        <v>-5.3</v>
      </c>
      <c r="I16" s="214">
        <v>-6892.1600000000035</v>
      </c>
      <c r="J16" s="211"/>
      <c r="K16" s="208">
        <f>SUMIF($J$3:J16,"P",$H$3:H16)</f>
        <v>0</v>
      </c>
    </row>
    <row r="17" spans="1:11" hidden="1">
      <c r="A17" s="211" t="s">
        <v>263</v>
      </c>
      <c r="B17" s="211" t="str">
        <f>VLOOKUP(MONTH(C17),'Lookup Tables'!$A$3:$B$14,2,FALSE)</f>
        <v>Jan</v>
      </c>
      <c r="C17" s="213">
        <v>43837</v>
      </c>
      <c r="D17" s="211" t="s">
        <v>315</v>
      </c>
      <c r="E17" s="211" t="str">
        <f t="shared" si="0"/>
        <v>Jan Dining Drinks</v>
      </c>
      <c r="F17" s="217" t="s">
        <v>89</v>
      </c>
      <c r="G17" s="211" t="str">
        <f>IFERROR(VLOOKUP(F17,'2020 Budget'!$A$4:$B$462,2,FALSE),"N/F")</f>
        <v>04. Family Expenses</v>
      </c>
      <c r="H17" s="211">
        <v>-7.5</v>
      </c>
      <c r="I17" s="214">
        <v>-6899.6600000000035</v>
      </c>
      <c r="J17" s="212"/>
      <c r="K17" s="208">
        <f>SUMIF($J$3:J17,"P",$H$3:H17)</f>
        <v>0</v>
      </c>
    </row>
    <row r="18" spans="1:11" hidden="1">
      <c r="A18" s="211" t="s">
        <v>263</v>
      </c>
      <c r="B18" s="212" t="str">
        <f>VLOOKUP(MONTH(C18),'Lookup Tables'!$A$3:$B$14,2,FALSE)</f>
        <v>Jan</v>
      </c>
      <c r="C18" s="213">
        <v>43837</v>
      </c>
      <c r="D18" s="211" t="s">
        <v>312</v>
      </c>
      <c r="E18" s="211" t="str">
        <f t="shared" si="0"/>
        <v>Jan Groceries</v>
      </c>
      <c r="F18" s="218" t="s">
        <v>11</v>
      </c>
      <c r="G18" s="211" t="str">
        <f>IFERROR(VLOOKUP(F18,'2020 Budget'!$A$4:$B$462,2,FALSE),"N/F")</f>
        <v>04. Family Expenses</v>
      </c>
      <c r="H18" s="211">
        <v>-6.98</v>
      </c>
      <c r="I18" s="214">
        <v>-6906.6400000000031</v>
      </c>
      <c r="J18" s="215"/>
      <c r="K18" s="208">
        <f>SUMIF($J$3:J18,"P",$H$3:H18)</f>
        <v>0</v>
      </c>
    </row>
    <row r="19" spans="1:11" hidden="1">
      <c r="A19" s="211" t="s">
        <v>263</v>
      </c>
      <c r="B19" s="212" t="str">
        <f>VLOOKUP(MONTH(C19),'Lookup Tables'!$A$3:$B$14,2,FALSE)</f>
        <v>Jan</v>
      </c>
      <c r="C19" s="213">
        <v>43837</v>
      </c>
      <c r="D19" s="211" t="s">
        <v>267</v>
      </c>
      <c r="E19" s="211" t="str">
        <f t="shared" si="0"/>
        <v>Jan Dining Fast Food</v>
      </c>
      <c r="F19" s="217" t="s">
        <v>85</v>
      </c>
      <c r="G19" s="211" t="str">
        <f>IFERROR(VLOOKUP(F19,'2020 Budget'!$A$4:$B$462,2,FALSE),"N/F")</f>
        <v>04. Family Expenses</v>
      </c>
      <c r="H19" s="211">
        <v>-11.66</v>
      </c>
      <c r="I19" s="214">
        <v>-6918.3000000000029</v>
      </c>
      <c r="J19" s="212"/>
      <c r="K19" s="208">
        <f>SUMIF($J$3:J19,"P",$H$3:H19)</f>
        <v>0</v>
      </c>
    </row>
    <row r="20" spans="1:11" hidden="1">
      <c r="A20" s="211" t="s">
        <v>263</v>
      </c>
      <c r="B20" s="212" t="str">
        <f>VLOOKUP(MONTH(C20),'Lookup Tables'!$A$3:$B$14,2,FALSE)</f>
        <v>Jan</v>
      </c>
      <c r="C20" s="213">
        <v>43838</v>
      </c>
      <c r="D20" s="211" t="s">
        <v>313</v>
      </c>
      <c r="E20" s="211" t="str">
        <f t="shared" si="0"/>
        <v>Jan Dining Treats</v>
      </c>
      <c r="F20" s="217" t="s">
        <v>87</v>
      </c>
      <c r="G20" s="211" t="str">
        <f>IFERROR(VLOOKUP(F20,'2020 Budget'!$A$4:$B$462,2,FALSE),"N/F")</f>
        <v>04. Family Expenses</v>
      </c>
      <c r="H20" s="211">
        <v>-2.0699999999999998</v>
      </c>
      <c r="I20" s="214">
        <v>-6920.3700000000026</v>
      </c>
      <c r="J20" s="212"/>
      <c r="K20" s="208">
        <f>SUMIF($J$3:J20,"P",$H$3:H20)</f>
        <v>0</v>
      </c>
    </row>
    <row r="21" spans="1:11" hidden="1">
      <c r="A21" s="211" t="s">
        <v>263</v>
      </c>
      <c r="B21" s="212" t="str">
        <f>VLOOKUP(MONTH(C21),'Lookup Tables'!$A$3:$B$14,2,FALSE)</f>
        <v>Jan</v>
      </c>
      <c r="C21" s="213">
        <v>43838</v>
      </c>
      <c r="D21" s="211" t="s">
        <v>314</v>
      </c>
      <c r="E21" s="211" t="str">
        <f t="shared" si="0"/>
        <v>Jan Auto Care</v>
      </c>
      <c r="F21" s="217" t="s">
        <v>557</v>
      </c>
      <c r="G21" s="211" t="str">
        <f>IFERROR(VLOOKUP(F21,'2020 Budget'!$A$4:$B$462,2,FALSE),"N/F")</f>
        <v>05. Dodge Dart Auto Expenses</v>
      </c>
      <c r="H21" s="211">
        <v>-32</v>
      </c>
      <c r="I21" s="214">
        <v>-6952.3700000000026</v>
      </c>
      <c r="J21" s="212"/>
      <c r="K21" s="208">
        <f>SUMIF($J$3:J21,"P",$H$3:H21)</f>
        <v>0</v>
      </c>
    </row>
    <row r="22" spans="1:11" hidden="1">
      <c r="A22" s="211" t="s">
        <v>263</v>
      </c>
      <c r="B22" s="212" t="str">
        <f>VLOOKUP(MONTH(C22),'Lookup Tables'!$A$3:$B$14,2,FALSE)</f>
        <v>Jan</v>
      </c>
      <c r="C22" s="213">
        <v>43838</v>
      </c>
      <c r="D22" s="211" t="s">
        <v>2</v>
      </c>
      <c r="E22" s="211" t="str">
        <f t="shared" si="0"/>
        <v>Jan Payment OTHER</v>
      </c>
      <c r="F22" s="217" t="s">
        <v>367</v>
      </c>
      <c r="G22" s="211" t="str">
        <f>IFERROR(VLOOKUP(F22,'2020 Budget'!$A$4:$B$462,2,FALSE),"N/F")</f>
        <v>16. Not Tracked</v>
      </c>
      <c r="H22" s="211">
        <v>2531.31</v>
      </c>
      <c r="I22" s="214">
        <v>-4421.0600000000022</v>
      </c>
      <c r="J22" s="215"/>
      <c r="K22" s="208">
        <f>SUMIF($J$3:J22,"P",$H$3:H22)</f>
        <v>0</v>
      </c>
    </row>
    <row r="23" spans="1:11" hidden="1">
      <c r="A23" s="211" t="s">
        <v>263</v>
      </c>
      <c r="B23" s="212" t="str">
        <f>VLOOKUP(MONTH(C23),'Lookup Tables'!$A$3:$B$14,2,FALSE)</f>
        <v>Jan</v>
      </c>
      <c r="C23" s="213">
        <v>43839</v>
      </c>
      <c r="D23" s="211" t="s">
        <v>34</v>
      </c>
      <c r="E23" s="211" t="str">
        <f t="shared" si="0"/>
        <v>Jan Dining Fast Food</v>
      </c>
      <c r="F23" s="217" t="s">
        <v>85</v>
      </c>
      <c r="G23" s="211" t="str">
        <f>IFERROR(VLOOKUP(F23,'2020 Budget'!$A$4:$B$462,2,FALSE),"N/F")</f>
        <v>04. Family Expenses</v>
      </c>
      <c r="H23" s="211">
        <v>-12.71</v>
      </c>
      <c r="I23" s="214">
        <v>-4433.7700000000023</v>
      </c>
      <c r="J23" s="211"/>
      <c r="K23" s="208">
        <f>SUMIF($J$3:J23,"P",$H$3:H23)</f>
        <v>0</v>
      </c>
    </row>
    <row r="24" spans="1:11" hidden="1">
      <c r="A24" s="211" t="s">
        <v>263</v>
      </c>
      <c r="B24" s="212" t="str">
        <f>VLOOKUP(MONTH(C24),'Lookup Tables'!$A$3:$B$14,2,FALSE)</f>
        <v>Jan</v>
      </c>
      <c r="C24" s="213">
        <v>43839</v>
      </c>
      <c r="D24" s="211" t="s">
        <v>311</v>
      </c>
      <c r="E24" s="211" t="str">
        <f t="shared" si="0"/>
        <v>Jan CPBA Adv Education/Certifications</v>
      </c>
      <c r="F24" s="218" t="s">
        <v>657</v>
      </c>
      <c r="G24" s="211" t="str">
        <f>IFERROR(VLOOKUP(F24,'2020 Budget'!$A$4:$B$462,2,FALSE),"N/F")</f>
        <v>03. CP Business Analysis Expenses</v>
      </c>
      <c r="H24" s="211">
        <v>-49</v>
      </c>
      <c r="I24" s="214">
        <v>-4482.7700000000023</v>
      </c>
      <c r="J24" s="211"/>
      <c r="K24" s="208">
        <f>SUMIF($J$3:J24,"P",$H$3:H24)</f>
        <v>0</v>
      </c>
    </row>
    <row r="25" spans="1:11" hidden="1">
      <c r="A25" s="211" t="s">
        <v>263</v>
      </c>
      <c r="B25" s="212" t="str">
        <f>VLOOKUP(MONTH(C25),'Lookup Tables'!$A$3:$B$14,2,FALSE)</f>
        <v>Jan</v>
      </c>
      <c r="C25" s="213">
        <v>43839</v>
      </c>
      <c r="D25" s="211" t="s">
        <v>312</v>
      </c>
      <c r="E25" s="211" t="str">
        <f t="shared" si="0"/>
        <v>Jan Groceries</v>
      </c>
      <c r="F25" s="218" t="s">
        <v>11</v>
      </c>
      <c r="G25" s="211" t="str">
        <f>IFERROR(VLOOKUP(F25,'2020 Budget'!$A$4:$B$462,2,FALSE),"N/F")</f>
        <v>04. Family Expenses</v>
      </c>
      <c r="H25" s="211">
        <v>-21.16</v>
      </c>
      <c r="I25" s="214">
        <v>-4503.9300000000021</v>
      </c>
      <c r="J25" s="211"/>
      <c r="K25" s="208">
        <f>SUMIF($J$3:J25,"P",$H$3:H25)</f>
        <v>0</v>
      </c>
    </row>
    <row r="26" spans="1:11" hidden="1">
      <c r="A26" s="211" t="s">
        <v>263</v>
      </c>
      <c r="B26" s="212" t="str">
        <f>VLOOKUP(MONTH(C26),'Lookup Tables'!$A$3:$B$14,2,FALSE)</f>
        <v>Jan</v>
      </c>
      <c r="C26" s="213">
        <v>43840</v>
      </c>
      <c r="D26" s="211" t="s">
        <v>310</v>
      </c>
      <c r="E26" s="211" t="str">
        <f t="shared" si="0"/>
        <v>Jan auto care</v>
      </c>
      <c r="F26" s="211" t="s">
        <v>589</v>
      </c>
      <c r="G26" s="211" t="str">
        <f>IFERROR(VLOOKUP(F26,'2020 Budget'!$A$4:$B$462,2,FALSE),"N/F")</f>
        <v>05. Dodge Dart Auto Expenses</v>
      </c>
      <c r="H26" s="211">
        <v>-179.54</v>
      </c>
      <c r="I26" s="214">
        <v>-4683.4700000000021</v>
      </c>
      <c r="J26" s="212"/>
      <c r="K26" s="208">
        <f>SUMIF($J$3:J26,"P",$H$3:H26)</f>
        <v>0</v>
      </c>
    </row>
    <row r="27" spans="1:11" hidden="1">
      <c r="A27" s="211" t="s">
        <v>263</v>
      </c>
      <c r="B27" s="212" t="str">
        <f>VLOOKUP(MONTH(C27),'Lookup Tables'!$A$3:$B$14,2,FALSE)</f>
        <v>Jan</v>
      </c>
      <c r="C27" s="213">
        <v>43841</v>
      </c>
      <c r="D27" s="211" t="s">
        <v>308</v>
      </c>
      <c r="E27" s="211" t="str">
        <f t="shared" si="0"/>
        <v>Jan Merchandise Home</v>
      </c>
      <c r="F27" s="217" t="s">
        <v>19</v>
      </c>
      <c r="G27" s="211" t="str">
        <f>IFERROR(VLOOKUP(F27,'2020 Budget'!$A$4:$B$462,2,FALSE),"N/F")</f>
        <v>04. Household Expenses</v>
      </c>
      <c r="H27" s="211">
        <v>-13.76</v>
      </c>
      <c r="I27" s="214">
        <v>-4697.2300000000023</v>
      </c>
      <c r="J27" s="211"/>
      <c r="K27" s="208">
        <f>SUMIF($J$3:J27,"P",$H$3:H27)</f>
        <v>0</v>
      </c>
    </row>
    <row r="28" spans="1:11" hidden="1">
      <c r="A28" s="211" t="s">
        <v>263</v>
      </c>
      <c r="B28" s="212" t="str">
        <f>VLOOKUP(MONTH(C28),'Lookup Tables'!$A$3:$B$14,2,FALSE)</f>
        <v>Jan</v>
      </c>
      <c r="C28" s="213">
        <v>43842</v>
      </c>
      <c r="D28" s="211" t="s">
        <v>308</v>
      </c>
      <c r="E28" s="211" t="str">
        <f t="shared" si="0"/>
        <v>Jan Merchandise Home</v>
      </c>
      <c r="F28" s="217" t="s">
        <v>19</v>
      </c>
      <c r="G28" s="211" t="str">
        <f>IFERROR(VLOOKUP(F28,'2020 Budget'!$A$4:$B$462,2,FALSE),"N/F")</f>
        <v>04. Household Expenses</v>
      </c>
      <c r="H28" s="211">
        <v>-13.73</v>
      </c>
      <c r="I28" s="214">
        <v>-4710.9600000000019</v>
      </c>
      <c r="J28" s="212"/>
      <c r="K28" s="208">
        <f>SUMIF($J$3:J28,"P",$H$3:H28)</f>
        <v>0</v>
      </c>
    </row>
    <row r="29" spans="1:11" hidden="1">
      <c r="A29" s="211" t="s">
        <v>263</v>
      </c>
      <c r="B29" s="212" t="str">
        <f>VLOOKUP(MONTH(C29),'Lookup Tables'!$A$3:$B$14,2,FALSE)</f>
        <v>Jan</v>
      </c>
      <c r="C29" s="213">
        <v>43842</v>
      </c>
      <c r="D29" s="211" t="s">
        <v>309</v>
      </c>
      <c r="E29" s="211" t="str">
        <f t="shared" si="0"/>
        <v>Jan Dining Fast Food</v>
      </c>
      <c r="F29" s="217" t="s">
        <v>85</v>
      </c>
      <c r="G29" s="211" t="str">
        <f>IFERROR(VLOOKUP(F29,'2020 Budget'!$A$4:$B$462,2,FALSE),"N/F")</f>
        <v>04. Family Expenses</v>
      </c>
      <c r="H29" s="211">
        <v>-7.19</v>
      </c>
      <c r="I29" s="214">
        <v>-4718.1500000000015</v>
      </c>
      <c r="J29" s="211"/>
      <c r="K29" s="208">
        <f>SUMIF($J$3:J29,"P",$H$3:H29)</f>
        <v>0</v>
      </c>
    </row>
    <row r="30" spans="1:11" hidden="1">
      <c r="A30" s="211" t="s">
        <v>263</v>
      </c>
      <c r="B30" s="211" t="str">
        <f>VLOOKUP(MONTH(C30),'Lookup Tables'!$A$3:$B$14,2,FALSE)</f>
        <v>Jan</v>
      </c>
      <c r="C30" s="213">
        <v>43842</v>
      </c>
      <c r="D30" s="211" t="s">
        <v>524</v>
      </c>
      <c r="E30" s="211" t="str">
        <f t="shared" si="0"/>
        <v>Jan Dining Fast Food</v>
      </c>
      <c r="F30" s="217" t="s">
        <v>85</v>
      </c>
      <c r="G30" s="211" t="str">
        <f>IFERROR(VLOOKUP(F30,'2020 Budget'!$A$4:$B$462,2,FALSE),"N/F")</f>
        <v>04. Family Expenses</v>
      </c>
      <c r="H30" s="211">
        <v>-7.19</v>
      </c>
      <c r="I30" s="214">
        <v>-4725.3400000000011</v>
      </c>
      <c r="J30" s="215"/>
      <c r="K30" s="208">
        <f>SUMIF($J$3:J30,"P",$H$3:H30)</f>
        <v>0</v>
      </c>
    </row>
    <row r="31" spans="1:11" hidden="1">
      <c r="A31" s="211" t="s">
        <v>263</v>
      </c>
      <c r="B31" s="212" t="str">
        <f>VLOOKUP(MONTH(C31),'Lookup Tables'!$A$3:$B$14,2,FALSE)</f>
        <v>Jan</v>
      </c>
      <c r="C31" s="213">
        <v>43843</v>
      </c>
      <c r="D31" s="211" t="s">
        <v>305</v>
      </c>
      <c r="E31" s="211" t="str">
        <f t="shared" si="0"/>
        <v>Jan Auto Care</v>
      </c>
      <c r="F31" s="217" t="s">
        <v>557</v>
      </c>
      <c r="G31" s="211" t="str">
        <f>IFERROR(VLOOKUP(F31,'2020 Budget'!$A$4:$B$462,2,FALSE),"N/F")</f>
        <v>05. Dodge Dart Auto Expenses</v>
      </c>
      <c r="H31" s="211">
        <v>-14.83</v>
      </c>
      <c r="I31" s="214">
        <v>-4740.170000000001</v>
      </c>
      <c r="J31" s="212"/>
      <c r="K31" s="208">
        <f>SUMIF($J$3:J31,"P",$H$3:H31)</f>
        <v>0</v>
      </c>
    </row>
    <row r="32" spans="1:11" hidden="1">
      <c r="A32" s="211" t="s">
        <v>263</v>
      </c>
      <c r="B32" s="212" t="str">
        <f>VLOOKUP(MONTH(C32),'Lookup Tables'!$A$3:$B$14,2,FALSE)</f>
        <v>Jan</v>
      </c>
      <c r="C32" s="213">
        <v>43843</v>
      </c>
      <c r="D32" s="211" t="s">
        <v>306</v>
      </c>
      <c r="E32" s="211" t="str">
        <f t="shared" si="0"/>
        <v>Jan Dining Fast Food</v>
      </c>
      <c r="F32" s="217" t="s">
        <v>85</v>
      </c>
      <c r="G32" s="211" t="str">
        <f>IFERROR(VLOOKUP(F32,'2020 Budget'!$A$4:$B$462,2,FALSE),"N/F")</f>
        <v>04. Family Expenses</v>
      </c>
      <c r="H32" s="211">
        <v>-8.4700000000000006</v>
      </c>
      <c r="I32" s="214">
        <v>-4748.6400000000012</v>
      </c>
      <c r="J32" s="216"/>
      <c r="K32" s="208">
        <f>SUMIF($J$3:J32,"P",$H$3:H32)</f>
        <v>0</v>
      </c>
    </row>
    <row r="33" spans="1:11" hidden="1">
      <c r="A33" s="211" t="s">
        <v>263</v>
      </c>
      <c r="B33" s="212" t="str">
        <f>VLOOKUP(MONTH(C33),'Lookup Tables'!$A$3:$B$14,2,FALSE)</f>
        <v>Jan</v>
      </c>
      <c r="C33" s="213">
        <v>43843</v>
      </c>
      <c r="D33" s="211" t="s">
        <v>4</v>
      </c>
      <c r="E33" s="211" t="str">
        <f t="shared" si="0"/>
        <v>Jan Dining Restaurant</v>
      </c>
      <c r="F33" s="217" t="s">
        <v>145</v>
      </c>
      <c r="G33" s="211" t="str">
        <f>IFERROR(VLOOKUP(F33,'2020 Budget'!$A$4:$B$462,2,FALSE),"N/F")</f>
        <v>04. Family Expenses</v>
      </c>
      <c r="H33" s="211">
        <v>-11.12</v>
      </c>
      <c r="I33" s="214">
        <v>-4759.7600000000011</v>
      </c>
      <c r="J33" s="211"/>
      <c r="K33" s="208">
        <f>SUMIF($J$3:J33,"P",$H$3:H33)</f>
        <v>0</v>
      </c>
    </row>
    <row r="34" spans="1:11" hidden="1">
      <c r="A34" s="211" t="s">
        <v>263</v>
      </c>
      <c r="B34" s="212" t="str">
        <f>VLOOKUP(MONTH(C34),'Lookup Tables'!$A$3:$B$14,2,FALSE)</f>
        <v>Jan</v>
      </c>
      <c r="C34" s="213">
        <v>43843</v>
      </c>
      <c r="D34" s="211" t="s">
        <v>307</v>
      </c>
      <c r="E34" s="211" t="str">
        <f t="shared" si="0"/>
        <v>Jan Dining Treats</v>
      </c>
      <c r="F34" s="211" t="s">
        <v>87</v>
      </c>
      <c r="G34" s="211" t="str">
        <f>IFERROR(VLOOKUP(F34,'2020 Budget'!$A$4:$B$462,2,FALSE),"N/F")</f>
        <v>04. Family Expenses</v>
      </c>
      <c r="H34" s="211">
        <v>-2.79</v>
      </c>
      <c r="I34" s="214">
        <v>-4762.5500000000011</v>
      </c>
      <c r="J34" s="211"/>
      <c r="K34" s="208">
        <f>SUMIF($J$3:J34,"P",$H$3:H34)</f>
        <v>0</v>
      </c>
    </row>
    <row r="35" spans="1:11" hidden="1">
      <c r="A35" s="211" t="s">
        <v>263</v>
      </c>
      <c r="B35" s="212" t="str">
        <f>VLOOKUP(MONTH(C35),'Lookup Tables'!$A$3:$B$14,2,FALSE)</f>
        <v>Jan</v>
      </c>
      <c r="C35" s="213">
        <v>43844</v>
      </c>
      <c r="D35" s="211" t="s">
        <v>302</v>
      </c>
      <c r="E35" s="211" t="str">
        <f t="shared" si="0"/>
        <v>Jan Service Computer</v>
      </c>
      <c r="F35" s="218" t="s">
        <v>88</v>
      </c>
      <c r="G35" s="211" t="str">
        <f>IFERROR(VLOOKUP(F35,'2020 Budget'!$A$4:$B$462,2,FALSE),"N/F")</f>
        <v>09. Internet TV Entertainment Electronics</v>
      </c>
      <c r="H35" s="211">
        <v>-0.99</v>
      </c>
      <c r="I35" s="214">
        <v>-4763.5400000000009</v>
      </c>
      <c r="J35" s="211"/>
      <c r="K35" s="208">
        <f>SUMIF($J$3:J35,"P",$H$3:H35)</f>
        <v>0</v>
      </c>
    </row>
    <row r="36" spans="1:11" hidden="1">
      <c r="A36" s="211" t="s">
        <v>263</v>
      </c>
      <c r="B36" s="211" t="str">
        <f>VLOOKUP(MONTH(C36),'Lookup Tables'!$A$3:$B$14,2,FALSE)</f>
        <v>Jan</v>
      </c>
      <c r="C36" s="213">
        <v>43844</v>
      </c>
      <c r="D36" s="211" t="s">
        <v>519</v>
      </c>
      <c r="E36" s="211" t="str">
        <f t="shared" si="0"/>
        <v>Jan Service Computer</v>
      </c>
      <c r="F36" s="211" t="s">
        <v>88</v>
      </c>
      <c r="G36" s="211" t="str">
        <f>IFERROR(VLOOKUP(F36,'2020 Budget'!$A$4:$B$462,2,FALSE),"N/F")</f>
        <v>09. Internet TV Entertainment Electronics</v>
      </c>
      <c r="H36" s="211">
        <v>-0.99</v>
      </c>
      <c r="I36" s="214">
        <v>-4764.5300000000007</v>
      </c>
      <c r="J36" s="211"/>
      <c r="K36" s="208">
        <f>SUMIF($J$3:J36,"P",$H$3:H36)</f>
        <v>0</v>
      </c>
    </row>
    <row r="37" spans="1:11" hidden="1">
      <c r="A37" s="211" t="s">
        <v>263</v>
      </c>
      <c r="B37" s="212" t="str">
        <f>VLOOKUP(MONTH(C37),'Lookup Tables'!$A$3:$B$14,2,FALSE)</f>
        <v>Jan</v>
      </c>
      <c r="C37" s="213">
        <v>43844</v>
      </c>
      <c r="D37" s="211" t="s">
        <v>304</v>
      </c>
      <c r="E37" s="211" t="str">
        <f t="shared" si="0"/>
        <v>Jan Auto Care</v>
      </c>
      <c r="F37" s="211" t="s">
        <v>557</v>
      </c>
      <c r="G37" s="211" t="str">
        <f>IFERROR(VLOOKUP(F37,'2020 Budget'!$A$4:$B$462,2,FALSE),"N/F")</f>
        <v>05. Dodge Dart Auto Expenses</v>
      </c>
      <c r="H37" s="211">
        <v>-39.99</v>
      </c>
      <c r="I37" s="214">
        <v>-4804.5200000000004</v>
      </c>
      <c r="J37" s="212"/>
      <c r="K37" s="208">
        <f>SUMIF($J$3:J37,"P",$H$3:H37)</f>
        <v>0</v>
      </c>
    </row>
    <row r="38" spans="1:11" hidden="1">
      <c r="A38" s="211" t="s">
        <v>263</v>
      </c>
      <c r="B38" s="212" t="str">
        <f>VLOOKUP(MONTH(C38),'Lookup Tables'!$A$3:$B$14,2,FALSE)</f>
        <v>Jan</v>
      </c>
      <c r="C38" s="213">
        <v>43844</v>
      </c>
      <c r="D38" s="211" t="s">
        <v>303</v>
      </c>
      <c r="E38" s="211" t="str">
        <f t="shared" si="0"/>
        <v>Jan Service Internet Cable TV</v>
      </c>
      <c r="F38" s="211" t="s">
        <v>15</v>
      </c>
      <c r="G38" s="211" t="str">
        <f>IFERROR(VLOOKUP(F38,'2020 Budget'!$A$4:$B$462,2,FALSE),"N/F")</f>
        <v>09. Internet TV Entertainment Electronics</v>
      </c>
      <c r="H38" s="211">
        <v>-87.92</v>
      </c>
      <c r="I38" s="214">
        <v>-4892.4400000000005</v>
      </c>
      <c r="J38" s="220"/>
      <c r="K38" s="208">
        <f>SUMIF($J$3:J38,"P",$H$3:H38)</f>
        <v>0</v>
      </c>
    </row>
    <row r="39" spans="1:11" hidden="1">
      <c r="A39" s="211" t="s">
        <v>263</v>
      </c>
      <c r="B39" s="211" t="str">
        <f>VLOOKUP(MONTH(C39),'Lookup Tables'!$A$3:$B$14,2,FALSE)</f>
        <v>Jan</v>
      </c>
      <c r="C39" s="213">
        <v>43844</v>
      </c>
      <c r="D39" s="211" t="s">
        <v>301</v>
      </c>
      <c r="E39" s="211" t="str">
        <f t="shared" si="0"/>
        <v>Jan CPBA Printing</v>
      </c>
      <c r="F39" s="217" t="s">
        <v>530</v>
      </c>
      <c r="G39" s="211" t="str">
        <f>IFERROR(VLOOKUP(F39,'2020 Budget'!$A$4:$B$462,2,FALSE),"N/F")</f>
        <v>03. CP Business Analysis Expenses</v>
      </c>
      <c r="H39" s="211">
        <v>-15</v>
      </c>
      <c r="I39" s="214">
        <v>-4907.4400000000005</v>
      </c>
      <c r="J39" s="211"/>
      <c r="K39" s="208">
        <f>SUMIF($J$3:J39,"P",$H$3:H39)</f>
        <v>0</v>
      </c>
    </row>
    <row r="40" spans="1:11" hidden="1">
      <c r="A40" s="211" t="s">
        <v>263</v>
      </c>
      <c r="B40" s="212" t="str">
        <f>VLOOKUP(MONTH(C40),'Lookup Tables'!$A$3:$B$14,2,FALSE)</f>
        <v>Jan</v>
      </c>
      <c r="C40" s="213">
        <v>43844</v>
      </c>
      <c r="D40" s="211" t="s">
        <v>300</v>
      </c>
      <c r="E40" s="211" t="str">
        <f t="shared" si="0"/>
        <v>Jan Merchandise Home</v>
      </c>
      <c r="F40" s="217" t="s">
        <v>19</v>
      </c>
      <c r="G40" s="211" t="str">
        <f>IFERROR(VLOOKUP(F40,'2020 Budget'!$A$4:$B$462,2,FALSE),"N/F")</f>
        <v>04. Household Expenses</v>
      </c>
      <c r="H40" s="211">
        <v>-11.64</v>
      </c>
      <c r="I40" s="214">
        <v>-4919.0800000000008</v>
      </c>
      <c r="J40" s="212"/>
      <c r="K40" s="208">
        <f>SUMIF($J$3:J40,"P",$H$3:H40)</f>
        <v>0</v>
      </c>
    </row>
    <row r="41" spans="1:11" hidden="1">
      <c r="A41" s="211" t="s">
        <v>263</v>
      </c>
      <c r="B41" s="212" t="str">
        <f>VLOOKUP(MONTH(C41),'Lookup Tables'!$A$3:$B$14,2,FALSE)</f>
        <v>Jan</v>
      </c>
      <c r="C41" s="213">
        <v>43845</v>
      </c>
      <c r="D41" s="211" t="s">
        <v>298</v>
      </c>
      <c r="E41" s="211" t="str">
        <f t="shared" si="0"/>
        <v>Jan Auto Insurance</v>
      </c>
      <c r="F41" s="211" t="s">
        <v>316</v>
      </c>
      <c r="G41" s="211" t="str">
        <f>IFERROR(VLOOKUP(F41,'2020 Budget'!$A$4:$B$462,2,FALSE),"N/F")</f>
        <v>05. Dodge Dart Auto Expenses</v>
      </c>
      <c r="H41" s="211">
        <v>-506.5</v>
      </c>
      <c r="I41" s="214">
        <v>-5425.5800000000008</v>
      </c>
      <c r="J41" s="212"/>
      <c r="K41" s="208">
        <f>SUMIF($J$3:J41,"P",$H$3:H41)</f>
        <v>0</v>
      </c>
    </row>
    <row r="42" spans="1:11" hidden="1">
      <c r="A42" s="211" t="s">
        <v>263</v>
      </c>
      <c r="B42" s="212" t="str">
        <f>VLOOKUP(MONTH(C42),'Lookup Tables'!$A$3:$B$14,2,FALSE)</f>
        <v>Jan</v>
      </c>
      <c r="C42" s="213">
        <v>43845</v>
      </c>
      <c r="D42" s="211" t="s">
        <v>299</v>
      </c>
      <c r="E42" s="211" t="str">
        <f t="shared" si="0"/>
        <v>Jan Groceries</v>
      </c>
      <c r="F42" s="211" t="s">
        <v>11</v>
      </c>
      <c r="G42" s="211" t="str">
        <f>IFERROR(VLOOKUP(F42,'2020 Budget'!$A$4:$B$462,2,FALSE),"N/F")</f>
        <v>04. Family Expenses</v>
      </c>
      <c r="H42" s="211">
        <v>-30.55</v>
      </c>
      <c r="I42" s="214">
        <v>-5456.130000000001</v>
      </c>
      <c r="J42" s="215"/>
      <c r="K42" s="208">
        <f>SUMIF($J$3:J42,"P",$H$3:H42)</f>
        <v>0</v>
      </c>
    </row>
    <row r="43" spans="1:11" hidden="1">
      <c r="A43" s="211" t="s">
        <v>263</v>
      </c>
      <c r="B43" s="212" t="str">
        <f>VLOOKUP(MONTH(C43),'Lookup Tables'!$A$3:$B$14,2,FALSE)</f>
        <v>Jan</v>
      </c>
      <c r="C43" s="213">
        <v>43845</v>
      </c>
      <c r="D43" s="211" t="s">
        <v>297</v>
      </c>
      <c r="E43" s="211" t="str">
        <f t="shared" si="0"/>
        <v>Jan Dining Fast Food</v>
      </c>
      <c r="F43" s="217" t="s">
        <v>85</v>
      </c>
      <c r="G43" s="211" t="str">
        <f>IFERROR(VLOOKUP(F43,'2020 Budget'!$A$4:$B$462,2,FALSE),"N/F")</f>
        <v>04. Family Expenses</v>
      </c>
      <c r="H43" s="211">
        <v>-10.6</v>
      </c>
      <c r="I43" s="214">
        <v>-5466.7300000000014</v>
      </c>
      <c r="J43" s="212"/>
      <c r="K43" s="208">
        <f>SUMIF($J$3:J43,"P",$H$3:H43)</f>
        <v>0</v>
      </c>
    </row>
    <row r="44" spans="1:11" hidden="1">
      <c r="A44" s="211" t="s">
        <v>263</v>
      </c>
      <c r="B44" s="212" t="str">
        <f>VLOOKUP(MONTH(C44),'Lookup Tables'!$A$3:$B$14,2,FALSE)</f>
        <v>Jan</v>
      </c>
      <c r="C44" s="213">
        <v>43846</v>
      </c>
      <c r="D44" s="211" t="s">
        <v>296</v>
      </c>
      <c r="E44" s="211" t="str">
        <f t="shared" si="0"/>
        <v>Jan Auto Fuel</v>
      </c>
      <c r="F44" s="211" t="s">
        <v>558</v>
      </c>
      <c r="G44" s="211" t="str">
        <f>IFERROR(VLOOKUP(F44,'2020 Budget'!$A$4:$B$462,2,FALSE),"N/F")</f>
        <v>05. Dodge Dart Auto Expenses</v>
      </c>
      <c r="H44" s="211">
        <v>-6.43</v>
      </c>
      <c r="I44" s="214">
        <v>-5473.1600000000017</v>
      </c>
      <c r="J44" s="211"/>
      <c r="K44" s="208">
        <f>SUMIF($J$3:J44,"P",$H$3:H44)</f>
        <v>0</v>
      </c>
    </row>
    <row r="45" spans="1:11" hidden="1">
      <c r="A45" s="211" t="s">
        <v>263</v>
      </c>
      <c r="B45" s="212" t="str">
        <f>VLOOKUP(MONTH(C45),'Lookup Tables'!$A$3:$B$14,2,FALSE)</f>
        <v>Jan</v>
      </c>
      <c r="C45" s="213">
        <v>43846</v>
      </c>
      <c r="D45" s="211" t="s">
        <v>295</v>
      </c>
      <c r="E45" s="211" t="str">
        <f t="shared" si="0"/>
        <v>Jan Groceries</v>
      </c>
      <c r="F45" s="211" t="s">
        <v>11</v>
      </c>
      <c r="G45" s="211" t="str">
        <f>IFERROR(VLOOKUP(F45,'2020 Budget'!$A$4:$B$462,2,FALSE),"N/F")</f>
        <v>04. Family Expenses</v>
      </c>
      <c r="H45" s="211">
        <v>-7.61</v>
      </c>
      <c r="I45" s="214">
        <v>-5480.7700000000013</v>
      </c>
      <c r="J45" s="212"/>
      <c r="K45" s="208">
        <f>SUMIF($J$3:J45,"P",$H$3:H45)</f>
        <v>0</v>
      </c>
    </row>
    <row r="46" spans="1:11" hidden="1">
      <c r="A46" s="211" t="s">
        <v>263</v>
      </c>
      <c r="B46" s="212" t="str">
        <f>VLOOKUP(MONTH(C46),'Lookup Tables'!$A$3:$B$14,2,FALSE)</f>
        <v>Jan</v>
      </c>
      <c r="C46" s="213">
        <v>43846</v>
      </c>
      <c r="D46" s="211" t="s">
        <v>295</v>
      </c>
      <c r="E46" s="211" t="str">
        <f t="shared" si="0"/>
        <v>Jan Groceries</v>
      </c>
      <c r="F46" s="211" t="s">
        <v>11</v>
      </c>
      <c r="G46" s="211" t="str">
        <f>IFERROR(VLOOKUP(F46,'2020 Budget'!$A$4:$B$462,2,FALSE),"N/F")</f>
        <v>04. Family Expenses</v>
      </c>
      <c r="H46" s="211">
        <v>-6.48</v>
      </c>
      <c r="I46" s="214">
        <v>-5487.2500000000009</v>
      </c>
      <c r="J46" s="220"/>
      <c r="K46" s="208">
        <f>SUMIF($J$3:J46,"P",$H$3:H46)</f>
        <v>0</v>
      </c>
    </row>
    <row r="47" spans="1:11" hidden="1">
      <c r="A47" s="211" t="s">
        <v>263</v>
      </c>
      <c r="B47" s="211" t="str">
        <f>VLOOKUP(MONTH(C47),'Lookup Tables'!$A$3:$B$14,2,FALSE)</f>
        <v>Jan</v>
      </c>
      <c r="C47" s="213">
        <v>43846</v>
      </c>
      <c r="D47" s="211" t="s">
        <v>294</v>
      </c>
      <c r="E47" s="211" t="str">
        <f t="shared" si="0"/>
        <v>Jan CPBA Printing</v>
      </c>
      <c r="F47" s="217" t="s">
        <v>530</v>
      </c>
      <c r="G47" s="211" t="str">
        <f>IFERROR(VLOOKUP(F47,'2020 Budget'!$A$4:$B$462,2,FALSE),"N/F")</f>
        <v>03. CP Business Analysis Expenses</v>
      </c>
      <c r="H47" s="211">
        <v>-16.8</v>
      </c>
      <c r="I47" s="214">
        <v>-5504.0500000000011</v>
      </c>
      <c r="J47" s="212"/>
      <c r="K47" s="208">
        <f>SUMIF($J$3:J47,"P",$H$3:H47)</f>
        <v>0</v>
      </c>
    </row>
    <row r="48" spans="1:11" hidden="1">
      <c r="A48" s="211" t="s">
        <v>263</v>
      </c>
      <c r="B48" s="211" t="str">
        <f>VLOOKUP(MONTH(C48),'Lookup Tables'!$A$3:$B$14,2,FALSE)</f>
        <v>Jan</v>
      </c>
      <c r="C48" s="213">
        <v>43846</v>
      </c>
      <c r="D48" s="211" t="s">
        <v>294</v>
      </c>
      <c r="E48" s="211" t="str">
        <f t="shared" si="0"/>
        <v>Jan CPBA Printing</v>
      </c>
      <c r="F48" s="217" t="s">
        <v>530</v>
      </c>
      <c r="G48" s="211" t="str">
        <f>IFERROR(VLOOKUP(F48,'2020 Budget'!$A$4:$B$462,2,FALSE),"N/F")</f>
        <v>03. CP Business Analysis Expenses</v>
      </c>
      <c r="H48" s="211">
        <v>-11.93</v>
      </c>
      <c r="I48" s="214">
        <v>-5515.9800000000014</v>
      </c>
      <c r="J48" s="215"/>
      <c r="K48" s="208">
        <f>SUMIF($J$3:J48,"P",$H$3:H48)</f>
        <v>0</v>
      </c>
    </row>
    <row r="49" spans="1:11" hidden="1">
      <c r="A49" s="211" t="s">
        <v>263</v>
      </c>
      <c r="B49" s="211" t="str">
        <f>VLOOKUP(MONTH(C49),'Lookup Tables'!$A$3:$B$14,2,FALSE)</f>
        <v>Jan</v>
      </c>
      <c r="C49" s="213">
        <v>43846</v>
      </c>
      <c r="D49" s="211" t="s">
        <v>294</v>
      </c>
      <c r="E49" s="211" t="str">
        <f t="shared" si="0"/>
        <v>Jan CPBA Printing</v>
      </c>
      <c r="F49" s="217" t="s">
        <v>530</v>
      </c>
      <c r="G49" s="211" t="str">
        <f>IFERROR(VLOOKUP(F49,'2020 Budget'!$A$4:$B$462,2,FALSE),"N/F")</f>
        <v>03. CP Business Analysis Expenses</v>
      </c>
      <c r="H49" s="211">
        <v>-4.24</v>
      </c>
      <c r="I49" s="214">
        <v>-5520.2200000000012</v>
      </c>
      <c r="J49" s="216"/>
      <c r="K49" s="208">
        <f>SUMIF($J$3:J49,"P",$H$3:H49)</f>
        <v>0</v>
      </c>
    </row>
    <row r="50" spans="1:11" hidden="1">
      <c r="A50" s="211" t="s">
        <v>263</v>
      </c>
      <c r="B50" s="211" t="str">
        <f>VLOOKUP(MONTH(C50),'Lookup Tables'!$A$3:$B$14,2,FALSE)</f>
        <v>Jan</v>
      </c>
      <c r="C50" s="213">
        <v>43847</v>
      </c>
      <c r="D50" s="211" t="s">
        <v>508</v>
      </c>
      <c r="E50" s="211" t="str">
        <f t="shared" si="0"/>
        <v>Jan Merchandise Home</v>
      </c>
      <c r="F50" s="211" t="s">
        <v>19</v>
      </c>
      <c r="G50" s="211" t="str">
        <f>IFERROR(VLOOKUP(F50,'2020 Budget'!$A$4:$B$462,2,FALSE),"N/F")</f>
        <v>04. Household Expenses</v>
      </c>
      <c r="H50" s="211">
        <v>-1.58</v>
      </c>
      <c r="I50" s="214">
        <v>-5521.8000000000011</v>
      </c>
      <c r="J50" s="211"/>
      <c r="K50" s="208">
        <f>SUMIF($J$3:J50,"P",$H$3:H50)</f>
        <v>0</v>
      </c>
    </row>
    <row r="51" spans="1:11" hidden="1">
      <c r="A51" s="211" t="s">
        <v>263</v>
      </c>
      <c r="B51" s="211" t="str">
        <f>VLOOKUP(MONTH(C51),'Lookup Tables'!$A$3:$B$14,2,FALSE)</f>
        <v>Jan</v>
      </c>
      <c r="C51" s="213">
        <v>43847</v>
      </c>
      <c r="D51" s="211" t="s">
        <v>502</v>
      </c>
      <c r="E51" s="211" t="str">
        <f t="shared" si="0"/>
        <v>Jan Dining Restaurant</v>
      </c>
      <c r="F51" s="217" t="s">
        <v>145</v>
      </c>
      <c r="G51" s="211" t="str">
        <f>IFERROR(VLOOKUP(F51,'2020 Budget'!$A$4:$B$462,2,FALSE),"N/F")</f>
        <v>04. Family Expenses</v>
      </c>
      <c r="H51" s="211">
        <v>-17.34</v>
      </c>
      <c r="I51" s="214">
        <v>-5539.1400000000012</v>
      </c>
      <c r="J51" s="216"/>
      <c r="K51" s="208">
        <f>SUMIF($J$3:J51,"P",$H$3:H51)</f>
        <v>0</v>
      </c>
    </row>
    <row r="52" spans="1:11" hidden="1">
      <c r="A52" s="211" t="s">
        <v>263</v>
      </c>
      <c r="B52" s="211" t="str">
        <f>VLOOKUP(MONTH(C52),'Lookup Tables'!$A$3:$B$14,2,FALSE)</f>
        <v>Jan</v>
      </c>
      <c r="C52" s="213">
        <v>43847</v>
      </c>
      <c r="D52" s="211" t="s">
        <v>296</v>
      </c>
      <c r="E52" s="211" t="str">
        <f t="shared" si="0"/>
        <v>Jan Auto Fuel</v>
      </c>
      <c r="F52" s="211" t="s">
        <v>558</v>
      </c>
      <c r="G52" s="211" t="str">
        <f>IFERROR(VLOOKUP(F52,'2020 Budget'!$A$4:$B$462,2,FALSE),"N/F")</f>
        <v>05. Dodge Dart Auto Expenses</v>
      </c>
      <c r="H52" s="211">
        <v>-7.71</v>
      </c>
      <c r="I52" s="214">
        <v>-5546.8500000000013</v>
      </c>
      <c r="J52" s="215"/>
      <c r="K52" s="208">
        <f>SUMIF($J$3:J52,"P",$H$3:H52)</f>
        <v>0</v>
      </c>
    </row>
    <row r="53" spans="1:11" hidden="1">
      <c r="A53" s="211" t="s">
        <v>263</v>
      </c>
      <c r="B53" s="211" t="str">
        <f>VLOOKUP(MONTH(C53),'Lookup Tables'!$A$3:$B$14,2,FALSE)</f>
        <v>Jan</v>
      </c>
      <c r="C53" s="213">
        <v>43848</v>
      </c>
      <c r="D53" s="211" t="s">
        <v>504</v>
      </c>
      <c r="E53" s="211" t="str">
        <f t="shared" si="0"/>
        <v>Jan Service Computer</v>
      </c>
      <c r="F53" s="211" t="s">
        <v>88</v>
      </c>
      <c r="G53" s="211" t="str">
        <f>IFERROR(VLOOKUP(F53,'2020 Budget'!$A$4:$B$462,2,FALSE),"N/F")</f>
        <v>09. Internet TV Entertainment Electronics</v>
      </c>
      <c r="H53" s="211">
        <v>-0.99</v>
      </c>
      <c r="I53" s="214">
        <v>-5547.8400000000011</v>
      </c>
      <c r="J53" s="211"/>
      <c r="K53" s="208">
        <f>SUMIF($J$3:J53,"P",$H$3:H53)</f>
        <v>0</v>
      </c>
    </row>
    <row r="54" spans="1:11" hidden="1">
      <c r="A54" s="211" t="s">
        <v>263</v>
      </c>
      <c r="B54" s="211" t="str">
        <f>VLOOKUP(MONTH(C54),'Lookup Tables'!$A$3:$B$14,2,FALSE)</f>
        <v>Jan</v>
      </c>
      <c r="C54" s="213">
        <v>43848</v>
      </c>
      <c r="D54" s="211" t="s">
        <v>312</v>
      </c>
      <c r="E54" s="211" t="str">
        <f t="shared" si="0"/>
        <v>Jan Groceries</v>
      </c>
      <c r="F54" s="211" t="s">
        <v>11</v>
      </c>
      <c r="G54" s="211" t="str">
        <f>IFERROR(VLOOKUP(F54,'2020 Budget'!$A$4:$B$462,2,FALSE),"N/F")</f>
        <v>04. Family Expenses</v>
      </c>
      <c r="H54" s="211">
        <v>-10.050000000000001</v>
      </c>
      <c r="I54" s="214">
        <v>-5557.8900000000012</v>
      </c>
      <c r="J54" s="211"/>
      <c r="K54" s="208">
        <f>SUMIF($J$3:J54,"P",$H$3:H54)</f>
        <v>0</v>
      </c>
    </row>
    <row r="55" spans="1:11" hidden="1">
      <c r="A55" s="211" t="s">
        <v>263</v>
      </c>
      <c r="B55" s="211" t="str">
        <f>VLOOKUP(MONTH(C55),'Lookup Tables'!$A$3:$B$14,2,FALSE)</f>
        <v>Jan</v>
      </c>
      <c r="C55" s="213">
        <v>43849</v>
      </c>
      <c r="D55" s="211" t="s">
        <v>501</v>
      </c>
      <c r="E55" s="211" t="str">
        <f t="shared" si="0"/>
        <v>Jan Auto Fuel</v>
      </c>
      <c r="F55" s="217" t="s">
        <v>558</v>
      </c>
      <c r="G55" s="211" t="str">
        <f>IFERROR(VLOOKUP(F55,'2020 Budget'!$A$4:$B$462,2,FALSE),"N/F")</f>
        <v>05. Dodge Dart Auto Expenses</v>
      </c>
      <c r="H55" s="211">
        <v>-9</v>
      </c>
      <c r="I55" s="214">
        <v>-5566.8900000000012</v>
      </c>
      <c r="J55" s="211"/>
      <c r="K55" s="208">
        <f>SUMIF($J$3:J55,"P",$H$3:H55)</f>
        <v>0</v>
      </c>
    </row>
    <row r="56" spans="1:11" hidden="1">
      <c r="A56" s="211" t="s">
        <v>263</v>
      </c>
      <c r="B56" s="211" t="str">
        <f>VLOOKUP(MONTH(C56),'Lookup Tables'!$A$3:$B$14,2,FALSE)</f>
        <v>Jan</v>
      </c>
      <c r="C56" s="213">
        <v>43849</v>
      </c>
      <c r="D56" s="211" t="s">
        <v>266</v>
      </c>
      <c r="E56" s="211" t="str">
        <f t="shared" si="0"/>
        <v>Jan Dining Fast Food</v>
      </c>
      <c r="F56" s="217" t="s">
        <v>85</v>
      </c>
      <c r="G56" s="211" t="str">
        <f>IFERROR(VLOOKUP(F56,'2020 Budget'!$A$4:$B$462,2,FALSE),"N/F")</f>
        <v>04. Family Expenses</v>
      </c>
      <c r="H56" s="211">
        <v>-14.22</v>
      </c>
      <c r="I56" s="214">
        <v>-5581.1100000000015</v>
      </c>
      <c r="J56" s="211"/>
      <c r="K56" s="208">
        <f>SUMIF($J$3:J56,"P",$H$3:H56)</f>
        <v>0</v>
      </c>
    </row>
    <row r="57" spans="1:11" hidden="1">
      <c r="A57" s="211" t="s">
        <v>263</v>
      </c>
      <c r="B57" s="212" t="str">
        <f>VLOOKUP(MONTH(C57),'Lookup Tables'!$A$3:$B$14,2,FALSE)</f>
        <v>Jan</v>
      </c>
      <c r="C57" s="213">
        <v>43851</v>
      </c>
      <c r="D57" s="211" t="s">
        <v>369</v>
      </c>
      <c r="E57" s="211" t="str">
        <f t="shared" si="0"/>
        <v>Jan Ford Fusion Auto Repair</v>
      </c>
      <c r="F57" s="217" t="s">
        <v>149</v>
      </c>
      <c r="G57" s="211" t="str">
        <f>IFERROR(VLOOKUP(F57,'2020 Budget'!$A$4:$B$462,2,FALSE),"N/F")</f>
        <v>15.  Ford Fusion</v>
      </c>
      <c r="H57" s="211">
        <v>-14</v>
      </c>
      <c r="I57" s="214">
        <v>-5595.1100000000015</v>
      </c>
      <c r="J57" s="219"/>
      <c r="K57" s="208">
        <f>SUMIF($J$3:J57,"P",$H$3:H57)</f>
        <v>0</v>
      </c>
    </row>
    <row r="58" spans="1:11" hidden="1">
      <c r="A58" s="211" t="s">
        <v>263</v>
      </c>
      <c r="B58" s="211" t="str">
        <f>VLOOKUP(MONTH(C58),'Lookup Tables'!$A$3:$B$14,2,FALSE)</f>
        <v>Jan</v>
      </c>
      <c r="C58" s="213">
        <v>43851</v>
      </c>
      <c r="D58" s="211" t="s">
        <v>500</v>
      </c>
      <c r="E58" s="211" t="str">
        <f t="shared" si="0"/>
        <v>Jan Auto Care</v>
      </c>
      <c r="F58" s="217" t="s">
        <v>557</v>
      </c>
      <c r="G58" s="211" t="str">
        <f>IFERROR(VLOOKUP(F58,'2020 Budget'!$A$4:$B$462,2,FALSE),"N/F")</f>
        <v>05. Dodge Dart Auto Expenses</v>
      </c>
      <c r="H58" s="211">
        <v>-14.83</v>
      </c>
      <c r="I58" s="214">
        <v>-5609.9400000000014</v>
      </c>
      <c r="J58" s="215"/>
      <c r="K58" s="208">
        <f>SUMIF($J$3:J58,"P",$H$3:H58)</f>
        <v>0</v>
      </c>
    </row>
    <row r="59" spans="1:11" hidden="1">
      <c r="A59" s="211" t="s">
        <v>263</v>
      </c>
      <c r="B59" s="211" t="str">
        <f>VLOOKUP(MONTH(C59),'Lookup Tables'!$A$3:$B$14,2,FALSE)</f>
        <v>Jan</v>
      </c>
      <c r="C59" s="213">
        <v>43851</v>
      </c>
      <c r="D59" s="211" t="s">
        <v>499</v>
      </c>
      <c r="E59" s="211" t="str">
        <f t="shared" si="0"/>
        <v>Jan Auto Care</v>
      </c>
      <c r="F59" s="217" t="s">
        <v>557</v>
      </c>
      <c r="G59" s="211" t="str">
        <f>IFERROR(VLOOKUP(F59,'2020 Budget'!$A$4:$B$462,2,FALSE),"N/F")</f>
        <v>05. Dodge Dart Auto Expenses</v>
      </c>
      <c r="H59" s="211">
        <v>-25</v>
      </c>
      <c r="I59" s="214">
        <v>-5634.9400000000014</v>
      </c>
      <c r="J59" s="211"/>
      <c r="K59" s="208">
        <f>SUMIF($J$3:J59,"P",$H$3:H59)</f>
        <v>0</v>
      </c>
    </row>
    <row r="60" spans="1:11" hidden="1">
      <c r="A60" s="211" t="s">
        <v>263</v>
      </c>
      <c r="B60" s="212" t="str">
        <f>VLOOKUP(MONTH(C60),'Lookup Tables'!$A$3:$B$14,2,FALSE)</f>
        <v>Jan</v>
      </c>
      <c r="C60" s="213">
        <v>43851</v>
      </c>
      <c r="D60" s="211" t="s">
        <v>870</v>
      </c>
      <c r="E60" s="211" t="str">
        <f t="shared" si="0"/>
        <v>Jan Auto Care</v>
      </c>
      <c r="F60" s="217" t="s">
        <v>557</v>
      </c>
      <c r="G60" s="211" t="str">
        <f>IFERROR(VLOOKUP(F60,'2020 Budget'!$A$4:$B$462,2,FALSE),"N/F")</f>
        <v>05. Dodge Dart Auto Expenses</v>
      </c>
      <c r="H60" s="211">
        <v>-25</v>
      </c>
      <c r="I60" s="214">
        <v>-5659.9400000000014</v>
      </c>
      <c r="J60" s="212"/>
      <c r="K60" s="208">
        <f>SUMIF($J$3:J60,"P",$H$3:H60)</f>
        <v>0</v>
      </c>
    </row>
    <row r="61" spans="1:11" hidden="1">
      <c r="A61" s="211" t="s">
        <v>263</v>
      </c>
      <c r="B61" s="211" t="str">
        <f>VLOOKUP(MONTH(C61),'Lookup Tables'!$A$3:$B$14,2,FALSE)</f>
        <v>Jan</v>
      </c>
      <c r="C61" s="213">
        <v>43851</v>
      </c>
      <c r="D61" s="211" t="s">
        <v>478</v>
      </c>
      <c r="E61" s="211" t="str">
        <f t="shared" si="0"/>
        <v>Jan Service Internet Cable TV</v>
      </c>
      <c r="F61" s="211" t="s">
        <v>15</v>
      </c>
      <c r="G61" s="211" t="str">
        <f>IFERROR(VLOOKUP(F61,'2020 Budget'!$A$4:$B$462,2,FALSE),"N/F")</f>
        <v>09. Internet TV Entertainment Electronics</v>
      </c>
      <c r="H61" s="211">
        <v>-12.99</v>
      </c>
      <c r="I61" s="214">
        <v>-5672.9300000000012</v>
      </c>
      <c r="J61" s="212"/>
      <c r="K61" s="208">
        <f>SUMIF($J$3:J61,"P",$H$3:H61)</f>
        <v>0</v>
      </c>
    </row>
    <row r="62" spans="1:11" hidden="1">
      <c r="A62" s="211" t="s">
        <v>263</v>
      </c>
      <c r="B62" s="211" t="str">
        <f>VLOOKUP(MONTH(C62),'Lookup Tables'!$A$3:$B$14,2,FALSE)</f>
        <v>Jan</v>
      </c>
      <c r="C62" s="213">
        <v>43852</v>
      </c>
      <c r="D62" s="211" t="s">
        <v>481</v>
      </c>
      <c r="E62" s="211" t="str">
        <f t="shared" si="0"/>
        <v>Jan Dining Restaurant</v>
      </c>
      <c r="F62" s="217" t="s">
        <v>145</v>
      </c>
      <c r="G62" s="211" t="str">
        <f>IFERROR(VLOOKUP(F62,'2020 Budget'!$A$4:$B$462,2,FALSE),"N/F")</f>
        <v>04. Family Expenses</v>
      </c>
      <c r="H62" s="211">
        <v>-16.489999999999998</v>
      </c>
      <c r="I62" s="214">
        <v>-5689.420000000001</v>
      </c>
      <c r="J62" s="211"/>
      <c r="K62" s="208">
        <f>SUMIF($J$3:J62,"P",$H$3:H62)</f>
        <v>0</v>
      </c>
    </row>
    <row r="63" spans="1:11" hidden="1">
      <c r="A63" s="211" t="s">
        <v>263</v>
      </c>
      <c r="B63" s="211" t="str">
        <f>VLOOKUP(MONTH(C63),'Lookup Tables'!$A$3:$B$14,2,FALSE)</f>
        <v>Jan</v>
      </c>
      <c r="C63" s="213">
        <v>43852</v>
      </c>
      <c r="D63" s="211" t="s">
        <v>498</v>
      </c>
      <c r="E63" s="211" t="str">
        <f t="shared" si="0"/>
        <v>Jan Merchandise Home</v>
      </c>
      <c r="F63" s="217" t="s">
        <v>19</v>
      </c>
      <c r="G63" s="211" t="str">
        <f>IFERROR(VLOOKUP(F63,'2020 Budget'!$A$4:$B$462,2,FALSE),"N/F")</f>
        <v>04. Household Expenses</v>
      </c>
      <c r="H63" s="211">
        <v>-5.29</v>
      </c>
      <c r="I63" s="214">
        <v>-5694.7100000000009</v>
      </c>
      <c r="J63" s="215"/>
      <c r="K63" s="208">
        <f>SUMIF($J$3:J63,"P",$H$3:H63)</f>
        <v>0</v>
      </c>
    </row>
    <row r="64" spans="1:11" hidden="1">
      <c r="A64" s="211" t="s">
        <v>263</v>
      </c>
      <c r="B64" s="211" t="str">
        <f>VLOOKUP(MONTH(C64),'Lookup Tables'!$A$3:$B$14,2,FALSE)</f>
        <v>Jan</v>
      </c>
      <c r="C64" s="213">
        <v>43853</v>
      </c>
      <c r="D64" s="211" t="s">
        <v>34</v>
      </c>
      <c r="E64" s="211" t="str">
        <f t="shared" si="0"/>
        <v>Jan Dining Fast Food</v>
      </c>
      <c r="F64" s="217" t="s">
        <v>85</v>
      </c>
      <c r="G64" s="211" t="str">
        <f>IFERROR(VLOOKUP(F64,'2020 Budget'!$A$4:$B$462,2,FALSE),"N/F")</f>
        <v>04. Family Expenses</v>
      </c>
      <c r="H64" s="211">
        <v>-12.71</v>
      </c>
      <c r="I64" s="214">
        <v>-5707.420000000001</v>
      </c>
      <c r="J64" s="215"/>
      <c r="K64" s="208">
        <f>SUMIF($J$3:J64,"P",$H$3:H64)</f>
        <v>0</v>
      </c>
    </row>
    <row r="65" spans="1:11" hidden="1">
      <c r="A65" s="211" t="s">
        <v>263</v>
      </c>
      <c r="B65" s="211" t="str">
        <f>VLOOKUP(MONTH(C65),'Lookup Tables'!$A$3:$B$14,2,FALSE)</f>
        <v>Jan</v>
      </c>
      <c r="C65" s="213">
        <v>43854</v>
      </c>
      <c r="D65" s="211" t="s">
        <v>497</v>
      </c>
      <c r="E65" s="211" t="str">
        <f t="shared" si="0"/>
        <v>Jan Dining Fast Food</v>
      </c>
      <c r="F65" s="217" t="s">
        <v>85</v>
      </c>
      <c r="G65" s="211" t="str">
        <f>IFERROR(VLOOKUP(F65,'2020 Budget'!$A$4:$B$462,2,FALSE),"N/F")</f>
        <v>04. Family Expenses</v>
      </c>
      <c r="H65" s="211">
        <v>-8.4700000000000006</v>
      </c>
      <c r="I65" s="214">
        <v>-5715.8900000000012</v>
      </c>
      <c r="J65" s="212"/>
      <c r="K65" s="208">
        <f>SUMIF($J$3:J65,"P",$H$3:H65)</f>
        <v>0</v>
      </c>
    </row>
    <row r="66" spans="1:11" hidden="1">
      <c r="A66" s="211" t="s">
        <v>263</v>
      </c>
      <c r="B66" s="211" t="str">
        <f>VLOOKUP(MONTH(C66),'Lookup Tables'!$A$3:$B$14,2,FALSE)</f>
        <v>Jan</v>
      </c>
      <c r="C66" s="213">
        <v>43854</v>
      </c>
      <c r="D66" s="211" t="s">
        <v>496</v>
      </c>
      <c r="E66" s="211" t="str">
        <f t="shared" ref="E66:E129" si="1">B66&amp;" "&amp;F66</f>
        <v>Jan Entertainment</v>
      </c>
      <c r="F66" s="217" t="s">
        <v>18</v>
      </c>
      <c r="G66" s="211" t="str">
        <f>IFERROR(VLOOKUP(F66,'2020 Budget'!$A$4:$B$462,2,FALSE),"N/F")</f>
        <v>04. Family Expenses</v>
      </c>
      <c r="H66" s="211">
        <v>-6</v>
      </c>
      <c r="I66" s="214">
        <v>-5721.8900000000012</v>
      </c>
      <c r="J66" s="211"/>
      <c r="K66" s="208">
        <f>SUMIF($J$3:J66,"P",$H$3:H66)</f>
        <v>0</v>
      </c>
    </row>
    <row r="67" spans="1:11" hidden="1">
      <c r="A67" s="211" t="s">
        <v>263</v>
      </c>
      <c r="B67" s="211" t="str">
        <f>VLOOKUP(MONTH(C67),'Lookup Tables'!$A$3:$B$14,2,FALSE)</f>
        <v>Jan</v>
      </c>
      <c r="C67" s="213">
        <v>43854</v>
      </c>
      <c r="D67" s="211" t="s">
        <v>496</v>
      </c>
      <c r="E67" s="211" t="str">
        <f t="shared" si="1"/>
        <v>Jan Entertainment</v>
      </c>
      <c r="F67" s="217" t="s">
        <v>18</v>
      </c>
      <c r="G67" s="211" t="str">
        <f>IFERROR(VLOOKUP(F67,'2020 Budget'!$A$4:$B$462,2,FALSE),"N/F")</f>
        <v>04. Family Expenses</v>
      </c>
      <c r="H67" s="211">
        <v>-12</v>
      </c>
      <c r="I67" s="214">
        <v>-5733.8900000000012</v>
      </c>
      <c r="J67" s="216"/>
      <c r="K67" s="208">
        <f>SUMIF($J$3:J67,"P",$H$3:H67)</f>
        <v>0</v>
      </c>
    </row>
    <row r="68" spans="1:11" hidden="1">
      <c r="A68" s="211" t="s">
        <v>263</v>
      </c>
      <c r="B68" s="211" t="str">
        <f>VLOOKUP(MONTH(C68),'Lookup Tables'!$A$3:$B$14,2,FALSE)</f>
        <v>Jan</v>
      </c>
      <c r="C68" s="213">
        <v>43855</v>
      </c>
      <c r="D68" s="211" t="s">
        <v>495</v>
      </c>
      <c r="E68" s="211" t="str">
        <f t="shared" si="1"/>
        <v>Jan Entertainment</v>
      </c>
      <c r="F68" s="217" t="s">
        <v>18</v>
      </c>
      <c r="G68" s="211" t="str">
        <f>IFERROR(VLOOKUP(F68,'2020 Budget'!$A$4:$B$462,2,FALSE),"N/F")</f>
        <v>04. Family Expenses</v>
      </c>
      <c r="H68" s="211">
        <v>-27.41</v>
      </c>
      <c r="I68" s="214">
        <v>-5761.3000000000011</v>
      </c>
      <c r="J68" s="212"/>
      <c r="K68" s="208">
        <f>SUMIF($J$3:J68,"P",$H$3:H68)</f>
        <v>0</v>
      </c>
    </row>
    <row r="69" spans="1:11" hidden="1">
      <c r="A69" s="211" t="s">
        <v>263</v>
      </c>
      <c r="B69" s="211" t="str">
        <f>VLOOKUP(MONTH(C69),'Lookup Tables'!$A$3:$B$14,2,FALSE)</f>
        <v>Jan</v>
      </c>
      <c r="C69" s="213">
        <v>43855</v>
      </c>
      <c r="D69" s="211" t="s">
        <v>521</v>
      </c>
      <c r="E69" s="211" t="str">
        <f t="shared" si="1"/>
        <v>Jan CPBA Government Requirements</v>
      </c>
      <c r="F69" s="217" t="s">
        <v>529</v>
      </c>
      <c r="G69" s="211" t="str">
        <f>IFERROR(VLOOKUP(F69,'2020 Budget'!$A$4:$B$462,2,FALSE),"N/F")</f>
        <v>03. CP Business Analysis Expenses</v>
      </c>
      <c r="H69" s="211">
        <v>-50</v>
      </c>
      <c r="I69" s="214">
        <v>-5811.3000000000011</v>
      </c>
      <c r="J69" s="211"/>
      <c r="K69" s="208">
        <f>SUMIF($J$3:J69,"P",$H$3:H69)</f>
        <v>0</v>
      </c>
    </row>
    <row r="70" spans="1:11" hidden="1">
      <c r="A70" s="211" t="s">
        <v>263</v>
      </c>
      <c r="B70" s="211" t="str">
        <f>VLOOKUP(MONTH(C70),'Lookup Tables'!$A$3:$B$14,2,FALSE)</f>
        <v>Jan</v>
      </c>
      <c r="C70" s="213">
        <v>43856</v>
      </c>
      <c r="D70" s="211" t="s">
        <v>517</v>
      </c>
      <c r="E70" s="211" t="str">
        <f t="shared" si="1"/>
        <v>Jan CPBA Office Equipment</v>
      </c>
      <c r="F70" s="218" t="s">
        <v>585</v>
      </c>
      <c r="G70" s="211" t="str">
        <f>IFERROR(VLOOKUP(F70,'2020 Budget'!$A$4:$B$462,2,FALSE),"N/F")</f>
        <v>03. CP Business Analysis Expenses</v>
      </c>
      <c r="H70" s="211">
        <v>-7.6</v>
      </c>
      <c r="I70" s="214">
        <v>-5818.9000000000015</v>
      </c>
      <c r="J70" s="212"/>
      <c r="K70" s="208">
        <f>SUMIF($J$3:J70,"P",$H$3:H70)</f>
        <v>0</v>
      </c>
    </row>
    <row r="71" spans="1:11" hidden="1">
      <c r="A71" s="211" t="s">
        <v>263</v>
      </c>
      <c r="B71" s="211" t="str">
        <f>VLOOKUP(MONTH(C71),'Lookup Tables'!$A$3:$B$14,2,FALSE)</f>
        <v>Jan</v>
      </c>
      <c r="C71" s="213">
        <v>43856</v>
      </c>
      <c r="D71" s="211" t="s">
        <v>494</v>
      </c>
      <c r="E71" s="211" t="str">
        <f t="shared" si="1"/>
        <v>Jan Dining Fast Food</v>
      </c>
      <c r="F71" s="217" t="s">
        <v>85</v>
      </c>
      <c r="G71" s="211" t="str">
        <f>IFERROR(VLOOKUP(F71,'2020 Budget'!$A$4:$B$462,2,FALSE),"N/F")</f>
        <v>04. Family Expenses</v>
      </c>
      <c r="H71" s="211">
        <v>-5.3</v>
      </c>
      <c r="I71" s="214">
        <v>-5824.2000000000016</v>
      </c>
      <c r="J71" s="215"/>
      <c r="K71" s="208">
        <f>SUMIF($J$3:J71,"P",$H$3:H71)</f>
        <v>0</v>
      </c>
    </row>
    <row r="72" spans="1:11" hidden="1">
      <c r="A72" s="211" t="s">
        <v>263</v>
      </c>
      <c r="B72" s="211" t="str">
        <f>VLOOKUP(MONTH(C72),'Lookup Tables'!$A$3:$B$14,2,FALSE)</f>
        <v>Jan</v>
      </c>
      <c r="C72" s="213">
        <v>43856</v>
      </c>
      <c r="D72" s="211" t="s">
        <v>4</v>
      </c>
      <c r="E72" s="211" t="str">
        <f t="shared" si="1"/>
        <v>Jan Dining Restaurant</v>
      </c>
      <c r="F72" s="217" t="s">
        <v>145</v>
      </c>
      <c r="G72" s="211" t="str">
        <f>IFERROR(VLOOKUP(F72,'2020 Budget'!$A$4:$B$462,2,FALSE),"N/F")</f>
        <v>04. Family Expenses</v>
      </c>
      <c r="H72" s="211">
        <v>-7.35</v>
      </c>
      <c r="I72" s="214">
        <v>-5831.550000000002</v>
      </c>
      <c r="J72" s="211"/>
      <c r="K72" s="208">
        <f>SUMIF($J$3:J72,"P",$H$3:H72)</f>
        <v>0</v>
      </c>
    </row>
    <row r="73" spans="1:11" hidden="1">
      <c r="A73" s="211" t="s">
        <v>263</v>
      </c>
      <c r="B73" s="211" t="str">
        <f>VLOOKUP(MONTH(C73),'Lookup Tables'!$A$3:$B$14,2,FALSE)</f>
        <v>Jan</v>
      </c>
      <c r="C73" s="213">
        <v>43856</v>
      </c>
      <c r="D73" s="211" t="s">
        <v>458</v>
      </c>
      <c r="E73" s="211" t="str">
        <f t="shared" si="1"/>
        <v>Jan Groceries</v>
      </c>
      <c r="F73" s="211" t="s">
        <v>11</v>
      </c>
      <c r="G73" s="211" t="str">
        <f>IFERROR(VLOOKUP(F73,'2020 Budget'!$A$4:$B$462,2,FALSE),"N/F")</f>
        <v>04. Family Expenses</v>
      </c>
      <c r="H73" s="211">
        <v>-79.930000000000007</v>
      </c>
      <c r="I73" s="214">
        <v>-5911.4800000000023</v>
      </c>
      <c r="J73" s="216"/>
      <c r="K73" s="208">
        <f>SUMIF($J$3:J73,"P",$H$3:H73)</f>
        <v>0</v>
      </c>
    </row>
    <row r="74" spans="1:11" hidden="1">
      <c r="A74" s="211" t="s">
        <v>263</v>
      </c>
      <c r="B74" s="211" t="str">
        <f>VLOOKUP(MONTH(C74),'Lookup Tables'!$A$3:$B$14,2,FALSE)</f>
        <v>Jan</v>
      </c>
      <c r="C74" s="213">
        <v>43856</v>
      </c>
      <c r="D74" s="211" t="s">
        <v>526</v>
      </c>
      <c r="E74" s="211" t="str">
        <f t="shared" si="1"/>
        <v>Jan CPBA Service Computer</v>
      </c>
      <c r="F74" s="217" t="s">
        <v>528</v>
      </c>
      <c r="G74" s="211" t="str">
        <f>IFERROR(VLOOKUP(F74,'2020 Budget'!$A$4:$B$462,2,FALSE),"N/F")</f>
        <v>03. CP Business Analysis Expenses</v>
      </c>
      <c r="H74" s="211">
        <v>-33.75</v>
      </c>
      <c r="I74" s="214">
        <v>-5945.2300000000023</v>
      </c>
      <c r="J74" s="215"/>
      <c r="K74" s="208">
        <f>SUMIF($J$3:J74,"P",$H$3:H74)</f>
        <v>0</v>
      </c>
    </row>
    <row r="75" spans="1:11" hidden="1">
      <c r="A75" s="211" t="s">
        <v>263</v>
      </c>
      <c r="B75" s="211" t="str">
        <f>VLOOKUP(MONTH(C75),'Lookup Tables'!$A$3:$B$14,2,FALSE)</f>
        <v>Jan</v>
      </c>
      <c r="C75" s="213">
        <v>43857</v>
      </c>
      <c r="D75" s="211" t="s">
        <v>493</v>
      </c>
      <c r="E75" s="211" t="str">
        <f t="shared" si="1"/>
        <v>Jan Dog Food</v>
      </c>
      <c r="F75" s="217" t="s">
        <v>130</v>
      </c>
      <c r="G75" s="211" t="str">
        <f>IFERROR(VLOOKUP(F75,'2020 Budget'!$A$4:$B$462,2,FALSE),"N/F")</f>
        <v>08. Dogs Expenses</v>
      </c>
      <c r="H75" s="211">
        <f>-28.84*2/3</f>
        <v>-19.226666666666667</v>
      </c>
      <c r="I75" s="214">
        <v>-5964.4566666666688</v>
      </c>
      <c r="J75" s="211"/>
      <c r="K75" s="208">
        <f>SUMIF($J$3:J75,"P",$H$3:H75)</f>
        <v>0</v>
      </c>
    </row>
    <row r="76" spans="1:11" hidden="1">
      <c r="A76" s="211" t="s">
        <v>263</v>
      </c>
      <c r="B76" s="211" t="str">
        <f>VLOOKUP(MONTH(C76),'Lookup Tables'!$A$3:$B$14,2,FALSE)</f>
        <v>Jan</v>
      </c>
      <c r="C76" s="213">
        <v>43857</v>
      </c>
      <c r="D76" s="211" t="s">
        <v>493</v>
      </c>
      <c r="E76" s="211" t="str">
        <f t="shared" si="1"/>
        <v>Jan Mom Dog Food</v>
      </c>
      <c r="F76" s="218" t="s">
        <v>129</v>
      </c>
      <c r="G76" s="211" t="str">
        <f>IFERROR(VLOOKUP(F76,'2020 Budget'!$A$4:$B$462,2,FALSE),"N/F")</f>
        <v>10. Mom Expenses</v>
      </c>
      <c r="H76" s="211">
        <f>-28.84*1/3</f>
        <v>-9.6133333333333333</v>
      </c>
      <c r="I76" s="214">
        <v>-5974.0700000000024</v>
      </c>
      <c r="J76" s="211"/>
      <c r="K76" s="208">
        <f>SUMIF($J$3:J76,"P",$H$3:H76)</f>
        <v>0</v>
      </c>
    </row>
    <row r="77" spans="1:11" hidden="1">
      <c r="A77" s="211" t="s">
        <v>263</v>
      </c>
      <c r="B77" s="211" t="str">
        <f>VLOOKUP(MONTH(C77),'Lookup Tables'!$A$3:$B$14,2,FALSE)</f>
        <v>Jan</v>
      </c>
      <c r="C77" s="213">
        <v>43857</v>
      </c>
      <c r="D77" s="211" t="s">
        <v>504</v>
      </c>
      <c r="E77" s="211" t="str">
        <f t="shared" si="1"/>
        <v>Jan Service Computer</v>
      </c>
      <c r="F77" s="211" t="s">
        <v>88</v>
      </c>
      <c r="G77" s="211" t="str">
        <f>IFERROR(VLOOKUP(F77,'2020 Budget'!$A$4:$B$462,2,FALSE),"N/F")</f>
        <v>09. Internet TV Entertainment Electronics</v>
      </c>
      <c r="H77" s="211">
        <v>-0.99</v>
      </c>
      <c r="I77" s="214">
        <v>-5975.0600000000022</v>
      </c>
      <c r="J77" s="212"/>
      <c r="K77" s="208">
        <f>SUMIF($J$3:J77,"P",$H$3:H77)</f>
        <v>0</v>
      </c>
    </row>
    <row r="78" spans="1:11" hidden="1">
      <c r="A78" s="211" t="s">
        <v>263</v>
      </c>
      <c r="B78" s="211" t="str">
        <f>VLOOKUP(MONTH(C78),'Lookup Tables'!$A$3:$B$14,2,FALSE)</f>
        <v>Jan</v>
      </c>
      <c r="C78" s="213">
        <v>43857</v>
      </c>
      <c r="D78" s="211" t="s">
        <v>492</v>
      </c>
      <c r="E78" s="211" t="str">
        <f t="shared" si="1"/>
        <v>Jan Merchandise Computer</v>
      </c>
      <c r="F78" s="217" t="s">
        <v>35</v>
      </c>
      <c r="G78" s="211" t="str">
        <f>IFERROR(VLOOKUP(F78,'2020 Budget'!$A$4:$B$462,2,FALSE),"N/F")</f>
        <v>09. Internet TV Entertainment Electronics</v>
      </c>
      <c r="H78" s="211">
        <v>-3.18</v>
      </c>
      <c r="I78" s="214">
        <v>-5978.2400000000025</v>
      </c>
      <c r="J78" s="212"/>
      <c r="K78" s="208">
        <f>SUMIF($J$3:J78,"P",$H$3:H78)</f>
        <v>0</v>
      </c>
    </row>
    <row r="79" spans="1:11" hidden="1">
      <c r="A79" s="211" t="s">
        <v>263</v>
      </c>
      <c r="B79" s="211" t="str">
        <f>VLOOKUP(MONTH(C79),'Lookup Tables'!$A$3:$B$14,2,FALSE)</f>
        <v>Jan</v>
      </c>
      <c r="C79" s="213">
        <v>43857</v>
      </c>
      <c r="D79" s="211" t="s">
        <v>492</v>
      </c>
      <c r="E79" s="211" t="str">
        <f t="shared" si="1"/>
        <v>Jan Merchandise Computer</v>
      </c>
      <c r="F79" s="217" t="s">
        <v>35</v>
      </c>
      <c r="G79" s="211" t="str">
        <f>IFERROR(VLOOKUP(F79,'2020 Budget'!$A$4:$B$462,2,FALSE),"N/F")</f>
        <v>09. Internet TV Entertainment Electronics</v>
      </c>
      <c r="H79" s="211">
        <v>3.18</v>
      </c>
      <c r="I79" s="214">
        <v>-5975.0600000000022</v>
      </c>
      <c r="J79" s="211"/>
      <c r="K79" s="208">
        <f>SUMIF($J$3:J79,"P",$H$3:H79)</f>
        <v>0</v>
      </c>
    </row>
    <row r="80" spans="1:11" hidden="1">
      <c r="A80" s="211" t="s">
        <v>263</v>
      </c>
      <c r="B80" s="211" t="str">
        <f>VLOOKUP(MONTH(C80),'Lookup Tables'!$A$3:$B$14,2,FALSE)</f>
        <v>Jan</v>
      </c>
      <c r="C80" s="213">
        <v>43857</v>
      </c>
      <c r="D80" s="211" t="s">
        <v>312</v>
      </c>
      <c r="E80" s="211" t="str">
        <f t="shared" si="1"/>
        <v>Jan Groceries</v>
      </c>
      <c r="F80" s="211" t="s">
        <v>11</v>
      </c>
      <c r="G80" s="211" t="str">
        <f>IFERROR(VLOOKUP(F80,'2020 Budget'!$A$4:$B$462,2,FALSE),"N/F")</f>
        <v>04. Family Expenses</v>
      </c>
      <c r="H80" s="211">
        <v>-13.77</v>
      </c>
      <c r="I80" s="214">
        <v>-5988.8300000000027</v>
      </c>
      <c r="J80" s="211"/>
      <c r="K80" s="208">
        <f>SUMIF($J$3:J80,"P",$H$3:H80)</f>
        <v>0</v>
      </c>
    </row>
    <row r="81" spans="1:11" hidden="1">
      <c r="A81" s="211" t="s">
        <v>263</v>
      </c>
      <c r="B81" s="211" t="str">
        <f>VLOOKUP(MONTH(C81),'Lookup Tables'!$A$3:$B$14,2,FALSE)</f>
        <v>Jan</v>
      </c>
      <c r="C81" s="213">
        <v>43858</v>
      </c>
      <c r="D81" s="211" t="s">
        <v>490</v>
      </c>
      <c r="E81" s="211" t="str">
        <f t="shared" si="1"/>
        <v>Jan Dining Treats</v>
      </c>
      <c r="F81" s="217" t="s">
        <v>87</v>
      </c>
      <c r="G81" s="211" t="str">
        <f>IFERROR(VLOOKUP(F81,'2020 Budget'!$A$4:$B$462,2,FALSE),"N/F")</f>
        <v>04. Family Expenses</v>
      </c>
      <c r="H81" s="211">
        <v>-9.67</v>
      </c>
      <c r="I81" s="214">
        <v>-5998.5000000000027</v>
      </c>
      <c r="J81" s="212"/>
      <c r="K81" s="208">
        <f>SUMIF($J$3:J81,"P",$H$3:H81)</f>
        <v>0</v>
      </c>
    </row>
    <row r="82" spans="1:11" hidden="1">
      <c r="A82" s="211" t="s">
        <v>263</v>
      </c>
      <c r="B82" s="211" t="str">
        <f>VLOOKUP(MONTH(C82),'Lookup Tables'!$A$3:$B$14,2,FALSE)</f>
        <v>Jan</v>
      </c>
      <c r="C82" s="213">
        <v>43858</v>
      </c>
      <c r="D82" s="211" t="s">
        <v>491</v>
      </c>
      <c r="E82" s="211" t="str">
        <f t="shared" si="1"/>
        <v>Jan Dining Fast Food</v>
      </c>
      <c r="F82" s="211" t="s">
        <v>85</v>
      </c>
      <c r="G82" s="211" t="str">
        <f>IFERROR(VLOOKUP(F82,'2020 Budget'!$A$4:$B$462,2,FALSE),"N/F")</f>
        <v>04. Family Expenses</v>
      </c>
      <c r="H82" s="211">
        <v>-12.12</v>
      </c>
      <c r="I82" s="214">
        <v>-6010.6200000000026</v>
      </c>
      <c r="J82" s="211"/>
      <c r="K82" s="208">
        <f>SUMIF($J$3:J82,"P",$H$3:H82)</f>
        <v>0</v>
      </c>
    </row>
    <row r="83" spans="1:11" hidden="1">
      <c r="A83" s="211" t="s">
        <v>263</v>
      </c>
      <c r="B83" s="211" t="str">
        <f>VLOOKUP(MONTH(C83),'Lookup Tables'!$A$3:$B$14,2,FALSE)</f>
        <v>Jan</v>
      </c>
      <c r="C83" s="213">
        <v>43858</v>
      </c>
      <c r="D83" s="211" t="s">
        <v>527</v>
      </c>
      <c r="E83" s="211" t="str">
        <f t="shared" si="1"/>
        <v>Jan CPBA Service Computer</v>
      </c>
      <c r="F83" s="217" t="s">
        <v>528</v>
      </c>
      <c r="G83" s="211" t="str">
        <f>IFERROR(VLOOKUP(F83,'2020 Budget'!$A$4:$B$462,2,FALSE),"N/F")</f>
        <v>03. CP Business Analysis Expenses</v>
      </c>
      <c r="H83" s="211">
        <v>-22</v>
      </c>
      <c r="I83" s="214">
        <v>-6032.6200000000026</v>
      </c>
      <c r="J83" s="211"/>
      <c r="K83" s="208">
        <f>SUMIF($J$3:J83,"P",$H$3:H83)</f>
        <v>0</v>
      </c>
    </row>
    <row r="84" spans="1:11" hidden="1">
      <c r="A84" s="211" t="s">
        <v>263</v>
      </c>
      <c r="B84" s="211" t="str">
        <f>VLOOKUP(MONTH(C84),'Lookup Tables'!$A$3:$B$14,2,FALSE)</f>
        <v>Jan</v>
      </c>
      <c r="C84" s="213">
        <v>43858</v>
      </c>
      <c r="D84" s="211" t="s">
        <v>525</v>
      </c>
      <c r="E84" s="211" t="str">
        <f t="shared" si="1"/>
        <v>Jan CPBA Service Computer</v>
      </c>
      <c r="F84" s="217" t="s">
        <v>528</v>
      </c>
      <c r="G84" s="211" t="str">
        <f>IFERROR(VLOOKUP(F84,'2020 Budget'!$A$4:$B$462,2,FALSE),"N/F")</f>
        <v>03. CP Business Analysis Expenses</v>
      </c>
      <c r="H84" s="211">
        <v>-60</v>
      </c>
      <c r="I84" s="214">
        <v>-6092.6200000000026</v>
      </c>
      <c r="J84" s="212"/>
      <c r="K84" s="208">
        <f>SUMIF($J$3:J84,"P",$H$3:H84)</f>
        <v>0</v>
      </c>
    </row>
    <row r="85" spans="1:11" hidden="1">
      <c r="A85" s="211" t="s">
        <v>263</v>
      </c>
      <c r="B85" s="211" t="str">
        <f>VLOOKUP(MONTH(C85),'Lookup Tables'!$A$3:$B$14,2,FALSE)</f>
        <v>Jan</v>
      </c>
      <c r="C85" s="213">
        <v>43858</v>
      </c>
      <c r="D85" s="211" t="s">
        <v>525</v>
      </c>
      <c r="E85" s="211" t="str">
        <f t="shared" si="1"/>
        <v>Jan CPBA Service Computer</v>
      </c>
      <c r="F85" s="217" t="s">
        <v>528</v>
      </c>
      <c r="G85" s="211" t="str">
        <f>IFERROR(VLOOKUP(F85,'2020 Budget'!$A$4:$B$462,2,FALSE),"N/F")</f>
        <v>03. CP Business Analysis Expenses</v>
      </c>
      <c r="H85" s="211">
        <v>-254</v>
      </c>
      <c r="I85" s="214">
        <v>-6346.6200000000026</v>
      </c>
      <c r="J85" s="212"/>
      <c r="K85" s="208">
        <f>SUMIF($J$3:J85,"P",$H$3:H85)</f>
        <v>0</v>
      </c>
    </row>
    <row r="86" spans="1:11" hidden="1">
      <c r="A86" s="211" t="s">
        <v>263</v>
      </c>
      <c r="B86" s="211" t="str">
        <f>VLOOKUP(MONTH(C86),'Lookup Tables'!$A$3:$B$14,2,FALSE)</f>
        <v>Jan</v>
      </c>
      <c r="C86" s="213">
        <v>43859</v>
      </c>
      <c r="D86" s="211" t="s">
        <v>489</v>
      </c>
      <c r="E86" s="211" t="str">
        <f t="shared" si="1"/>
        <v>Jan Dining Fast Food</v>
      </c>
      <c r="F86" s="217" t="s">
        <v>85</v>
      </c>
      <c r="G86" s="211" t="str">
        <f>IFERROR(VLOOKUP(F86,'2020 Budget'!$A$4:$B$462,2,FALSE),"N/F")</f>
        <v>04. Family Expenses</v>
      </c>
      <c r="H86" s="211">
        <v>-5.28</v>
      </c>
      <c r="I86" s="214">
        <v>-6351.9000000000024</v>
      </c>
      <c r="J86" s="212"/>
      <c r="K86" s="208">
        <f>SUMIF($J$3:J86,"P",$H$3:H86)</f>
        <v>0</v>
      </c>
    </row>
    <row r="87" spans="1:11" hidden="1">
      <c r="A87" s="211" t="s">
        <v>263</v>
      </c>
      <c r="B87" s="211" t="str">
        <f>VLOOKUP(MONTH(C87),'Lookup Tables'!$A$3:$B$14,2,FALSE)</f>
        <v>Jan</v>
      </c>
      <c r="C87" s="213">
        <v>43859</v>
      </c>
      <c r="D87" s="211" t="s">
        <v>489</v>
      </c>
      <c r="E87" s="211" t="str">
        <f t="shared" si="1"/>
        <v>Jan Dining Fast Food</v>
      </c>
      <c r="F87" s="217" t="s">
        <v>85</v>
      </c>
      <c r="G87" s="211" t="str">
        <f>IFERROR(VLOOKUP(F87,'2020 Budget'!$A$4:$B$462,2,FALSE),"N/F")</f>
        <v>04. Family Expenses</v>
      </c>
      <c r="H87" s="211">
        <v>-6.88</v>
      </c>
      <c r="I87" s="214">
        <v>-6358.7800000000025</v>
      </c>
      <c r="J87" s="215"/>
      <c r="K87" s="208">
        <f>SUMIF($J$3:J87,"P",$H$3:H87)</f>
        <v>0</v>
      </c>
    </row>
    <row r="88" spans="1:11" hidden="1">
      <c r="A88" s="211" t="s">
        <v>263</v>
      </c>
      <c r="B88" s="211" t="str">
        <f>VLOOKUP(MONTH(C88),'Lookup Tables'!$A$3:$B$14,2,FALSE)</f>
        <v>Jan</v>
      </c>
      <c r="C88" s="213">
        <v>43859</v>
      </c>
      <c r="D88" s="211" t="s">
        <v>476</v>
      </c>
      <c r="E88" s="211" t="str">
        <f t="shared" si="1"/>
        <v>Jan Service DTE Electrical Natural Gas</v>
      </c>
      <c r="F88" s="217" t="s">
        <v>146</v>
      </c>
      <c r="G88" s="211" t="str">
        <f>IFERROR(VLOOKUP(F88,'2020 Budget'!$A$4:$B$462,2,FALSE),"N/F")</f>
        <v>04. Household Expenses</v>
      </c>
      <c r="H88" s="211">
        <v>-277.36</v>
      </c>
      <c r="I88" s="214">
        <v>-6636.1400000000021</v>
      </c>
      <c r="J88" s="212"/>
      <c r="K88" s="208">
        <f>SUMIF($J$3:J88,"P",$H$3:H88)</f>
        <v>0</v>
      </c>
    </row>
    <row r="89" spans="1:11" hidden="1">
      <c r="A89" s="211" t="s">
        <v>263</v>
      </c>
      <c r="B89" s="211" t="str">
        <f>VLOOKUP(MONTH(C89),'Lookup Tables'!$A$3:$B$14,2,FALSE)</f>
        <v>Jan</v>
      </c>
      <c r="C89" s="213">
        <v>43859</v>
      </c>
      <c r="D89" s="211" t="s">
        <v>488</v>
      </c>
      <c r="E89" s="211" t="str">
        <f t="shared" si="1"/>
        <v>Jan Dining Restaurant</v>
      </c>
      <c r="F89" s="217" t="s">
        <v>145</v>
      </c>
      <c r="G89" s="211" t="str">
        <f>IFERROR(VLOOKUP(F89,'2020 Budget'!$A$4:$B$462,2,FALSE),"N/F")</f>
        <v>04. Family Expenses</v>
      </c>
      <c r="H89" s="211">
        <v>-6.17</v>
      </c>
      <c r="I89" s="214">
        <v>-6642.3100000000022</v>
      </c>
      <c r="J89" s="211"/>
      <c r="K89" s="208">
        <f>SUMIF($J$3:J89,"P",$H$3:H89)</f>
        <v>0</v>
      </c>
    </row>
    <row r="90" spans="1:11" hidden="1">
      <c r="A90" s="211" t="s">
        <v>263</v>
      </c>
      <c r="B90" s="211" t="str">
        <f>VLOOKUP(MONTH(C90),'Lookup Tables'!$A$3:$B$14,2,FALSE)</f>
        <v>Jan</v>
      </c>
      <c r="C90" s="213">
        <v>43860</v>
      </c>
      <c r="D90" s="211" t="s">
        <v>34</v>
      </c>
      <c r="E90" s="211" t="str">
        <f t="shared" si="1"/>
        <v>Jan Dining Fast Food</v>
      </c>
      <c r="F90" s="217" t="s">
        <v>85</v>
      </c>
      <c r="G90" s="211" t="str">
        <f>IFERROR(VLOOKUP(F90,'2020 Budget'!$A$4:$B$462,2,FALSE),"N/F")</f>
        <v>04. Family Expenses</v>
      </c>
      <c r="H90" s="211">
        <v>-12.71</v>
      </c>
      <c r="I90" s="214">
        <v>-6655.0200000000023</v>
      </c>
      <c r="J90" s="215"/>
      <c r="K90" s="208">
        <f>SUMIF($J$3:J90,"P",$H$3:H90)</f>
        <v>0</v>
      </c>
    </row>
    <row r="91" spans="1:11" hidden="1">
      <c r="A91" s="211" t="s">
        <v>263</v>
      </c>
      <c r="B91" s="211" t="str">
        <f>VLOOKUP(MONTH(C91),'Lookup Tables'!$A$3:$B$14,2,FALSE)</f>
        <v>Jan</v>
      </c>
      <c r="C91" s="213">
        <v>43860</v>
      </c>
      <c r="D91" s="211" t="s">
        <v>487</v>
      </c>
      <c r="E91" s="211" t="str">
        <f t="shared" si="1"/>
        <v>Jan Groceries</v>
      </c>
      <c r="F91" s="211" t="s">
        <v>11</v>
      </c>
      <c r="G91" s="211" t="str">
        <f>IFERROR(VLOOKUP(F91,'2020 Budget'!$A$4:$B$462,2,FALSE),"N/F")</f>
        <v>04. Family Expenses</v>
      </c>
      <c r="H91" s="211">
        <v>-26.44</v>
      </c>
      <c r="I91" s="214">
        <v>-6681.4600000000019</v>
      </c>
      <c r="J91" s="212"/>
      <c r="K91" s="208">
        <f>SUMIF($J$3:J91,"P",$H$3:H91)</f>
        <v>0</v>
      </c>
    </row>
    <row r="92" spans="1:11" hidden="1">
      <c r="A92" s="211" t="s">
        <v>263</v>
      </c>
      <c r="B92" s="211" t="str">
        <f>VLOOKUP(MONTH(C92),'Lookup Tables'!$A$3:$B$14,2,FALSE)</f>
        <v>Jan</v>
      </c>
      <c r="C92" s="213">
        <v>43860</v>
      </c>
      <c r="D92" s="211" t="s">
        <v>314</v>
      </c>
      <c r="E92" s="211" t="str">
        <f t="shared" si="1"/>
        <v>Jan Auto Care</v>
      </c>
      <c r="F92" s="217" t="s">
        <v>557</v>
      </c>
      <c r="G92" s="211" t="str">
        <f>IFERROR(VLOOKUP(F92,'2020 Budget'!$A$4:$B$462,2,FALSE),"N/F")</f>
        <v>05. Dodge Dart Auto Expenses</v>
      </c>
      <c r="H92" s="211">
        <v>-29</v>
      </c>
      <c r="I92" s="214">
        <v>-6710.4600000000019</v>
      </c>
      <c r="J92" s="212"/>
      <c r="K92" s="208">
        <f>SUMIF($J$3:J92,"P",$H$3:H92)</f>
        <v>0</v>
      </c>
    </row>
    <row r="93" spans="1:11" hidden="1">
      <c r="A93" s="211" t="s">
        <v>263</v>
      </c>
      <c r="B93" s="211" t="str">
        <f>VLOOKUP(MONTH(C93),'Lookup Tables'!$A$3:$B$14,2,FALSE)</f>
        <v>Jan</v>
      </c>
      <c r="C93" s="213">
        <v>43861</v>
      </c>
      <c r="D93" s="211" t="s">
        <v>485</v>
      </c>
      <c r="E93" s="211" t="str">
        <f t="shared" si="1"/>
        <v>Jan CPBA Linked In</v>
      </c>
      <c r="F93" s="217" t="s">
        <v>531</v>
      </c>
      <c r="G93" s="211" t="str">
        <f>IFERROR(VLOOKUP(F93,'2020 Budget'!$A$4:$B$462,2,FALSE),"N/F")</f>
        <v>03. CP Business Analysis Expenses</v>
      </c>
      <c r="H93" s="211">
        <v>-29.99</v>
      </c>
      <c r="I93" s="214">
        <v>-6740.4500000000016</v>
      </c>
      <c r="J93" s="212"/>
      <c r="K93" s="208">
        <f>SUMIF($J$3:J93,"P",$H$3:H93)</f>
        <v>0</v>
      </c>
    </row>
    <row r="94" spans="1:11" hidden="1">
      <c r="A94" s="211" t="s">
        <v>263</v>
      </c>
      <c r="B94" s="211" t="str">
        <f>VLOOKUP(MONTH(C94),'Lookup Tables'!$A$3:$B$14,2,FALSE)</f>
        <v>Jan</v>
      </c>
      <c r="C94" s="213">
        <v>43861</v>
      </c>
      <c r="D94" s="211" t="s">
        <v>486</v>
      </c>
      <c r="E94" s="211" t="str">
        <f t="shared" si="1"/>
        <v>Jan Dining Restaurant</v>
      </c>
      <c r="F94" s="211" t="s">
        <v>145</v>
      </c>
      <c r="G94" s="211" t="str">
        <f>IFERROR(VLOOKUP(F94,'2020 Budget'!$A$4:$B$462,2,FALSE),"N/F")</f>
        <v>04. Family Expenses</v>
      </c>
      <c r="H94" s="211">
        <v>-7.14</v>
      </c>
      <c r="I94" s="214">
        <v>-6747.590000000002</v>
      </c>
      <c r="J94" s="215"/>
      <c r="K94" s="208">
        <f>SUMIF($J$3:J94,"P",$H$3:H94)</f>
        <v>0</v>
      </c>
    </row>
    <row r="95" spans="1:11" hidden="1">
      <c r="A95" s="211" t="s">
        <v>263</v>
      </c>
      <c r="B95" s="211" t="str">
        <f>VLOOKUP(MONTH(C95),'Lookup Tables'!$A$3:$B$14,2,FALSE)</f>
        <v>Jan</v>
      </c>
      <c r="C95" s="213">
        <v>43861</v>
      </c>
      <c r="D95" s="211" t="s">
        <v>486</v>
      </c>
      <c r="E95" s="211" t="str">
        <f t="shared" si="1"/>
        <v>Jan Dining Restaurant</v>
      </c>
      <c r="F95" s="211" t="s">
        <v>145</v>
      </c>
      <c r="G95" s="211" t="str">
        <f>IFERROR(VLOOKUP(F95,'2020 Budget'!$A$4:$B$462,2,FALSE),"N/F")</f>
        <v>04. Family Expenses</v>
      </c>
      <c r="H95" s="211">
        <v>-34.19</v>
      </c>
      <c r="I95" s="214">
        <v>-6781.7800000000016</v>
      </c>
      <c r="J95" s="212"/>
      <c r="K95" s="208">
        <f>SUMIF($J$3:J95,"P",$H$3:H95)</f>
        <v>0</v>
      </c>
    </row>
    <row r="96" spans="1:11" hidden="1">
      <c r="A96" s="211" t="s">
        <v>263</v>
      </c>
      <c r="B96" s="211" t="str">
        <f>VLOOKUP(MONTH(C96),'Lookup Tables'!$A$3:$B$14,2,FALSE)</f>
        <v>Jan</v>
      </c>
      <c r="C96" s="213">
        <v>43861</v>
      </c>
      <c r="D96" s="211" t="s">
        <v>297</v>
      </c>
      <c r="E96" s="211" t="str">
        <f t="shared" si="1"/>
        <v>Jan Dining Fast Food</v>
      </c>
      <c r="F96" s="217" t="s">
        <v>85</v>
      </c>
      <c r="G96" s="211" t="str">
        <f>IFERROR(VLOOKUP(F96,'2020 Budget'!$A$4:$B$462,2,FALSE),"N/F")</f>
        <v>04. Family Expenses</v>
      </c>
      <c r="H96" s="211">
        <v>-6.33</v>
      </c>
      <c r="I96" s="214">
        <v>-6788.1100000000015</v>
      </c>
      <c r="J96" s="215"/>
      <c r="K96" s="208">
        <f>SUMIF($J$3:J96,"P",$H$3:H96)</f>
        <v>0</v>
      </c>
    </row>
    <row r="97" spans="1:11" hidden="1">
      <c r="A97" s="211" t="s">
        <v>263</v>
      </c>
      <c r="B97" s="211" t="str">
        <f>VLOOKUP(MONTH(C97),'Lookup Tables'!$A$3:$B$14,2,FALSE)</f>
        <v>Feb</v>
      </c>
      <c r="C97" s="213">
        <v>43862</v>
      </c>
      <c r="D97" s="211" t="s">
        <v>3</v>
      </c>
      <c r="E97" s="211" t="str">
        <f t="shared" si="1"/>
        <v>Feb Phil Online Game Purchases</v>
      </c>
      <c r="F97" s="211" t="s">
        <v>318</v>
      </c>
      <c r="G97" s="211" t="str">
        <f>IFERROR(VLOOKUP(F97,'2020 Budget'!$A$4:$B$462,2,FALSE),"N/F")</f>
        <v>11. Phil Work Ethic</v>
      </c>
      <c r="H97" s="211">
        <v>-9.99</v>
      </c>
      <c r="I97" s="214">
        <v>-6798.1000000000013</v>
      </c>
      <c r="J97" s="211"/>
      <c r="K97" s="208">
        <f>SUMIF($J$3:J97,"P",$H$3:H97)</f>
        <v>0</v>
      </c>
    </row>
    <row r="98" spans="1:11" hidden="1">
      <c r="A98" s="211" t="s">
        <v>263</v>
      </c>
      <c r="B98" s="211" t="str">
        <f>VLOOKUP(MONTH(C98),'Lookup Tables'!$A$3:$B$14,2,FALSE)</f>
        <v>Feb</v>
      </c>
      <c r="C98" s="213">
        <v>43862</v>
      </c>
      <c r="D98" s="211" t="s">
        <v>267</v>
      </c>
      <c r="E98" s="211" t="str">
        <f t="shared" si="1"/>
        <v>Feb Dining Fast Food</v>
      </c>
      <c r="F98" s="217" t="s">
        <v>85</v>
      </c>
      <c r="G98" s="211" t="str">
        <f>IFERROR(VLOOKUP(F98,'2020 Budget'!$A$4:$B$462,2,FALSE),"N/F")</f>
        <v>04. Family Expenses</v>
      </c>
      <c r="H98" s="211">
        <v>-5.3</v>
      </c>
      <c r="I98" s="214">
        <v>-6803.4000000000015</v>
      </c>
      <c r="J98" s="212"/>
      <c r="K98" s="208">
        <f>SUMIF($J$3:J98,"P",$H$3:H98)</f>
        <v>0</v>
      </c>
    </row>
    <row r="99" spans="1:11" hidden="1">
      <c r="A99" s="211" t="s">
        <v>263</v>
      </c>
      <c r="B99" s="211" t="str">
        <f>VLOOKUP(MONTH(C99),'Lookup Tables'!$A$3:$B$14,2,FALSE)</f>
        <v>Feb</v>
      </c>
      <c r="C99" s="213">
        <v>43863</v>
      </c>
      <c r="D99" s="211" t="s">
        <v>34</v>
      </c>
      <c r="E99" s="211" t="str">
        <f t="shared" si="1"/>
        <v>Feb Dining Fast Food</v>
      </c>
      <c r="F99" s="217" t="s">
        <v>85</v>
      </c>
      <c r="G99" s="211" t="str">
        <f>IFERROR(VLOOKUP(F99,'2020 Budget'!$A$4:$B$462,2,FALSE),"N/F")</f>
        <v>04. Family Expenses</v>
      </c>
      <c r="H99" s="211">
        <v>-12.71</v>
      </c>
      <c r="I99" s="214">
        <v>-6816.1100000000015</v>
      </c>
      <c r="J99" s="215"/>
      <c r="K99" s="208">
        <f>SUMIF($J$3:J99,"P",$H$3:H99)</f>
        <v>0</v>
      </c>
    </row>
    <row r="100" spans="1:11" hidden="1">
      <c r="A100" s="211" t="s">
        <v>263</v>
      </c>
      <c r="B100" s="211" t="str">
        <f>VLOOKUP(MONTH(C100),'Lookup Tables'!$A$3:$B$14,2,FALSE)</f>
        <v>Feb</v>
      </c>
      <c r="C100" s="213">
        <v>43863</v>
      </c>
      <c r="D100" s="211" t="s">
        <v>484</v>
      </c>
      <c r="E100" s="211" t="str">
        <f t="shared" si="1"/>
        <v>Feb Groceries</v>
      </c>
      <c r="F100" s="217" t="s">
        <v>11</v>
      </c>
      <c r="G100" s="211" t="str">
        <f>IFERROR(VLOOKUP(F100,'2020 Budget'!$A$4:$B$462,2,FALSE),"N/F")</f>
        <v>04. Family Expenses</v>
      </c>
      <c r="H100" s="211">
        <v>-10.28</v>
      </c>
      <c r="I100" s="214">
        <v>-6826.3900000000012</v>
      </c>
      <c r="J100" s="212"/>
      <c r="K100" s="208">
        <f>SUMIF($J$3:J100,"P",$H$3:H100)</f>
        <v>0</v>
      </c>
    </row>
    <row r="101" spans="1:11" hidden="1">
      <c r="A101" s="211" t="s">
        <v>263</v>
      </c>
      <c r="B101" s="211" t="str">
        <f>VLOOKUP(MONTH(C101),'Lookup Tables'!$A$3:$B$14,2,FALSE)</f>
        <v>Feb</v>
      </c>
      <c r="C101" s="213">
        <v>43863</v>
      </c>
      <c r="D101" s="211" t="s">
        <v>267</v>
      </c>
      <c r="E101" s="211" t="str">
        <f t="shared" si="1"/>
        <v>Feb Dining Fast Food</v>
      </c>
      <c r="F101" s="217" t="s">
        <v>85</v>
      </c>
      <c r="G101" s="211" t="str">
        <f>IFERROR(VLOOKUP(F101,'2020 Budget'!$A$4:$B$462,2,FALSE),"N/F")</f>
        <v>04. Family Expenses</v>
      </c>
      <c r="H101" s="211">
        <v>-10.6</v>
      </c>
      <c r="I101" s="214">
        <v>-6836.9900000000016</v>
      </c>
      <c r="J101" s="216"/>
      <c r="K101" s="208">
        <f>SUMIF($J$3:J101,"P",$H$3:H101)</f>
        <v>0</v>
      </c>
    </row>
    <row r="102" spans="1:11" hidden="1">
      <c r="A102" s="211" t="s">
        <v>263</v>
      </c>
      <c r="B102" s="211" t="str">
        <f>VLOOKUP(MONTH(C102),'Lookup Tables'!$A$3:$B$14,2,FALSE)</f>
        <v>Feb</v>
      </c>
      <c r="C102" s="213">
        <v>43864</v>
      </c>
      <c r="D102" s="211" t="s">
        <v>484</v>
      </c>
      <c r="E102" s="211" t="str">
        <f t="shared" si="1"/>
        <v>Feb Groceries</v>
      </c>
      <c r="F102" s="217" t="s">
        <v>11</v>
      </c>
      <c r="G102" s="211" t="str">
        <f>IFERROR(VLOOKUP(F102,'2020 Budget'!$A$4:$B$462,2,FALSE),"N/F")</f>
        <v>04. Family Expenses</v>
      </c>
      <c r="H102" s="211">
        <v>-9.5</v>
      </c>
      <c r="I102" s="214">
        <v>-6846.4900000000016</v>
      </c>
      <c r="J102" s="215"/>
      <c r="K102" s="208">
        <f>SUMIF($J$3:J102,"P",$H$3:H102)</f>
        <v>0</v>
      </c>
    </row>
    <row r="103" spans="1:11" hidden="1">
      <c r="A103" s="211" t="s">
        <v>263</v>
      </c>
      <c r="B103" s="211" t="str">
        <f>VLOOKUP(MONTH(C103),'Lookup Tables'!$A$3:$B$14,2,FALSE)</f>
        <v>Feb</v>
      </c>
      <c r="C103" s="213">
        <v>43864</v>
      </c>
      <c r="D103" s="211" t="s">
        <v>483</v>
      </c>
      <c r="E103" s="211" t="str">
        <f t="shared" si="1"/>
        <v>Feb Groceries</v>
      </c>
      <c r="F103" s="211" t="s">
        <v>11</v>
      </c>
      <c r="G103" s="211" t="str">
        <f>IFERROR(VLOOKUP(F103,'2020 Budget'!$A$4:$B$462,2,FALSE),"N/F")</f>
        <v>04. Family Expenses</v>
      </c>
      <c r="H103" s="211">
        <v>-5.49</v>
      </c>
      <c r="I103" s="214">
        <v>-6851.9800000000014</v>
      </c>
      <c r="J103" s="211"/>
      <c r="K103" s="208">
        <f>SUMIF($J$3:J103,"P",$H$3:H103)</f>
        <v>0</v>
      </c>
    </row>
    <row r="104" spans="1:11" hidden="1">
      <c r="A104" s="211" t="s">
        <v>263</v>
      </c>
      <c r="B104" s="211" t="str">
        <f>VLOOKUP(MONTH(C104),'Lookup Tables'!$A$3:$B$14,2,FALSE)</f>
        <v>Feb</v>
      </c>
      <c r="C104" s="213">
        <v>43864</v>
      </c>
      <c r="D104" s="211" t="s">
        <v>342</v>
      </c>
      <c r="E104" s="211" t="str">
        <f t="shared" si="1"/>
        <v>Feb Merchandise Computer</v>
      </c>
      <c r="F104" s="217" t="s">
        <v>35</v>
      </c>
      <c r="G104" s="211" t="str">
        <f>IFERROR(VLOOKUP(F104,'2020 Budget'!$A$4:$B$462,2,FALSE),"N/F")</f>
        <v>09. Internet TV Entertainment Electronics</v>
      </c>
      <c r="H104" s="211">
        <v>-7</v>
      </c>
      <c r="I104" s="214">
        <v>-6858.9800000000014</v>
      </c>
      <c r="J104" s="211"/>
      <c r="K104" s="208">
        <f>SUMIF($J$3:J104,"P",$H$3:H104)</f>
        <v>0</v>
      </c>
    </row>
    <row r="105" spans="1:11" hidden="1">
      <c r="A105" s="211" t="s">
        <v>263</v>
      </c>
      <c r="B105" s="211" t="str">
        <f>VLOOKUP(MONTH(C105),'Lookup Tables'!$A$3:$B$14,2,FALSE)</f>
        <v>Feb</v>
      </c>
      <c r="C105" s="213">
        <v>43865</v>
      </c>
      <c r="D105" s="211" t="s">
        <v>458</v>
      </c>
      <c r="E105" s="211" t="str">
        <f t="shared" si="1"/>
        <v>Feb Groceries</v>
      </c>
      <c r="F105" s="211" t="s">
        <v>11</v>
      </c>
      <c r="G105" s="211" t="str">
        <f>IFERROR(VLOOKUP(F105,'2020 Budget'!$A$4:$B$462,2,FALSE),"N/F")</f>
        <v>04. Family Expenses</v>
      </c>
      <c r="H105" s="211">
        <v>-10.96</v>
      </c>
      <c r="I105" s="214">
        <v>-6869.9400000000014</v>
      </c>
      <c r="J105" s="215"/>
      <c r="K105" s="208">
        <f>SUMIF($J$3:J105,"P",$H$3:H105)</f>
        <v>0</v>
      </c>
    </row>
    <row r="106" spans="1:11" hidden="1">
      <c r="A106" s="211" t="s">
        <v>263</v>
      </c>
      <c r="B106" s="211" t="str">
        <f>VLOOKUP(MONTH(C106),'Lookup Tables'!$A$3:$B$14,2,FALSE)</f>
        <v>Feb</v>
      </c>
      <c r="C106" s="213">
        <v>43866</v>
      </c>
      <c r="D106" s="211" t="s">
        <v>267</v>
      </c>
      <c r="E106" s="211" t="str">
        <f t="shared" si="1"/>
        <v>Feb Dining Fast Food</v>
      </c>
      <c r="F106" s="217" t="s">
        <v>85</v>
      </c>
      <c r="G106" s="211" t="str">
        <f>IFERROR(VLOOKUP(F106,'2020 Budget'!$A$4:$B$462,2,FALSE),"N/F")</f>
        <v>04. Family Expenses</v>
      </c>
      <c r="H106" s="211">
        <v>-5.4</v>
      </c>
      <c r="I106" s="214">
        <v>-6875.3400000000011</v>
      </c>
      <c r="J106" s="211"/>
      <c r="K106" s="208">
        <f>SUMIF($J$3:J106,"P",$H$3:H106)</f>
        <v>0</v>
      </c>
    </row>
    <row r="107" spans="1:11" hidden="1">
      <c r="A107" s="211" t="s">
        <v>263</v>
      </c>
      <c r="B107" s="211" t="str">
        <f>VLOOKUP(MONTH(C107),'Lookup Tables'!$A$3:$B$14,2,FALSE)</f>
        <v>Feb</v>
      </c>
      <c r="C107" s="213">
        <v>43866</v>
      </c>
      <c r="D107" s="211" t="s">
        <v>482</v>
      </c>
      <c r="E107" s="211" t="str">
        <f t="shared" si="1"/>
        <v>Feb Dining Fast Food</v>
      </c>
      <c r="F107" s="217" t="s">
        <v>85</v>
      </c>
      <c r="G107" s="211" t="str">
        <f>IFERROR(VLOOKUP(F107,'2020 Budget'!$A$4:$B$462,2,FALSE),"N/F")</f>
        <v>04. Family Expenses</v>
      </c>
      <c r="H107" s="211">
        <v>-5.78</v>
      </c>
      <c r="I107" s="214">
        <v>-6881.1200000000008</v>
      </c>
      <c r="J107" s="211"/>
      <c r="K107" s="208">
        <f>SUMIF($J$3:J107,"P",$H$3:H107)</f>
        <v>0</v>
      </c>
    </row>
    <row r="108" spans="1:11" hidden="1">
      <c r="A108" s="211" t="s">
        <v>263</v>
      </c>
      <c r="B108" s="211" t="str">
        <f>VLOOKUP(MONTH(C108),'Lookup Tables'!$A$3:$B$14,2,FALSE)</f>
        <v>Feb</v>
      </c>
      <c r="C108" s="213">
        <v>43867</v>
      </c>
      <c r="D108" s="211" t="s">
        <v>481</v>
      </c>
      <c r="E108" s="211" t="str">
        <f t="shared" si="1"/>
        <v>Feb Dining Restaurant</v>
      </c>
      <c r="F108" s="217" t="s">
        <v>145</v>
      </c>
      <c r="G108" s="211" t="str">
        <f>IFERROR(VLOOKUP(F108,'2020 Budget'!$A$4:$B$462,2,FALSE),"N/F")</f>
        <v>04. Family Expenses</v>
      </c>
      <c r="H108" s="211">
        <v>-12.18</v>
      </c>
      <c r="I108" s="214">
        <v>-6893.3000000000011</v>
      </c>
      <c r="J108" s="211"/>
      <c r="K108" s="208">
        <f>SUMIF($J$3:J108,"P",$H$3:H108)</f>
        <v>0</v>
      </c>
    </row>
    <row r="109" spans="1:11" hidden="1">
      <c r="A109" s="211" t="s">
        <v>263</v>
      </c>
      <c r="B109" s="211" t="str">
        <f>VLOOKUP(MONTH(C109),'Lookup Tables'!$A$3:$B$14,2,FALSE)</f>
        <v>Feb</v>
      </c>
      <c r="C109" s="213">
        <v>43869</v>
      </c>
      <c r="D109" s="211" t="s">
        <v>473</v>
      </c>
      <c r="E109" s="211" t="str">
        <f t="shared" si="1"/>
        <v>Feb Service Internet Cable TV</v>
      </c>
      <c r="F109" s="211" t="s">
        <v>15</v>
      </c>
      <c r="G109" s="211" t="str">
        <f>IFERROR(VLOOKUP(F109,'2020 Budget'!$A$4:$B$462,2,FALSE),"N/F")</f>
        <v>09. Internet TV Entertainment Electronics</v>
      </c>
      <c r="H109" s="211">
        <v>-6.99</v>
      </c>
      <c r="I109" s="214">
        <v>-6900.2900000000009</v>
      </c>
      <c r="J109" s="212"/>
      <c r="K109" s="208">
        <f>SUMIF($J$3:J109,"P",$H$3:H109)</f>
        <v>0</v>
      </c>
    </row>
    <row r="110" spans="1:11" hidden="1">
      <c r="A110" s="211" t="s">
        <v>263</v>
      </c>
      <c r="B110" s="211" t="str">
        <f>VLOOKUP(MONTH(C110),'Lookup Tables'!$A$3:$B$14,2,FALSE)</f>
        <v>Feb</v>
      </c>
      <c r="C110" s="213">
        <v>43870</v>
      </c>
      <c r="D110" s="211" t="s">
        <v>514</v>
      </c>
      <c r="E110" s="211" t="str">
        <f t="shared" si="1"/>
        <v>Feb Clothing</v>
      </c>
      <c r="F110" s="211" t="s">
        <v>17</v>
      </c>
      <c r="G110" s="211" t="str">
        <f>IFERROR(VLOOKUP(F110,'2020 Budget'!$A$4:$B$462,2,FALSE),"N/F")</f>
        <v>04. Family Expenses</v>
      </c>
      <c r="H110" s="211">
        <v>-7.41</v>
      </c>
      <c r="I110" s="214">
        <v>-6907.7000000000007</v>
      </c>
      <c r="J110" s="211"/>
      <c r="K110" s="208">
        <f>SUMIF($J$3:J110,"P",$H$3:H110)</f>
        <v>0</v>
      </c>
    </row>
    <row r="111" spans="1:11" hidden="1">
      <c r="A111" s="211" t="s">
        <v>263</v>
      </c>
      <c r="B111" s="211" t="str">
        <f>VLOOKUP(MONTH(C111),'Lookup Tables'!$A$3:$B$14,2,FALSE)</f>
        <v>Feb</v>
      </c>
      <c r="C111" s="213">
        <v>43870</v>
      </c>
      <c r="D111" s="211" t="s">
        <v>311</v>
      </c>
      <c r="E111" s="211" t="str">
        <f t="shared" si="1"/>
        <v>Feb CPBA Adv Education/Certifications</v>
      </c>
      <c r="F111" s="218" t="s">
        <v>657</v>
      </c>
      <c r="G111" s="211" t="str">
        <f>IFERROR(VLOOKUP(F111,'2020 Budget'!$A$4:$B$462,2,FALSE),"N/F")</f>
        <v>03. CP Business Analysis Expenses</v>
      </c>
      <c r="H111" s="211">
        <v>-49</v>
      </c>
      <c r="I111" s="214">
        <v>-6956.7000000000007</v>
      </c>
      <c r="J111" s="212"/>
      <c r="K111" s="208">
        <f>SUMIF($J$3:J111,"P",$H$3:H111)</f>
        <v>0</v>
      </c>
    </row>
    <row r="112" spans="1:11" hidden="1">
      <c r="A112" s="211" t="s">
        <v>263</v>
      </c>
      <c r="B112" s="211" t="str">
        <f>VLOOKUP(MONTH(C112),'Lookup Tables'!$A$3:$B$14,2,FALSE)</f>
        <v>Feb</v>
      </c>
      <c r="C112" s="213">
        <v>43872</v>
      </c>
      <c r="D112" s="211" t="s">
        <v>512</v>
      </c>
      <c r="E112" s="211" t="str">
        <f t="shared" si="1"/>
        <v>Feb Merchandise Computer</v>
      </c>
      <c r="F112" s="211" t="s">
        <v>35</v>
      </c>
      <c r="G112" s="211" t="str">
        <f>IFERROR(VLOOKUP(F112,'2020 Budget'!$A$4:$B$462,2,FALSE),"N/F")</f>
        <v>09. Internet TV Entertainment Electronics</v>
      </c>
      <c r="H112" s="211">
        <v>-19.07</v>
      </c>
      <c r="I112" s="214">
        <v>-6975.77</v>
      </c>
      <c r="J112" s="211"/>
      <c r="K112" s="208">
        <f>SUMIF($J$3:J112,"P",$H$3:H112)</f>
        <v>0</v>
      </c>
    </row>
    <row r="113" spans="1:11" hidden="1">
      <c r="A113" s="211" t="s">
        <v>263</v>
      </c>
      <c r="B113" s="211" t="str">
        <f>VLOOKUP(MONTH(C113),'Lookup Tables'!$A$3:$B$14,2,FALSE)</f>
        <v>Feb</v>
      </c>
      <c r="C113" s="213">
        <v>43872</v>
      </c>
      <c r="D113" s="211" t="s">
        <v>3</v>
      </c>
      <c r="E113" s="211" t="str">
        <f t="shared" si="1"/>
        <v>Feb Phil Online Game Purchases</v>
      </c>
      <c r="F113" s="211" t="s">
        <v>318</v>
      </c>
      <c r="G113" s="211" t="str">
        <f>IFERROR(VLOOKUP(F113,'2020 Budget'!$A$4:$B$462,2,FALSE),"N/F")</f>
        <v>11. Phil Work Ethic</v>
      </c>
      <c r="H113" s="211">
        <v>-9.99</v>
      </c>
      <c r="I113" s="214">
        <v>-6985.76</v>
      </c>
      <c r="J113" s="211"/>
      <c r="K113" s="208">
        <f>SUMIF($J$3:J113,"P",$H$3:H113)</f>
        <v>0</v>
      </c>
    </row>
    <row r="114" spans="1:11" hidden="1">
      <c r="A114" s="211" t="s">
        <v>263</v>
      </c>
      <c r="B114" s="211" t="str">
        <f>VLOOKUP(MONTH(C114),'Lookup Tables'!$A$3:$B$14,2,FALSE)</f>
        <v>Feb</v>
      </c>
      <c r="C114" s="213">
        <v>43873</v>
      </c>
      <c r="D114" s="211" t="s">
        <v>480</v>
      </c>
      <c r="E114" s="211" t="str">
        <f t="shared" si="1"/>
        <v>Feb Dog Merchandise Vet</v>
      </c>
      <c r="F114" s="211" t="s">
        <v>134</v>
      </c>
      <c r="G114" s="211" t="str">
        <f>IFERROR(VLOOKUP(F114,'2020 Budget'!$A$4:$B$462,2,FALSE),"N/F")</f>
        <v>08. Dogs Expenses</v>
      </c>
      <c r="H114" s="211">
        <v>-73.489999999999995</v>
      </c>
      <c r="I114" s="214">
        <v>-7059.25</v>
      </c>
      <c r="J114" s="216"/>
      <c r="K114" s="208">
        <f>SUMIF($J$3:J114,"P",$H$3:H114)</f>
        <v>0</v>
      </c>
    </row>
    <row r="115" spans="1:11" hidden="1">
      <c r="A115" s="211" t="s">
        <v>263</v>
      </c>
      <c r="B115" s="211" t="str">
        <f>VLOOKUP(MONTH(C115),'Lookup Tables'!$A$3:$B$14,2,FALSE)</f>
        <v>Feb</v>
      </c>
      <c r="C115" s="213">
        <v>43875</v>
      </c>
      <c r="D115" s="211" t="s">
        <v>509</v>
      </c>
      <c r="E115" s="211" t="str">
        <f t="shared" si="1"/>
        <v>Feb Groceries</v>
      </c>
      <c r="F115" s="217" t="s">
        <v>11</v>
      </c>
      <c r="G115" s="211" t="str">
        <f>IFERROR(VLOOKUP(F115,'2020 Budget'!$A$4:$B$462,2,FALSE),"N/F")</f>
        <v>04. Family Expenses</v>
      </c>
      <c r="H115" s="211">
        <v>-12.34</v>
      </c>
      <c r="I115" s="214">
        <v>-7071.59</v>
      </c>
      <c r="J115" s="211"/>
      <c r="K115" s="208">
        <f>SUMIF($J$3:J115,"P",$H$3:H115)</f>
        <v>0</v>
      </c>
    </row>
    <row r="116" spans="1:11" hidden="1">
      <c r="A116" s="211" t="s">
        <v>263</v>
      </c>
      <c r="B116" s="211" t="str">
        <f>VLOOKUP(MONTH(C116),'Lookup Tables'!$A$3:$B$14,2,FALSE)</f>
        <v>Feb</v>
      </c>
      <c r="C116" s="213">
        <v>43875</v>
      </c>
      <c r="D116" s="211" t="s">
        <v>513</v>
      </c>
      <c r="E116" s="211" t="str">
        <f t="shared" si="1"/>
        <v>Feb Merchandise Home</v>
      </c>
      <c r="F116" s="211" t="s">
        <v>19</v>
      </c>
      <c r="G116" s="211" t="str">
        <f>IFERROR(VLOOKUP(F116,'2020 Budget'!$A$4:$B$462,2,FALSE),"N/F")</f>
        <v>04. Household Expenses</v>
      </c>
      <c r="H116" s="211">
        <v>-13.77</v>
      </c>
      <c r="I116" s="214">
        <v>-7085.3600000000006</v>
      </c>
      <c r="J116" s="211"/>
      <c r="K116" s="208">
        <f>SUMIF($J$3:J116,"P",$H$3:H116)</f>
        <v>0</v>
      </c>
    </row>
    <row r="117" spans="1:11" hidden="1">
      <c r="A117" s="211" t="s">
        <v>263</v>
      </c>
      <c r="B117" s="211" t="str">
        <f>VLOOKUP(MONTH(C117),'Lookup Tables'!$A$3:$B$14,2,FALSE)</f>
        <v>Feb</v>
      </c>
      <c r="C117" s="213">
        <v>43875</v>
      </c>
      <c r="D117" s="211" t="s">
        <v>515</v>
      </c>
      <c r="E117" s="211" t="str">
        <f t="shared" si="1"/>
        <v>Feb Clothing</v>
      </c>
      <c r="F117" s="211" t="s">
        <v>17</v>
      </c>
      <c r="G117" s="211" t="str">
        <f>IFERROR(VLOOKUP(F117,'2020 Budget'!$A$4:$B$462,2,FALSE),"N/F")</f>
        <v>04. Family Expenses</v>
      </c>
      <c r="H117" s="211">
        <v>-61.43</v>
      </c>
      <c r="I117" s="214">
        <v>-7146.7900000000009</v>
      </c>
      <c r="J117" s="215"/>
      <c r="K117" s="208">
        <f>SUMIF($J$3:J117,"P",$H$3:H117)</f>
        <v>0</v>
      </c>
    </row>
    <row r="118" spans="1:11" hidden="1">
      <c r="A118" s="211" t="s">
        <v>263</v>
      </c>
      <c r="B118" s="211" t="str">
        <f>VLOOKUP(MONTH(C118),'Lookup Tables'!$A$3:$B$14,2,FALSE)</f>
        <v>Feb</v>
      </c>
      <c r="C118" s="213">
        <v>43875</v>
      </c>
      <c r="D118" s="211" t="s">
        <v>504</v>
      </c>
      <c r="E118" s="211" t="str">
        <f t="shared" si="1"/>
        <v>Feb Service Computer</v>
      </c>
      <c r="F118" s="211" t="s">
        <v>88</v>
      </c>
      <c r="G118" s="211" t="str">
        <f>IFERROR(VLOOKUP(F118,'2020 Budget'!$A$4:$B$462,2,FALSE),"N/F")</f>
        <v>09. Internet TV Entertainment Electronics</v>
      </c>
      <c r="H118" s="211">
        <v>-0.99</v>
      </c>
      <c r="I118" s="214">
        <v>-7147.7800000000007</v>
      </c>
      <c r="J118" s="211"/>
      <c r="K118" s="208">
        <f>SUMIF($J$3:J118,"P",$H$3:H118)</f>
        <v>0</v>
      </c>
    </row>
    <row r="119" spans="1:11" hidden="1">
      <c r="A119" s="211" t="s">
        <v>263</v>
      </c>
      <c r="B119" s="211" t="str">
        <f>VLOOKUP(MONTH(C119),'Lookup Tables'!$A$3:$B$14,2,FALSE)</f>
        <v>Feb</v>
      </c>
      <c r="C119" s="213">
        <v>43875</v>
      </c>
      <c r="D119" s="211" t="s">
        <v>303</v>
      </c>
      <c r="E119" s="211" t="str">
        <f t="shared" si="1"/>
        <v>Feb Service Internet Cable TV</v>
      </c>
      <c r="F119" s="211" t="s">
        <v>15</v>
      </c>
      <c r="G119" s="211" t="str">
        <f>IFERROR(VLOOKUP(F119,'2020 Budget'!$A$4:$B$462,2,FALSE),"N/F")</f>
        <v>09. Internet TV Entertainment Electronics</v>
      </c>
      <c r="H119" s="211">
        <v>-61.09</v>
      </c>
      <c r="I119" s="214">
        <v>-7208.8700000000008</v>
      </c>
      <c r="J119" s="211"/>
      <c r="K119" s="208">
        <f>SUMIF($J$3:J119,"P",$H$3:H119)</f>
        <v>0</v>
      </c>
    </row>
    <row r="120" spans="1:11" hidden="1">
      <c r="A120" s="211" t="s">
        <v>263</v>
      </c>
      <c r="B120" s="211" t="str">
        <f>VLOOKUP(MONTH(C120),'Lookup Tables'!$A$3:$B$14,2,FALSE)</f>
        <v>Feb</v>
      </c>
      <c r="C120" s="213">
        <v>43876</v>
      </c>
      <c r="D120" s="211" t="s">
        <v>522</v>
      </c>
      <c r="E120" s="211" t="str">
        <f t="shared" si="1"/>
        <v>Feb Clothing</v>
      </c>
      <c r="F120" s="211" t="s">
        <v>17</v>
      </c>
      <c r="G120" s="211" t="str">
        <f>IFERROR(VLOOKUP(F120,'2020 Budget'!$A$4:$B$462,2,FALSE),"N/F")</f>
        <v>04. Family Expenses</v>
      </c>
      <c r="H120" s="211">
        <v>-23.19</v>
      </c>
      <c r="I120" s="214">
        <v>-7232.06</v>
      </c>
      <c r="J120" s="212"/>
      <c r="K120" s="208">
        <f>SUMIF($J$3:J120,"P",$H$3:H120)</f>
        <v>0</v>
      </c>
    </row>
    <row r="121" spans="1:11" hidden="1">
      <c r="A121" s="211" t="s">
        <v>263</v>
      </c>
      <c r="B121" s="211" t="str">
        <f>VLOOKUP(MONTH(C121),'Lookup Tables'!$A$3:$B$14,2,FALSE)</f>
        <v>Feb</v>
      </c>
      <c r="C121" s="213">
        <v>43877</v>
      </c>
      <c r="D121" s="211" t="s">
        <v>471</v>
      </c>
      <c r="E121" s="211" t="str">
        <f t="shared" si="1"/>
        <v>Feb Payment Other</v>
      </c>
      <c r="F121" s="217" t="s">
        <v>365</v>
      </c>
      <c r="G121" s="211" t="str">
        <f>IFERROR(VLOOKUP(F121,'2020 Budget'!$A$4:$B$462,2,FALSE),"N/F")</f>
        <v>16. Not Tracked</v>
      </c>
      <c r="H121" s="211">
        <v>5592.72</v>
      </c>
      <c r="I121" s="214">
        <v>-1639.3400000000004</v>
      </c>
      <c r="J121" s="215"/>
      <c r="K121" s="208">
        <f>SUMIF($J$3:J121,"P",$H$3:H121)</f>
        <v>0</v>
      </c>
    </row>
    <row r="122" spans="1:11" hidden="1">
      <c r="A122" s="211" t="s">
        <v>263</v>
      </c>
      <c r="B122" s="211" t="str">
        <f>VLOOKUP(MONTH(C122),'Lookup Tables'!$A$3:$B$14,2,FALSE)</f>
        <v>Feb</v>
      </c>
      <c r="C122" s="213">
        <v>43877</v>
      </c>
      <c r="D122" s="211" t="s">
        <v>3</v>
      </c>
      <c r="E122" s="211" t="str">
        <f t="shared" si="1"/>
        <v>Feb Phil Online Game Purchases</v>
      </c>
      <c r="F122" s="211" t="s">
        <v>318</v>
      </c>
      <c r="G122" s="211" t="str">
        <f>IFERROR(VLOOKUP(F122,'2020 Budget'!$A$4:$B$462,2,FALSE),"N/F")</f>
        <v>11. Phil Work Ethic</v>
      </c>
      <c r="H122" s="211">
        <v>-9.99</v>
      </c>
      <c r="I122" s="214">
        <v>-1649.3300000000004</v>
      </c>
      <c r="J122" s="220"/>
      <c r="K122" s="208">
        <f>SUMIF($J$3:J122,"P",$H$3:H122)</f>
        <v>0</v>
      </c>
    </row>
    <row r="123" spans="1:11" hidden="1">
      <c r="A123" s="211" t="s">
        <v>263</v>
      </c>
      <c r="B123" s="211" t="str">
        <f>VLOOKUP(MONTH(C123),'Lookup Tables'!$A$3:$B$14,2,FALSE)</f>
        <v>Feb</v>
      </c>
      <c r="C123" s="213">
        <v>43879</v>
      </c>
      <c r="D123" s="211" t="s">
        <v>504</v>
      </c>
      <c r="E123" s="211" t="str">
        <f t="shared" si="1"/>
        <v>Feb Service Computer</v>
      </c>
      <c r="F123" s="211" t="s">
        <v>88</v>
      </c>
      <c r="G123" s="211" t="str">
        <f>IFERROR(VLOOKUP(F123,'2020 Budget'!$A$4:$B$462,2,FALSE),"N/F")</f>
        <v>09. Internet TV Entertainment Electronics</v>
      </c>
      <c r="H123" s="211">
        <v>-0.99</v>
      </c>
      <c r="I123" s="214">
        <v>-1650.3200000000004</v>
      </c>
      <c r="J123" s="211"/>
      <c r="K123" s="208">
        <f>SUMIF($J$3:J123,"P",$H$3:H123)</f>
        <v>0</v>
      </c>
    </row>
    <row r="124" spans="1:11" hidden="1">
      <c r="A124" s="211" t="s">
        <v>263</v>
      </c>
      <c r="B124" s="211" t="str">
        <f>VLOOKUP(MONTH(C124),'Lookup Tables'!$A$3:$B$14,2,FALSE)</f>
        <v>Feb</v>
      </c>
      <c r="C124" s="213">
        <v>43880</v>
      </c>
      <c r="D124" s="211" t="s">
        <v>523</v>
      </c>
      <c r="E124" s="211" t="str">
        <f t="shared" si="1"/>
        <v>Feb Groceries</v>
      </c>
      <c r="F124" s="211" t="s">
        <v>11</v>
      </c>
      <c r="G124" s="211" t="str">
        <f>IFERROR(VLOOKUP(F124,'2020 Budget'!$A$4:$B$462,2,FALSE),"N/F")</f>
        <v>04. Family Expenses</v>
      </c>
      <c r="H124" s="211">
        <v>23.19</v>
      </c>
      <c r="I124" s="214">
        <v>-1627.1300000000003</v>
      </c>
      <c r="J124" s="211"/>
      <c r="K124" s="208">
        <f>SUMIF($J$3:J124,"P",$H$3:H124)</f>
        <v>0</v>
      </c>
    </row>
    <row r="125" spans="1:11" hidden="1">
      <c r="A125" s="211" t="s">
        <v>263</v>
      </c>
      <c r="B125" s="211" t="str">
        <f>VLOOKUP(MONTH(C125),'Lookup Tables'!$A$3:$B$14,2,FALSE)</f>
        <v>Feb</v>
      </c>
      <c r="C125" s="213">
        <v>43881</v>
      </c>
      <c r="D125" s="211" t="s">
        <v>3</v>
      </c>
      <c r="E125" s="211" t="str">
        <f t="shared" si="1"/>
        <v>Feb Phil Online Game Purchases</v>
      </c>
      <c r="F125" s="211" t="s">
        <v>318</v>
      </c>
      <c r="G125" s="211" t="str">
        <f>IFERROR(VLOOKUP(F125,'2020 Budget'!$A$4:$B$462,2,FALSE),"N/F")</f>
        <v>11. Phil Work Ethic</v>
      </c>
      <c r="H125" s="211">
        <v>-9.99</v>
      </c>
      <c r="I125" s="214">
        <v>-1637.1200000000003</v>
      </c>
      <c r="J125" s="211"/>
      <c r="K125" s="208">
        <f>SUMIF($J$3:J125,"P",$H$3:H125)</f>
        <v>0</v>
      </c>
    </row>
    <row r="126" spans="1:11" hidden="1">
      <c r="A126" s="211" t="s">
        <v>263</v>
      </c>
      <c r="B126" s="211" t="str">
        <f>VLOOKUP(MONTH(C126),'Lookup Tables'!$A$3:$B$14,2,FALSE)</f>
        <v>Feb</v>
      </c>
      <c r="C126" s="213">
        <v>43881</v>
      </c>
      <c r="D126" s="211" t="s">
        <v>479</v>
      </c>
      <c r="E126" s="211" t="str">
        <f t="shared" si="1"/>
        <v>Feb Clothing</v>
      </c>
      <c r="F126" s="217" t="s">
        <v>17</v>
      </c>
      <c r="G126" s="211" t="str">
        <f>IFERROR(VLOOKUP(F126,'2020 Budget'!$A$4:$B$462,2,FALSE),"N/F")</f>
        <v>04. Family Expenses</v>
      </c>
      <c r="H126" s="211">
        <v>-20.13</v>
      </c>
      <c r="I126" s="214">
        <v>-1657.2500000000005</v>
      </c>
      <c r="J126" s="211"/>
      <c r="K126" s="208">
        <f>SUMIF($J$3:J126,"P",$H$3:H126)</f>
        <v>0</v>
      </c>
    </row>
    <row r="127" spans="1:11" hidden="1">
      <c r="A127" s="211" t="s">
        <v>263</v>
      </c>
      <c r="B127" s="211" t="str">
        <f>VLOOKUP(MONTH(C127),'Lookup Tables'!$A$3:$B$14,2,FALSE)</f>
        <v>Feb</v>
      </c>
      <c r="C127" s="213">
        <v>43882</v>
      </c>
      <c r="D127" s="211" t="s">
        <v>478</v>
      </c>
      <c r="E127" s="211" t="str">
        <f t="shared" si="1"/>
        <v>Feb Service Internet Cable TV</v>
      </c>
      <c r="F127" s="211" t="s">
        <v>15</v>
      </c>
      <c r="G127" s="211" t="str">
        <f>IFERROR(VLOOKUP(F127,'2020 Budget'!$A$4:$B$462,2,FALSE),"N/F")</f>
        <v>09. Internet TV Entertainment Electronics</v>
      </c>
      <c r="H127" s="211">
        <v>-12.99</v>
      </c>
      <c r="I127" s="214">
        <v>-1670.2400000000005</v>
      </c>
      <c r="J127" s="211"/>
      <c r="K127" s="208">
        <f>SUMIF($J$3:J127,"P",$H$3:H127)</f>
        <v>0</v>
      </c>
    </row>
    <row r="128" spans="1:11" hidden="1">
      <c r="A128" s="211" t="s">
        <v>263</v>
      </c>
      <c r="B128" s="211" t="str">
        <f>VLOOKUP(MONTH(C128),'Lookup Tables'!$A$3:$B$14,2,FALSE)</f>
        <v>Feb</v>
      </c>
      <c r="C128" s="213">
        <v>43882</v>
      </c>
      <c r="D128" s="211" t="s">
        <v>522</v>
      </c>
      <c r="E128" s="211" t="str">
        <f t="shared" si="1"/>
        <v>Feb Clothing</v>
      </c>
      <c r="F128" s="211" t="s">
        <v>17</v>
      </c>
      <c r="G128" s="211" t="str">
        <f>IFERROR(VLOOKUP(F128,'2020 Budget'!$A$4:$B$462,2,FALSE),"N/F")</f>
        <v>04. Family Expenses</v>
      </c>
      <c r="H128" s="211">
        <v>-23.19</v>
      </c>
      <c r="I128" s="214">
        <v>-1693.4300000000005</v>
      </c>
      <c r="J128" s="212"/>
      <c r="K128" s="208">
        <f>SUMIF($J$3:J128,"P",$H$3:H128)</f>
        <v>0</v>
      </c>
    </row>
    <row r="129" spans="1:11" hidden="1">
      <c r="A129" s="211" t="s">
        <v>263</v>
      </c>
      <c r="B129" s="211" t="str">
        <f>VLOOKUP(MONTH(C129),'Lookup Tables'!$A$3:$B$14,2,FALSE)</f>
        <v>Feb</v>
      </c>
      <c r="C129" s="213">
        <v>43885</v>
      </c>
      <c r="D129" s="211" t="s">
        <v>510</v>
      </c>
      <c r="E129" s="211" t="str">
        <f t="shared" si="1"/>
        <v>Feb Clothing</v>
      </c>
      <c r="F129" s="217" t="s">
        <v>17</v>
      </c>
      <c r="G129" s="211" t="str">
        <f>IFERROR(VLOOKUP(F129,'2020 Budget'!$A$4:$B$462,2,FALSE),"N/F")</f>
        <v>04. Family Expenses</v>
      </c>
      <c r="H129" s="211">
        <v>-14.8</v>
      </c>
      <c r="I129" s="214">
        <v>-1708.2300000000005</v>
      </c>
      <c r="J129" s="215"/>
      <c r="K129" s="208">
        <f>SUMIF($J$3:J129,"P",$H$3:H129)</f>
        <v>0</v>
      </c>
    </row>
    <row r="130" spans="1:11" hidden="1">
      <c r="A130" s="211" t="s">
        <v>263</v>
      </c>
      <c r="B130" s="211" t="str">
        <f>VLOOKUP(MONTH(C130),'Lookup Tables'!$A$3:$B$14,2,FALSE)</f>
        <v>Feb</v>
      </c>
      <c r="C130" s="213">
        <v>43885</v>
      </c>
      <c r="D130" s="211" t="s">
        <v>477</v>
      </c>
      <c r="E130" s="211" t="str">
        <f t="shared" ref="E130:E193" si="2">B130&amp;" "&amp;F130</f>
        <v>Feb Dog Food</v>
      </c>
      <c r="F130" s="217" t="s">
        <v>130</v>
      </c>
      <c r="G130" s="211" t="str">
        <f>IFERROR(VLOOKUP(F130,'2020 Budget'!$A$4:$B$462,2,FALSE),"N/F")</f>
        <v>08. Dogs Expenses</v>
      </c>
      <c r="H130" s="211">
        <f>-28.68*2/3</f>
        <v>-19.12</v>
      </c>
      <c r="I130" s="214">
        <v>-1727.3500000000004</v>
      </c>
      <c r="J130" s="216"/>
      <c r="K130" s="208">
        <f>SUMIF($J$3:J130,"P",$H$3:H130)</f>
        <v>0</v>
      </c>
    </row>
    <row r="131" spans="1:11" hidden="1">
      <c r="A131" s="211" t="s">
        <v>263</v>
      </c>
      <c r="B131" s="211" t="str">
        <f>VLOOKUP(MONTH(C131),'Lookup Tables'!$A$3:$B$14,2,FALSE)</f>
        <v>Feb</v>
      </c>
      <c r="C131" s="213">
        <v>43885</v>
      </c>
      <c r="D131" s="211" t="s">
        <v>477</v>
      </c>
      <c r="E131" s="211" t="str">
        <f t="shared" si="2"/>
        <v>Feb Mom Dog Food</v>
      </c>
      <c r="F131" s="217" t="s">
        <v>129</v>
      </c>
      <c r="G131" s="211" t="str">
        <f>IFERROR(VLOOKUP(F131,'2020 Budget'!$A$4:$B$462,2,FALSE),"N/F")</f>
        <v>10. Mom Expenses</v>
      </c>
      <c r="H131" s="211">
        <f>-28.68*1/3</f>
        <v>-9.56</v>
      </c>
      <c r="I131" s="214">
        <v>-1736.9100000000003</v>
      </c>
      <c r="J131" s="215"/>
      <c r="K131" s="208">
        <f>SUMIF($J$3:J131,"P",$H$3:H131)</f>
        <v>0</v>
      </c>
    </row>
    <row r="132" spans="1:11" hidden="1">
      <c r="A132" s="211" t="s">
        <v>263</v>
      </c>
      <c r="B132" s="211" t="str">
        <f>VLOOKUP(MONTH(C132),'Lookup Tables'!$A$3:$B$14,2,FALSE)</f>
        <v>Feb</v>
      </c>
      <c r="C132" s="213">
        <v>43886</v>
      </c>
      <c r="D132" s="211" t="s">
        <v>516</v>
      </c>
      <c r="E132" s="211" t="str">
        <f t="shared" si="2"/>
        <v>Feb Groceries</v>
      </c>
      <c r="F132" s="211" t="s">
        <v>11</v>
      </c>
      <c r="G132" s="211" t="str">
        <f>IFERROR(VLOOKUP(F132,'2020 Budget'!$A$4:$B$462,2,FALSE),"N/F")</f>
        <v>04. Family Expenses</v>
      </c>
      <c r="H132" s="211">
        <v>-7.45</v>
      </c>
      <c r="I132" s="214">
        <v>-1744.3600000000004</v>
      </c>
      <c r="J132" s="216"/>
      <c r="K132" s="208">
        <f>SUMIF($J$3:J132,"P",$H$3:H132)</f>
        <v>0</v>
      </c>
    </row>
    <row r="133" spans="1:11" hidden="1">
      <c r="A133" s="211" t="s">
        <v>263</v>
      </c>
      <c r="B133" s="211" t="str">
        <f>VLOOKUP(MONTH(C133),'Lookup Tables'!$A$3:$B$14,2,FALSE)</f>
        <v>Feb</v>
      </c>
      <c r="C133" s="213">
        <v>43888</v>
      </c>
      <c r="D133" s="211" t="s">
        <v>504</v>
      </c>
      <c r="E133" s="211" t="str">
        <f t="shared" si="2"/>
        <v>Feb Service Computer</v>
      </c>
      <c r="F133" s="211" t="s">
        <v>88</v>
      </c>
      <c r="G133" s="211" t="str">
        <f>IFERROR(VLOOKUP(F133,'2020 Budget'!$A$4:$B$462,2,FALSE),"N/F")</f>
        <v>09. Internet TV Entertainment Electronics</v>
      </c>
      <c r="H133" s="211">
        <v>-0.99</v>
      </c>
      <c r="I133" s="214">
        <v>-1745.3500000000004</v>
      </c>
      <c r="J133" s="211"/>
      <c r="K133" s="208">
        <f>SUMIF($J$3:J133,"P",$H$3:H133)</f>
        <v>0</v>
      </c>
    </row>
    <row r="134" spans="1:11" hidden="1">
      <c r="A134" s="211" t="s">
        <v>263</v>
      </c>
      <c r="B134" s="211" t="str">
        <f>VLOOKUP(MONTH(C134),'Lookup Tables'!$A$3:$B$14,2,FALSE)</f>
        <v>Feb</v>
      </c>
      <c r="C134" s="213">
        <v>43888</v>
      </c>
      <c r="D134" s="211" t="s">
        <v>476</v>
      </c>
      <c r="E134" s="211" t="str">
        <f t="shared" si="2"/>
        <v>Feb Service DTE Electrical Natural Gas</v>
      </c>
      <c r="F134" s="217" t="s">
        <v>146</v>
      </c>
      <c r="G134" s="211" t="str">
        <f>IFERROR(VLOOKUP(F134,'2020 Budget'!$A$4:$B$462,2,FALSE),"N/F")</f>
        <v>04. Household Expenses</v>
      </c>
      <c r="H134" s="211">
        <v>-243.58</v>
      </c>
      <c r="I134" s="214">
        <v>-1988.9300000000003</v>
      </c>
      <c r="J134" s="212"/>
      <c r="K134" s="208">
        <f>SUMIF($J$3:J134,"P",$H$3:H134)</f>
        <v>0</v>
      </c>
    </row>
    <row r="135" spans="1:11" hidden="1">
      <c r="A135" s="211" t="s">
        <v>263</v>
      </c>
      <c r="B135" s="211" t="str">
        <f>VLOOKUP(MONTH(C135),'Lookup Tables'!$A$3:$B$14,2,FALSE)</f>
        <v>Feb</v>
      </c>
      <c r="C135" s="213">
        <v>43890</v>
      </c>
      <c r="D135" s="211" t="s">
        <v>475</v>
      </c>
      <c r="E135" s="211" t="str">
        <f t="shared" si="2"/>
        <v>Feb Dog Food</v>
      </c>
      <c r="F135" s="217" t="s">
        <v>130</v>
      </c>
      <c r="G135" s="211" t="str">
        <f>IFERROR(VLOOKUP(F135,'2020 Budget'!$A$4:$B$462,2,FALSE),"N/F")</f>
        <v>08. Dogs Expenses</v>
      </c>
      <c r="H135" s="211">
        <f>-28.68*2/3</f>
        <v>-19.12</v>
      </c>
      <c r="I135" s="214">
        <v>-2008.0500000000002</v>
      </c>
      <c r="J135" s="215"/>
      <c r="K135" s="208">
        <f>SUMIF($J$3:J135,"P",$H$3:H135)</f>
        <v>0</v>
      </c>
    </row>
    <row r="136" spans="1:11" hidden="1">
      <c r="A136" s="211" t="s">
        <v>263</v>
      </c>
      <c r="B136" s="211" t="str">
        <f>VLOOKUP(MONTH(C136),'Lookup Tables'!$A$3:$B$14,2,FALSE)</f>
        <v>Feb</v>
      </c>
      <c r="C136" s="213">
        <v>43890</v>
      </c>
      <c r="D136" s="211" t="s">
        <v>475</v>
      </c>
      <c r="E136" s="211" t="str">
        <f t="shared" si="2"/>
        <v>Feb Mom Dog Food</v>
      </c>
      <c r="F136" s="217" t="s">
        <v>129</v>
      </c>
      <c r="G136" s="211" t="str">
        <f>IFERROR(VLOOKUP(F136,'2020 Budget'!$A$4:$B$462,2,FALSE),"N/F")</f>
        <v>10. Mom Expenses</v>
      </c>
      <c r="H136" s="211">
        <f>-28.68*1/3</f>
        <v>-9.56</v>
      </c>
      <c r="I136" s="214">
        <v>-2017.6100000000001</v>
      </c>
      <c r="J136" s="211"/>
      <c r="K136" s="208">
        <f>SUMIF($J$3:J136,"P",$H$3:H136)</f>
        <v>0</v>
      </c>
    </row>
    <row r="137" spans="1:11" hidden="1">
      <c r="A137" s="211" t="s">
        <v>263</v>
      </c>
      <c r="B137" s="211" t="str">
        <f>VLOOKUP(MONTH(C137),'Lookup Tables'!$A$3:$B$14,2,FALSE)</f>
        <v>Mar</v>
      </c>
      <c r="C137" s="213">
        <v>43891</v>
      </c>
      <c r="D137" s="211" t="s">
        <v>3</v>
      </c>
      <c r="E137" s="211" t="str">
        <f t="shared" si="2"/>
        <v>Mar Phil Online Game Purchases</v>
      </c>
      <c r="F137" s="211" t="s">
        <v>318</v>
      </c>
      <c r="G137" s="211" t="str">
        <f>IFERROR(VLOOKUP(F137,'2020 Budget'!$A$4:$B$462,2,FALSE),"N/F")</f>
        <v>11. Phil Work Ethic</v>
      </c>
      <c r="H137" s="211">
        <v>-4.99</v>
      </c>
      <c r="I137" s="214">
        <v>-2022.6000000000001</v>
      </c>
      <c r="J137" s="211"/>
      <c r="K137" s="208">
        <f>SUMIF($J$3:J137,"P",$H$3:H137)</f>
        <v>0</v>
      </c>
    </row>
    <row r="138" spans="1:11" hidden="1">
      <c r="A138" s="211" t="s">
        <v>263</v>
      </c>
      <c r="B138" s="211" t="str">
        <f>VLOOKUP(MONTH(C138),'Lookup Tables'!$A$3:$B$14,2,FALSE)</f>
        <v>Mar</v>
      </c>
      <c r="C138" s="213">
        <v>43891</v>
      </c>
      <c r="D138" s="211" t="s">
        <v>474</v>
      </c>
      <c r="E138" s="211" t="str">
        <f t="shared" si="2"/>
        <v>Mar CPBA Linked In</v>
      </c>
      <c r="F138" s="211" t="s">
        <v>531</v>
      </c>
      <c r="G138" s="211" t="str">
        <f>IFERROR(VLOOKUP(F138,'2020 Budget'!$A$4:$B$462,2,FALSE),"N/F")</f>
        <v>03. CP Business Analysis Expenses</v>
      </c>
      <c r="H138" s="211">
        <v>-29.99</v>
      </c>
      <c r="I138" s="214">
        <v>-2052.59</v>
      </c>
      <c r="J138" s="212"/>
      <c r="K138" s="208">
        <f>SUMIF($J$3:J138,"P",$H$3:H138)</f>
        <v>0</v>
      </c>
    </row>
    <row r="139" spans="1:11" hidden="1">
      <c r="A139" s="211" t="s">
        <v>263</v>
      </c>
      <c r="B139" s="211" t="str">
        <f>VLOOKUP(MONTH(C139),'Lookup Tables'!$A$3:$B$14,2,FALSE)</f>
        <v>Mar</v>
      </c>
      <c r="C139" s="213">
        <v>43893</v>
      </c>
      <c r="D139" s="211" t="s">
        <v>511</v>
      </c>
      <c r="E139" s="211" t="str">
        <f t="shared" si="2"/>
        <v>Mar Merchandise Home</v>
      </c>
      <c r="F139" s="217" t="s">
        <v>19</v>
      </c>
      <c r="G139" s="211" t="str">
        <f>IFERROR(VLOOKUP(F139,'2020 Budget'!$A$4:$B$462,2,FALSE),"N/F")</f>
        <v>04. Household Expenses</v>
      </c>
      <c r="H139" s="211">
        <v>-31.42</v>
      </c>
      <c r="I139" s="214">
        <v>-2084.0100000000002</v>
      </c>
      <c r="J139" s="211"/>
      <c r="K139" s="208">
        <f>SUMIF($J$3:J139,"P",$H$3:H139)</f>
        <v>0</v>
      </c>
    </row>
    <row r="140" spans="1:11" hidden="1">
      <c r="A140" s="211" t="s">
        <v>263</v>
      </c>
      <c r="B140" s="211" t="str">
        <f>VLOOKUP(MONTH(C140),'Lookup Tables'!$A$3:$B$14,2,FALSE)</f>
        <v>Mar</v>
      </c>
      <c r="C140" s="213">
        <v>43893</v>
      </c>
      <c r="D140" s="211" t="s">
        <v>342</v>
      </c>
      <c r="E140" s="211" t="str">
        <f t="shared" si="2"/>
        <v>Mar Merchandise Computer</v>
      </c>
      <c r="F140" s="217" t="s">
        <v>35</v>
      </c>
      <c r="G140" s="211" t="str">
        <f>IFERROR(VLOOKUP(F140,'2020 Budget'!$A$4:$B$462,2,FALSE),"N/F")</f>
        <v>09. Internet TV Entertainment Electronics</v>
      </c>
      <c r="H140" s="211">
        <v>-7</v>
      </c>
      <c r="I140" s="214">
        <v>-2091.0100000000002</v>
      </c>
      <c r="J140" s="211"/>
      <c r="K140" s="208">
        <f>SUMIF($J$3:J140,"P",$H$3:H140)</f>
        <v>0</v>
      </c>
    </row>
    <row r="141" spans="1:11" hidden="1">
      <c r="A141" s="211" t="s">
        <v>263</v>
      </c>
      <c r="B141" s="211" t="str">
        <f>VLOOKUP(MONTH(C141),'Lookup Tables'!$A$3:$B$14,2,FALSE)</f>
        <v>Mar</v>
      </c>
      <c r="C141" s="213">
        <v>43898</v>
      </c>
      <c r="D141" s="211" t="s">
        <v>473</v>
      </c>
      <c r="E141" s="211" t="str">
        <f t="shared" si="2"/>
        <v>Mar Service Internet Cable TV</v>
      </c>
      <c r="F141" s="211" t="s">
        <v>15</v>
      </c>
      <c r="G141" s="211" t="str">
        <f>IFERROR(VLOOKUP(F141,'2020 Budget'!$A$4:$B$462,2,FALSE),"N/F")</f>
        <v>09. Internet TV Entertainment Electronics</v>
      </c>
      <c r="H141" s="211">
        <v>-6.99</v>
      </c>
      <c r="I141" s="214">
        <v>-2098</v>
      </c>
      <c r="J141" s="211"/>
      <c r="K141" s="208">
        <f>SUMIF($J$3:J141,"P",$H$3:H141)</f>
        <v>0</v>
      </c>
    </row>
    <row r="142" spans="1:11" hidden="1">
      <c r="A142" s="211" t="s">
        <v>263</v>
      </c>
      <c r="B142" s="211" t="str">
        <f>VLOOKUP(MONTH(C142),'Lookup Tables'!$A$3:$B$14,2,FALSE)</f>
        <v>Mar</v>
      </c>
      <c r="C142" s="213">
        <v>43899</v>
      </c>
      <c r="D142" s="211" t="s">
        <v>311</v>
      </c>
      <c r="E142" s="211" t="str">
        <f t="shared" si="2"/>
        <v>Mar CPBA Adv Education/Certifications</v>
      </c>
      <c r="F142" s="218" t="s">
        <v>657</v>
      </c>
      <c r="G142" s="211" t="str">
        <f>IFERROR(VLOOKUP(F142,'2020 Budget'!$A$4:$B$462,2,FALSE),"N/F")</f>
        <v>03. CP Business Analysis Expenses</v>
      </c>
      <c r="H142" s="211">
        <v>-49</v>
      </c>
      <c r="I142" s="214">
        <v>-2147</v>
      </c>
      <c r="J142" s="211"/>
      <c r="K142" s="208">
        <f>SUMIF($J$3:J142,"P",$H$3:H142)</f>
        <v>0</v>
      </c>
    </row>
    <row r="143" spans="1:11" hidden="1">
      <c r="A143" s="211" t="s">
        <v>263</v>
      </c>
      <c r="B143" s="211" t="str">
        <f>VLOOKUP(MONTH(C143),'Lookup Tables'!$A$3:$B$14,2,FALSE)</f>
        <v>Mar</v>
      </c>
      <c r="C143" s="213">
        <v>43902</v>
      </c>
      <c r="D143" s="211" t="s">
        <v>507</v>
      </c>
      <c r="E143" s="211" t="str">
        <f t="shared" si="2"/>
        <v>Mar Merchandise Home</v>
      </c>
      <c r="F143" s="217" t="s">
        <v>19</v>
      </c>
      <c r="G143" s="211" t="str">
        <f>IFERROR(VLOOKUP(F143,'2020 Budget'!$A$4:$B$462,2,FALSE),"N/F")</f>
        <v>04. Household Expenses</v>
      </c>
      <c r="H143" s="211">
        <v>-10.59</v>
      </c>
      <c r="I143" s="214">
        <v>-2157.59</v>
      </c>
      <c r="J143" s="215"/>
      <c r="K143" s="208">
        <f>SUMIF($J$3:J143,"P",$H$3:H143)</f>
        <v>0</v>
      </c>
    </row>
    <row r="144" spans="1:11" hidden="1">
      <c r="A144" s="211" t="s">
        <v>263</v>
      </c>
      <c r="B144" s="211" t="str">
        <f>VLOOKUP(MONTH(C144),'Lookup Tables'!$A$3:$B$14,2,FALSE)</f>
        <v>Mar</v>
      </c>
      <c r="C144" s="213">
        <v>43904</v>
      </c>
      <c r="D144" s="211" t="s">
        <v>518</v>
      </c>
      <c r="E144" s="211" t="str">
        <f t="shared" si="2"/>
        <v>Mar Service Computer</v>
      </c>
      <c r="F144" s="211" t="s">
        <v>88</v>
      </c>
      <c r="G144" s="211" t="str">
        <f>IFERROR(VLOOKUP(F144,'2020 Budget'!$A$4:$B$462,2,FALSE),"N/F")</f>
        <v>09. Internet TV Entertainment Electronics</v>
      </c>
      <c r="H144" s="211">
        <v>-0.99</v>
      </c>
      <c r="I144" s="214">
        <v>-2158.58</v>
      </c>
      <c r="J144" s="211"/>
      <c r="K144" s="208">
        <f>SUMIF($J$3:J144,"P",$H$3:H144)</f>
        <v>0</v>
      </c>
    </row>
    <row r="145" spans="1:11" hidden="1">
      <c r="A145" s="211" t="s">
        <v>263</v>
      </c>
      <c r="B145" s="211" t="str">
        <f>VLOOKUP(MONTH(C145),'Lookup Tables'!$A$3:$B$14,2,FALSE)</f>
        <v>Mar</v>
      </c>
      <c r="C145" s="213">
        <v>43904</v>
      </c>
      <c r="D145" s="211" t="s">
        <v>303</v>
      </c>
      <c r="E145" s="211" t="str">
        <f t="shared" si="2"/>
        <v>Mar Service Internet Cable TV</v>
      </c>
      <c r="F145" s="211" t="s">
        <v>15</v>
      </c>
      <c r="G145" s="211" t="str">
        <f>IFERROR(VLOOKUP(F145,'2020 Budget'!$A$4:$B$462,2,FALSE),"N/F")</f>
        <v>09. Internet TV Entertainment Electronics</v>
      </c>
      <c r="H145" s="211">
        <v>-74.73</v>
      </c>
      <c r="I145" s="214">
        <v>-2233.31</v>
      </c>
      <c r="J145" s="212"/>
      <c r="K145" s="208">
        <f>SUMIF($J$3:J145,"P",$H$3:H145)</f>
        <v>0</v>
      </c>
    </row>
    <row r="146" spans="1:11" hidden="1">
      <c r="A146" s="211" t="s">
        <v>263</v>
      </c>
      <c r="B146" s="211" t="str">
        <f>VLOOKUP(MONTH(C146),'Lookup Tables'!$A$3:$B$14,2,FALSE)</f>
        <v>Mar</v>
      </c>
      <c r="C146" s="213">
        <v>43905</v>
      </c>
      <c r="D146" s="211" t="s">
        <v>298</v>
      </c>
      <c r="E146" s="211" t="str">
        <f t="shared" si="2"/>
        <v>Mar Auto Insurance</v>
      </c>
      <c r="F146" s="211" t="s">
        <v>316</v>
      </c>
      <c r="G146" s="211" t="str">
        <f>IFERROR(VLOOKUP(F146,'2020 Budget'!$A$4:$B$462,2,FALSE),"N/F")</f>
        <v>05. Dodge Dart Auto Expenses</v>
      </c>
      <c r="H146" s="211">
        <v>-332.36</v>
      </c>
      <c r="I146" s="214">
        <v>-2565.67</v>
      </c>
      <c r="J146" s="211"/>
      <c r="K146" s="208">
        <f>SUMIF($J$3:J146,"P",$H$3:H146)</f>
        <v>0</v>
      </c>
    </row>
    <row r="147" spans="1:11" hidden="1">
      <c r="A147" s="211" t="s">
        <v>263</v>
      </c>
      <c r="B147" s="211" t="str">
        <f>VLOOKUP(MONTH(C147),'Lookup Tables'!$A$3:$B$14,2,FALSE)</f>
        <v>Mar</v>
      </c>
      <c r="C147" s="213">
        <v>43906</v>
      </c>
      <c r="D147" s="211" t="s">
        <v>471</v>
      </c>
      <c r="E147" s="211" t="str">
        <f t="shared" si="2"/>
        <v>Mar Payment Other</v>
      </c>
      <c r="F147" s="217" t="s">
        <v>365</v>
      </c>
      <c r="G147" s="211" t="str">
        <f>IFERROR(VLOOKUP(F147,'2020 Budget'!$A$4:$B$462,2,FALSE),"N/F")</f>
        <v>16. Not Tracked</v>
      </c>
      <c r="H147" s="211">
        <v>1627.13</v>
      </c>
      <c r="I147" s="214">
        <v>-938.54</v>
      </c>
      <c r="J147" s="212"/>
      <c r="K147" s="208">
        <f>SUMIF($J$3:J147,"P",$H$3:H147)</f>
        <v>0</v>
      </c>
    </row>
    <row r="148" spans="1:11" hidden="1">
      <c r="A148" s="211" t="s">
        <v>263</v>
      </c>
      <c r="B148" s="211" t="str">
        <f>VLOOKUP(MONTH(C148),'Lookup Tables'!$A$3:$B$14,2,FALSE)</f>
        <v>Mar</v>
      </c>
      <c r="C148" s="213">
        <v>43906</v>
      </c>
      <c r="D148" s="211" t="s">
        <v>472</v>
      </c>
      <c r="E148" s="211" t="str">
        <f t="shared" si="2"/>
        <v>Mar Fee NSF</v>
      </c>
      <c r="F148" s="217" t="s">
        <v>94</v>
      </c>
      <c r="G148" s="211" t="str">
        <f>IFERROR(VLOOKUP(F148,'2020 Budget'!$A$4:$B$462,2,FALSE),"N/F")</f>
        <v>14. Undesired Expenses</v>
      </c>
      <c r="H148" s="211">
        <v>-25</v>
      </c>
      <c r="I148" s="214">
        <v>-963.54</v>
      </c>
      <c r="J148" s="216"/>
      <c r="K148" s="208">
        <f>SUMIF($J$3:J148,"P",$H$3:H148)</f>
        <v>0</v>
      </c>
    </row>
    <row r="149" spans="1:11" hidden="1">
      <c r="A149" s="211" t="s">
        <v>263</v>
      </c>
      <c r="B149" s="211" t="str">
        <f>VLOOKUP(MONTH(C149),'Lookup Tables'!$A$3:$B$14,2,FALSE)</f>
        <v>Mar</v>
      </c>
      <c r="C149" s="213">
        <v>43907</v>
      </c>
      <c r="D149" s="211" t="s">
        <v>3</v>
      </c>
      <c r="E149" s="211" t="str">
        <f t="shared" si="2"/>
        <v>Mar Phil Online Game Purchases</v>
      </c>
      <c r="F149" s="211" t="s">
        <v>318</v>
      </c>
      <c r="G149" s="211" t="str">
        <f>IFERROR(VLOOKUP(F149,'2020 Budget'!$A$4:$B$462,2,FALSE),"N/F")</f>
        <v>11. Phil Work Ethic</v>
      </c>
      <c r="H149" s="211">
        <v>-26.49</v>
      </c>
      <c r="I149" s="214">
        <v>-990.03</v>
      </c>
      <c r="J149" s="212"/>
      <c r="K149" s="208">
        <f>SUMIF($J$3:J149,"P",$H$3:H149)</f>
        <v>0</v>
      </c>
    </row>
    <row r="150" spans="1:11" hidden="1">
      <c r="A150" s="211" t="s">
        <v>263</v>
      </c>
      <c r="B150" s="211" t="str">
        <f>VLOOKUP(MONTH(C150),'Lookup Tables'!$A$3:$B$14,2,FALSE)</f>
        <v>Mar</v>
      </c>
      <c r="C150" s="213">
        <v>43908</v>
      </c>
      <c r="D150" s="211" t="s">
        <v>504</v>
      </c>
      <c r="E150" s="211" t="str">
        <f t="shared" si="2"/>
        <v>Mar Service Computer</v>
      </c>
      <c r="F150" s="211" t="s">
        <v>88</v>
      </c>
      <c r="G150" s="211" t="str">
        <f>IFERROR(VLOOKUP(F150,'2020 Budget'!$A$4:$B$462,2,FALSE),"N/F")</f>
        <v>09. Internet TV Entertainment Electronics</v>
      </c>
      <c r="H150" s="211">
        <v>-0.99</v>
      </c>
      <c r="I150" s="214">
        <v>-991.02</v>
      </c>
      <c r="J150" s="212"/>
      <c r="K150" s="208">
        <f>SUMIF($J$3:J150,"P",$H$3:H150)</f>
        <v>0</v>
      </c>
    </row>
    <row r="151" spans="1:11" hidden="1">
      <c r="A151" s="211" t="s">
        <v>263</v>
      </c>
      <c r="B151" s="211" t="str">
        <f>VLOOKUP(MONTH(C151),'Lookup Tables'!$A$3:$B$14,2,FALSE)</f>
        <v>Mar</v>
      </c>
      <c r="C151" s="213">
        <v>43910</v>
      </c>
      <c r="D151" s="211" t="s">
        <v>470</v>
      </c>
      <c r="E151" s="211" t="str">
        <f t="shared" si="2"/>
        <v>Mar Payment Other</v>
      </c>
      <c r="F151" s="217" t="s">
        <v>365</v>
      </c>
      <c r="G151" s="211" t="str">
        <f>IFERROR(VLOOKUP(F151,'2020 Budget'!$A$4:$B$462,2,FALSE),"N/F")</f>
        <v>16. Not Tracked</v>
      </c>
      <c r="H151" s="211">
        <v>-1627.13</v>
      </c>
      <c r="I151" s="211">
        <v>-2618.15</v>
      </c>
      <c r="J151" s="215" t="s">
        <v>360</v>
      </c>
      <c r="K151" s="208">
        <v>-2618.15</v>
      </c>
    </row>
    <row r="152" spans="1:11" hidden="1">
      <c r="A152" s="211" t="s">
        <v>263</v>
      </c>
      <c r="B152" s="211" t="str">
        <f>VLOOKUP(MONTH(C152),'Lookup Tables'!$A$3:$B$14,2,FALSE)</f>
        <v>Mar</v>
      </c>
      <c r="C152" s="213">
        <v>43910</v>
      </c>
      <c r="D152" s="211" t="s">
        <v>80</v>
      </c>
      <c r="E152" s="211" t="str">
        <f t="shared" si="2"/>
        <v>Mar Beginning Balance Other</v>
      </c>
      <c r="F152" s="211" t="s">
        <v>363</v>
      </c>
      <c r="G152" s="211" t="str">
        <f>IFERROR(VLOOKUP(F152,'2020 Budget'!$A$4:$B$462,2,FALSE),"N/F")</f>
        <v>16. Not Tracked</v>
      </c>
      <c r="H152" s="211"/>
      <c r="I152" s="211">
        <v>0</v>
      </c>
      <c r="J152" s="215"/>
      <c r="K152" s="208">
        <f>SUMIF($J$3:J301,"P",$H$3:H301)</f>
        <v>-6507.099999999994</v>
      </c>
    </row>
    <row r="153" spans="1:11" hidden="1">
      <c r="A153" s="211" t="s">
        <v>263</v>
      </c>
      <c r="B153" s="211" t="str">
        <f>VLOOKUP(MONTH(C153),'Lookup Tables'!$A$3:$B$14,2,FALSE)</f>
        <v>Mar</v>
      </c>
      <c r="C153" s="213">
        <v>43910</v>
      </c>
      <c r="D153" s="211" t="s">
        <v>80</v>
      </c>
      <c r="E153" s="211" t="str">
        <f t="shared" si="2"/>
        <v>Mar Beginning Balance Other</v>
      </c>
      <c r="F153" s="211" t="s">
        <v>363</v>
      </c>
      <c r="G153" s="211" t="str">
        <f>IFERROR(VLOOKUP(F153,'2020 Budget'!$A$4:$B$462,2,FALSE),"N/F")</f>
        <v>16. Not Tracked</v>
      </c>
      <c r="H153" s="211">
        <v>-991.02</v>
      </c>
      <c r="I153" s="211">
        <v>-991.02</v>
      </c>
      <c r="J153" s="215" t="s">
        <v>360</v>
      </c>
      <c r="K153" s="208">
        <v>-991.02</v>
      </c>
    </row>
    <row r="154" spans="1:11" hidden="1">
      <c r="A154" s="211" t="s">
        <v>263</v>
      </c>
      <c r="B154" s="211" t="str">
        <f>VLOOKUP(MONTH(C154),'Lookup Tables'!$A$3:$B$14,2,FALSE)</f>
        <v>Mar</v>
      </c>
      <c r="C154" s="213">
        <v>43911</v>
      </c>
      <c r="D154" s="211" t="s">
        <v>469</v>
      </c>
      <c r="E154" s="211" t="str">
        <f t="shared" si="2"/>
        <v>Mar Service Internet Cable TV</v>
      </c>
      <c r="F154" s="211" t="s">
        <v>15</v>
      </c>
      <c r="G154" s="211" t="str">
        <f>IFERROR(VLOOKUP(F154,'2020 Budget'!$A$4:$B$462,2,FALSE),"N/F")</f>
        <v>09. Internet TV Entertainment Electronics</v>
      </c>
      <c r="H154" s="211">
        <v>-12.99</v>
      </c>
      <c r="I154" s="211">
        <v>-2631.14</v>
      </c>
      <c r="J154" s="215" t="s">
        <v>360</v>
      </c>
      <c r="K154" s="208">
        <v>-2631.14</v>
      </c>
    </row>
    <row r="155" spans="1:11" hidden="1">
      <c r="A155" s="211" t="s">
        <v>263</v>
      </c>
      <c r="B155" s="211" t="str">
        <f>VLOOKUP(MONTH(C155),'Lookup Tables'!$A$3:$B$14,2,FALSE)</f>
        <v>Mar</v>
      </c>
      <c r="C155" s="213">
        <v>43913</v>
      </c>
      <c r="D155" s="211" t="s">
        <v>468</v>
      </c>
      <c r="E155" s="211" t="str">
        <f t="shared" si="2"/>
        <v>Mar Dining Fast Food</v>
      </c>
      <c r="F155" s="217" t="s">
        <v>85</v>
      </c>
      <c r="G155" s="211" t="str">
        <f>IFERROR(VLOOKUP(F155,'2020 Budget'!$A$4:$B$462,2,FALSE),"N/F")</f>
        <v>04. Family Expenses</v>
      </c>
      <c r="H155" s="211">
        <v>-13.31</v>
      </c>
      <c r="I155" s="211">
        <v>-2644.45</v>
      </c>
      <c r="J155" s="215" t="s">
        <v>360</v>
      </c>
      <c r="K155" s="208">
        <v>-2644.45</v>
      </c>
    </row>
    <row r="156" spans="1:11" hidden="1">
      <c r="A156" s="211" t="s">
        <v>263</v>
      </c>
      <c r="B156" s="211" t="str">
        <f>VLOOKUP(MONTH(C156),'Lookup Tables'!$A$3:$B$14,2,FALSE)</f>
        <v>Mar</v>
      </c>
      <c r="C156" s="213">
        <v>43914</v>
      </c>
      <c r="D156" s="211" t="s">
        <v>520</v>
      </c>
      <c r="E156" s="211" t="str">
        <f t="shared" si="2"/>
        <v>Mar Service Computer</v>
      </c>
      <c r="F156" s="211" t="s">
        <v>88</v>
      </c>
      <c r="G156" s="211" t="str">
        <f>IFERROR(VLOOKUP(F156,'2020 Budget'!$A$4:$B$462,2,FALSE),"N/F")</f>
        <v>09. Internet TV Entertainment Electronics</v>
      </c>
      <c r="H156" s="211">
        <v>-105.99</v>
      </c>
      <c r="I156" s="211">
        <v>-2750.4399999999996</v>
      </c>
      <c r="J156" s="215" t="s">
        <v>360</v>
      </c>
      <c r="K156" s="208">
        <v>-2750.4399999999996</v>
      </c>
    </row>
    <row r="157" spans="1:11" hidden="1">
      <c r="A157" s="211" t="s">
        <v>263</v>
      </c>
      <c r="B157" s="211" t="str">
        <f>VLOOKUP(MONTH(C157),'Lookup Tables'!$A$3:$B$14,2,FALSE)</f>
        <v>Mar</v>
      </c>
      <c r="C157" s="213">
        <v>43915</v>
      </c>
      <c r="D157" s="211" t="s">
        <v>506</v>
      </c>
      <c r="E157" s="211" t="str">
        <f t="shared" si="2"/>
        <v>Mar Service Computer</v>
      </c>
      <c r="F157" s="211" t="s">
        <v>88</v>
      </c>
      <c r="G157" s="211" t="str">
        <f>IFERROR(VLOOKUP(F157,'2020 Budget'!$A$4:$B$462,2,FALSE),"N/F")</f>
        <v>09. Internet TV Entertainment Electronics</v>
      </c>
      <c r="H157" s="211">
        <v>-24.36</v>
      </c>
      <c r="I157" s="211">
        <v>-2774.7999999999997</v>
      </c>
      <c r="J157" s="215" t="s">
        <v>360</v>
      </c>
      <c r="K157" s="208">
        <v>-2774.7999999999997</v>
      </c>
    </row>
    <row r="158" spans="1:11" hidden="1">
      <c r="A158" s="211" t="s">
        <v>263</v>
      </c>
      <c r="B158" s="211" t="str">
        <f>VLOOKUP(MONTH(C158),'Lookup Tables'!$A$3:$B$14,2,FALSE)</f>
        <v>Mar</v>
      </c>
      <c r="C158" s="213">
        <v>43917</v>
      </c>
      <c r="D158" s="211" t="s">
        <v>504</v>
      </c>
      <c r="E158" s="211" t="str">
        <f t="shared" si="2"/>
        <v>Mar Service Computer</v>
      </c>
      <c r="F158" s="211" t="s">
        <v>88</v>
      </c>
      <c r="G158" s="211" t="str">
        <f>IFERROR(VLOOKUP(F158,'2020 Budget'!$A$4:$B$462,2,FALSE),"N/F")</f>
        <v>09. Internet TV Entertainment Electronics</v>
      </c>
      <c r="H158" s="211">
        <v>-0.99</v>
      </c>
      <c r="I158" s="211">
        <v>-2775.7899999999995</v>
      </c>
      <c r="J158" s="215" t="s">
        <v>360</v>
      </c>
      <c r="K158" s="208">
        <v>-2775.7899999999995</v>
      </c>
    </row>
    <row r="159" spans="1:11" hidden="1">
      <c r="A159" s="211" t="s">
        <v>263</v>
      </c>
      <c r="B159" s="211" t="str">
        <f>VLOOKUP(MONTH(C159),'Lookup Tables'!$A$3:$B$14,2,FALSE)</f>
        <v>Mar</v>
      </c>
      <c r="C159" s="213">
        <v>43917</v>
      </c>
      <c r="D159" s="211" t="s">
        <v>505</v>
      </c>
      <c r="E159" s="211" t="str">
        <f t="shared" si="2"/>
        <v>Mar Service Computer</v>
      </c>
      <c r="F159" s="211" t="s">
        <v>88</v>
      </c>
      <c r="G159" s="211" t="str">
        <f>IFERROR(VLOOKUP(F159,'2020 Budget'!$A$4:$B$462,2,FALSE),"N/F")</f>
        <v>09. Internet TV Entertainment Electronics</v>
      </c>
      <c r="H159" s="211">
        <v>-5.99</v>
      </c>
      <c r="I159" s="211">
        <v>-2781.7799999999993</v>
      </c>
      <c r="J159" s="215" t="s">
        <v>360</v>
      </c>
      <c r="K159" s="208">
        <v>-2781.7799999999993</v>
      </c>
    </row>
    <row r="160" spans="1:11" hidden="1">
      <c r="A160" s="211" t="s">
        <v>263</v>
      </c>
      <c r="B160" s="211" t="str">
        <f>VLOOKUP(MONTH(C160),'Lookup Tables'!$A$3:$B$14,2,FALSE)</f>
        <v>Apr</v>
      </c>
      <c r="C160" s="213">
        <v>43922</v>
      </c>
      <c r="D160" s="211" t="s">
        <v>622</v>
      </c>
      <c r="E160" s="211" t="str">
        <f t="shared" si="2"/>
        <v>Apr CPBA Linked In</v>
      </c>
      <c r="F160" s="217" t="s">
        <v>531</v>
      </c>
      <c r="G160" s="211" t="str">
        <f>IFERROR(VLOOKUP(F160,'2020 Budget'!$A$4:$B$462,2,FALSE),"N/F")</f>
        <v>03. CP Business Analysis Expenses</v>
      </c>
      <c r="H160" s="211">
        <v>-29.99</v>
      </c>
      <c r="I160" s="211">
        <v>-2811.7699999999991</v>
      </c>
      <c r="J160" s="215" t="s">
        <v>360</v>
      </c>
      <c r="K160" s="208">
        <v>-2811.7699999999991</v>
      </c>
    </row>
    <row r="161" spans="1:11" hidden="1">
      <c r="A161" s="211" t="s">
        <v>263</v>
      </c>
      <c r="B161" s="211" t="str">
        <f>VLOOKUP(MONTH(C161),'Lookup Tables'!$A$3:$B$14,2,FALSE)</f>
        <v>Apr</v>
      </c>
      <c r="C161" s="213">
        <v>43924</v>
      </c>
      <c r="D161" s="211" t="s">
        <v>621</v>
      </c>
      <c r="E161" s="211" t="str">
        <f t="shared" si="2"/>
        <v>Apr CPBA Service Computer</v>
      </c>
      <c r="F161" s="218" t="s">
        <v>528</v>
      </c>
      <c r="G161" s="211" t="str">
        <f>IFERROR(VLOOKUP(F161,'2020 Budget'!$A$4:$B$462,2,FALSE),"N/F")</f>
        <v>03. CP Business Analysis Expenses</v>
      </c>
      <c r="H161" s="211">
        <v>-7</v>
      </c>
      <c r="I161" s="211">
        <v>-2818.7699999999991</v>
      </c>
      <c r="J161" s="215" t="s">
        <v>360</v>
      </c>
      <c r="K161" s="208">
        <v>-2818.7699999999991</v>
      </c>
    </row>
    <row r="162" spans="1:11" hidden="1">
      <c r="A162" s="211" t="s">
        <v>263</v>
      </c>
      <c r="B162" s="211" t="str">
        <f>VLOOKUP(MONTH(C162),'Lookup Tables'!$A$3:$B$14,2,FALSE)</f>
        <v>Apr</v>
      </c>
      <c r="C162" s="213">
        <v>43927</v>
      </c>
      <c r="D162" s="211" t="s">
        <v>620</v>
      </c>
      <c r="E162" s="211" t="str">
        <f t="shared" si="2"/>
        <v>Apr Payment OTHER</v>
      </c>
      <c r="F162" s="217" t="s">
        <v>367</v>
      </c>
      <c r="G162" s="211" t="str">
        <f>IFERROR(VLOOKUP(F162,'2020 Budget'!$A$4:$B$462,2,FALSE),"N/F")</f>
        <v>16. Not Tracked</v>
      </c>
      <c r="H162" s="211">
        <v>50</v>
      </c>
      <c r="I162" s="211">
        <v>-2768.7699999999991</v>
      </c>
      <c r="J162" s="215" t="s">
        <v>360</v>
      </c>
      <c r="K162" s="208">
        <v>-2768.7699999999991</v>
      </c>
    </row>
    <row r="163" spans="1:11" hidden="1">
      <c r="A163" s="211" t="s">
        <v>263</v>
      </c>
      <c r="B163" s="211" t="str">
        <f>VLOOKUP(MONTH(C163),'Lookup Tables'!$A$3:$B$14,2,FALSE)</f>
        <v>Apr</v>
      </c>
      <c r="C163" s="213">
        <v>43927</v>
      </c>
      <c r="D163" s="211" t="s">
        <v>467</v>
      </c>
      <c r="E163" s="211" t="str">
        <f t="shared" si="2"/>
        <v>Apr Payment Other</v>
      </c>
      <c r="F163" s="211" t="s">
        <v>365</v>
      </c>
      <c r="G163" s="211" t="str">
        <f>IFERROR(VLOOKUP(F163,'2020 Budget'!$A$4:$B$462,2,FALSE),"N/F")</f>
        <v>16. Not Tracked</v>
      </c>
      <c r="H163" s="211">
        <v>500</v>
      </c>
      <c r="I163" s="211">
        <v>-2268.7699999999991</v>
      </c>
      <c r="J163" s="215" t="s">
        <v>360</v>
      </c>
      <c r="K163" s="208">
        <v>-2268.7699999999991</v>
      </c>
    </row>
    <row r="164" spans="1:11" hidden="1">
      <c r="A164" s="211" t="s">
        <v>263</v>
      </c>
      <c r="B164" s="211" t="str">
        <f>VLOOKUP(MONTH(C164),'Lookup Tables'!$A$3:$B$14,2,FALSE)</f>
        <v>Apr</v>
      </c>
      <c r="C164" s="213">
        <v>43928</v>
      </c>
      <c r="D164" s="211" t="s">
        <v>882</v>
      </c>
      <c r="E164" s="211" t="str">
        <f t="shared" si="2"/>
        <v>Apr CPBA Office Equipment</v>
      </c>
      <c r="F164" s="217" t="s">
        <v>585</v>
      </c>
      <c r="G164" s="211" t="str">
        <f>IFERROR(VLOOKUP(F164,'2020 Budget'!$A$4:$B$462,2,FALSE),"N/F")</f>
        <v>03. CP Business Analysis Expenses</v>
      </c>
      <c r="H164" s="211">
        <v>-88.64</v>
      </c>
      <c r="I164" s="211">
        <v>-2357.4099999999989</v>
      </c>
      <c r="J164" s="215" t="s">
        <v>360</v>
      </c>
      <c r="K164" s="208">
        <v>-2357.4099999999989</v>
      </c>
    </row>
    <row r="165" spans="1:11" hidden="1">
      <c r="A165" s="211" t="s">
        <v>263</v>
      </c>
      <c r="B165" s="211" t="str">
        <f>VLOOKUP(MONTH(C165),'Lookup Tables'!$A$3:$B$14,2,FALSE)</f>
        <v>Apr</v>
      </c>
      <c r="C165" s="213">
        <v>43929</v>
      </c>
      <c r="D165" s="211" t="s">
        <v>473</v>
      </c>
      <c r="E165" s="211" t="str">
        <f t="shared" si="2"/>
        <v>Apr Service Internet Cable TV</v>
      </c>
      <c r="F165" s="211" t="s">
        <v>15</v>
      </c>
      <c r="G165" s="211" t="str">
        <f>IFERROR(VLOOKUP(F165,'2020 Budget'!$A$4:$B$462,2,FALSE),"N/F")</f>
        <v>09. Internet TV Entertainment Electronics</v>
      </c>
      <c r="H165" s="211">
        <v>-6.99</v>
      </c>
      <c r="I165" s="211">
        <v>-2425.1799999999989</v>
      </c>
      <c r="J165" s="215" t="s">
        <v>360</v>
      </c>
      <c r="K165" s="208">
        <v>-2425.1799999999989</v>
      </c>
    </row>
    <row r="166" spans="1:11" hidden="1">
      <c r="A166" s="211" t="s">
        <v>263</v>
      </c>
      <c r="B166" s="211" t="str">
        <f>VLOOKUP(MONTH(C166),'Lookup Tables'!$A$3:$B$14,2,FALSE)</f>
        <v>Apr</v>
      </c>
      <c r="C166" s="213">
        <v>43929</v>
      </c>
      <c r="D166" s="211" t="s">
        <v>541</v>
      </c>
      <c r="E166" s="211" t="str">
        <f t="shared" si="2"/>
        <v>Apr Groceries</v>
      </c>
      <c r="F166" s="211" t="s">
        <v>11</v>
      </c>
      <c r="G166" s="211" t="str">
        <f>IFERROR(VLOOKUP(F166,'2020 Budget'!$A$4:$B$462,2,FALSE),"N/F")</f>
        <v>04. Family Expenses</v>
      </c>
      <c r="H166" s="211">
        <v>-60.78</v>
      </c>
      <c r="I166" s="211">
        <v>-2418.1899999999991</v>
      </c>
      <c r="J166" s="215" t="s">
        <v>360</v>
      </c>
      <c r="K166" s="208">
        <v>-2418.1899999999991</v>
      </c>
    </row>
    <row r="167" spans="1:11" hidden="1">
      <c r="A167" s="211" t="s">
        <v>263</v>
      </c>
      <c r="B167" s="211" t="str">
        <f>VLOOKUP(MONTH(C167),'Lookup Tables'!$A$3:$B$14,2,FALSE)</f>
        <v>Apr</v>
      </c>
      <c r="C167" s="213">
        <v>43932</v>
      </c>
      <c r="D167" s="211" t="s">
        <v>633</v>
      </c>
      <c r="E167" s="211" t="str">
        <f t="shared" si="2"/>
        <v>Apr Merchandise Home</v>
      </c>
      <c r="F167" s="217" t="s">
        <v>19</v>
      </c>
      <c r="G167" s="211" t="str">
        <f>IFERROR(VLOOKUP(F167,'2020 Budget'!$A$4:$B$462,2,FALSE),"N/F")</f>
        <v>04. Household Expenses</v>
      </c>
      <c r="H167" s="211">
        <v>-6.35</v>
      </c>
      <c r="I167" s="211">
        <v>-2480.4799999999987</v>
      </c>
      <c r="J167" s="215" t="s">
        <v>360</v>
      </c>
      <c r="K167" s="208">
        <v>-2480.4799999999987</v>
      </c>
    </row>
    <row r="168" spans="1:11" hidden="1">
      <c r="A168" s="211" t="s">
        <v>263</v>
      </c>
      <c r="B168" s="211" t="str">
        <f>VLOOKUP(MONTH(C168),'Lookup Tables'!$A$3:$B$14,2,FALSE)</f>
        <v>Apr</v>
      </c>
      <c r="C168" s="213">
        <v>43932</v>
      </c>
      <c r="D168" s="211" t="s">
        <v>632</v>
      </c>
      <c r="E168" s="211" t="str">
        <f t="shared" si="2"/>
        <v>Apr Dining Fast Food</v>
      </c>
      <c r="F168" s="217" t="s">
        <v>85</v>
      </c>
      <c r="G168" s="211" t="str">
        <f>IFERROR(VLOOKUP(F168,'2020 Budget'!$A$4:$B$462,2,FALSE),"N/F")</f>
        <v>04. Family Expenses</v>
      </c>
      <c r="H168" s="211">
        <v>-11.12</v>
      </c>
      <c r="I168" s="211">
        <v>-2436.2999999999988</v>
      </c>
      <c r="J168" s="215" t="s">
        <v>360</v>
      </c>
      <c r="K168" s="208">
        <v>-2436.2999999999988</v>
      </c>
    </row>
    <row r="169" spans="1:11" hidden="1">
      <c r="A169" s="211" t="s">
        <v>263</v>
      </c>
      <c r="B169" s="211" t="str">
        <f>VLOOKUP(MONTH(C169),'Lookup Tables'!$A$3:$B$14,2,FALSE)</f>
        <v>Apr</v>
      </c>
      <c r="C169" s="213">
        <v>43932</v>
      </c>
      <c r="D169" s="211" t="s">
        <v>312</v>
      </c>
      <c r="E169" s="211" t="str">
        <f t="shared" si="2"/>
        <v>Apr Groceries</v>
      </c>
      <c r="F169" s="218" t="s">
        <v>11</v>
      </c>
      <c r="G169" s="211" t="str">
        <f>IFERROR(VLOOKUP(F169,'2020 Budget'!$A$4:$B$462,2,FALSE),"N/F")</f>
        <v>04. Family Expenses</v>
      </c>
      <c r="H169" s="211">
        <v>-37.83</v>
      </c>
      <c r="I169" s="211">
        <v>-2474.1299999999987</v>
      </c>
      <c r="J169" s="215" t="s">
        <v>360</v>
      </c>
      <c r="K169" s="208">
        <v>-2474.1299999999987</v>
      </c>
    </row>
    <row r="170" spans="1:11" hidden="1">
      <c r="A170" s="211" t="s">
        <v>263</v>
      </c>
      <c r="B170" s="211" t="str">
        <f>VLOOKUP(MONTH(C170),'Lookup Tables'!$A$3:$B$14,2,FALSE)</f>
        <v>Apr</v>
      </c>
      <c r="C170" s="213">
        <v>43933</v>
      </c>
      <c r="D170" s="211" t="s">
        <v>636</v>
      </c>
      <c r="E170" s="211" t="str">
        <f t="shared" si="2"/>
        <v>Apr Service Internet Cable TV</v>
      </c>
      <c r="F170" s="217" t="s">
        <v>15</v>
      </c>
      <c r="G170" s="211" t="str">
        <f>IFERROR(VLOOKUP(F170,'2020 Budget'!$A$4:$B$462,2,FALSE),"N/F")</f>
        <v>09. Internet TV Entertainment Electronics</v>
      </c>
      <c r="H170" s="211">
        <v>-74.73</v>
      </c>
      <c r="I170" s="211">
        <v>-3151.1299999999983</v>
      </c>
      <c r="J170" s="215" t="s">
        <v>360</v>
      </c>
      <c r="K170" s="208">
        <v>-3151.1299999999983</v>
      </c>
    </row>
    <row r="171" spans="1:11" hidden="1">
      <c r="A171" s="211" t="s">
        <v>263</v>
      </c>
      <c r="B171" s="211" t="str">
        <f>VLOOKUP(MONTH(C171),'Lookup Tables'!$A$3:$B$14,2,FALSE)</f>
        <v>Apr</v>
      </c>
      <c r="C171" s="213">
        <v>43933</v>
      </c>
      <c r="D171" s="211" t="s">
        <v>635</v>
      </c>
      <c r="E171" s="211" t="str">
        <f t="shared" si="2"/>
        <v>Apr Phil Online Game Purchases</v>
      </c>
      <c r="F171" s="217" t="s">
        <v>318</v>
      </c>
      <c r="G171" s="211" t="str">
        <f>IFERROR(VLOOKUP(F171,'2020 Budget'!$A$4:$B$462,2,FALSE),"N/F")</f>
        <v>11. Phil Work Ethic</v>
      </c>
      <c r="H171" s="211">
        <v>-26.49</v>
      </c>
      <c r="I171" s="211">
        <v>-2606.9699999999984</v>
      </c>
      <c r="J171" s="215" t="s">
        <v>360</v>
      </c>
      <c r="K171" s="208">
        <v>-2606.9699999999984</v>
      </c>
    </row>
    <row r="172" spans="1:11" hidden="1">
      <c r="A172" s="211" t="s">
        <v>263</v>
      </c>
      <c r="B172" s="211" t="str">
        <f>VLOOKUP(MONTH(C172),'Lookup Tables'!$A$3:$B$14,2,FALSE)</f>
        <v>Apr</v>
      </c>
      <c r="C172" s="213">
        <v>43933</v>
      </c>
      <c r="D172" s="211" t="s">
        <v>634</v>
      </c>
      <c r="E172" s="211" t="str">
        <f t="shared" si="2"/>
        <v>Apr Dining Fast Food</v>
      </c>
      <c r="F172" s="217" t="s">
        <v>85</v>
      </c>
      <c r="G172" s="211" t="str">
        <f>IFERROR(VLOOKUP(F172,'2020 Budget'!$A$4:$B$462,2,FALSE),"N/F")</f>
        <v>04. Family Expenses</v>
      </c>
      <c r="H172" s="211">
        <v>-100</v>
      </c>
      <c r="I172" s="211">
        <v>-2580.4799999999987</v>
      </c>
      <c r="J172" s="215" t="s">
        <v>360</v>
      </c>
      <c r="K172" s="208">
        <v>-2580.4799999999987</v>
      </c>
    </row>
    <row r="173" spans="1:11" hidden="1">
      <c r="A173" s="211" t="s">
        <v>263</v>
      </c>
      <c r="B173" s="211" t="str">
        <f>VLOOKUP(MONTH(C173),'Lookup Tables'!$A$3:$B$14,2,FALSE)</f>
        <v>Apr</v>
      </c>
      <c r="C173" s="213">
        <v>43933</v>
      </c>
      <c r="D173" s="211" t="s">
        <v>454</v>
      </c>
      <c r="E173" s="211" t="str">
        <f t="shared" si="2"/>
        <v>Apr Phone</v>
      </c>
      <c r="F173" s="211" t="s">
        <v>21</v>
      </c>
      <c r="G173" s="211" t="str">
        <f>IFERROR(VLOOKUP(F173,'2020 Budget'!$A$4:$B$462,2,FALSE),"N/F")</f>
        <v>09. Internet TV Entertainment Electronics</v>
      </c>
      <c r="H173" s="211">
        <f>-1*(469.43-100)</f>
        <v>-369.43</v>
      </c>
      <c r="I173" s="211">
        <v>-2976.3999999999983</v>
      </c>
      <c r="J173" s="215" t="s">
        <v>360</v>
      </c>
      <c r="K173" s="208">
        <v>-2976.3999999999983</v>
      </c>
    </row>
    <row r="174" spans="1:11" hidden="1">
      <c r="A174" s="211" t="s">
        <v>263</v>
      </c>
      <c r="B174" s="211" t="str">
        <f>VLOOKUP(MONTH(C174),'Lookup Tables'!$A$3:$B$14,2,FALSE)</f>
        <v>Apr</v>
      </c>
      <c r="C174" s="213">
        <v>43933</v>
      </c>
      <c r="D174" s="211" t="s">
        <v>454</v>
      </c>
      <c r="E174" s="211" t="str">
        <f t="shared" si="2"/>
        <v>Apr Phone</v>
      </c>
      <c r="F174" s="211" t="s">
        <v>21</v>
      </c>
      <c r="G174" s="211" t="str">
        <f>IFERROR(VLOOKUP(F174,'2020 Budget'!$A$4:$B$462,2,FALSE),"N/F")</f>
        <v>09. Internet TV Entertainment Electronics</v>
      </c>
      <c r="H174" s="211">
        <v>-100</v>
      </c>
      <c r="I174" s="211">
        <v>-3076.3999999999983</v>
      </c>
      <c r="J174" s="215" t="s">
        <v>360</v>
      </c>
      <c r="K174" s="208">
        <v>-3076.3999999999983</v>
      </c>
    </row>
    <row r="175" spans="1:11" hidden="1">
      <c r="A175" s="211" t="s">
        <v>263</v>
      </c>
      <c r="B175" s="211" t="str">
        <f>VLOOKUP(MONTH(C175),'Lookup Tables'!$A$3:$B$14,2,FALSE)</f>
        <v>Apr</v>
      </c>
      <c r="C175" s="213">
        <v>43934</v>
      </c>
      <c r="D175" s="211" t="s">
        <v>468</v>
      </c>
      <c r="E175" s="211" t="str">
        <f t="shared" si="2"/>
        <v>Apr Dining Fast Food</v>
      </c>
      <c r="F175" s="211" t="s">
        <v>85</v>
      </c>
      <c r="G175" s="211" t="str">
        <f>IFERROR(VLOOKUP(F175,'2020 Budget'!$A$4:$B$462,2,FALSE),"N/F")</f>
        <v>04. Family Expenses</v>
      </c>
      <c r="H175" s="211">
        <v>-5.3</v>
      </c>
      <c r="I175" s="211">
        <v>-3156.4299999999985</v>
      </c>
      <c r="J175" s="215" t="s">
        <v>360</v>
      </c>
      <c r="K175" s="208">
        <v>-3156.4299999999985</v>
      </c>
    </row>
    <row r="176" spans="1:11" hidden="1">
      <c r="A176" s="211" t="s">
        <v>263</v>
      </c>
      <c r="B176" s="211" t="str">
        <f>VLOOKUP(MONTH(C176),'Lookup Tables'!$A$3:$B$14,2,FALSE)</f>
        <v>Apr</v>
      </c>
      <c r="C176" s="213">
        <v>43935</v>
      </c>
      <c r="D176" s="211" t="s">
        <v>938</v>
      </c>
      <c r="E176" s="211" t="str">
        <f t="shared" si="2"/>
        <v>Apr Merchandise Home</v>
      </c>
      <c r="F176" s="211" t="s">
        <v>19</v>
      </c>
      <c r="G176" s="211" t="str">
        <f>IFERROR(VLOOKUP(F176,'2020 Budget'!$A$4:$B$462,2,FALSE),"N/F")</f>
        <v>04. Household Expenses</v>
      </c>
      <c r="H176" s="211">
        <v>-2.99</v>
      </c>
      <c r="I176" s="211">
        <v>-3213.2499999999982</v>
      </c>
      <c r="J176" s="215" t="s">
        <v>360</v>
      </c>
      <c r="K176" s="208">
        <v>-3213.2499999999982</v>
      </c>
    </row>
    <row r="177" spans="1:11" hidden="1">
      <c r="A177" s="211" t="s">
        <v>263</v>
      </c>
      <c r="B177" s="211" t="str">
        <f>VLOOKUP(MONTH(C177),'Lookup Tables'!$A$3:$B$14,2,FALSE)</f>
        <v>Apr</v>
      </c>
      <c r="C177" s="213">
        <v>43935</v>
      </c>
      <c r="D177" s="211" t="s">
        <v>903</v>
      </c>
      <c r="E177" s="211" t="str">
        <f t="shared" si="2"/>
        <v>Apr Merchandise HOme</v>
      </c>
      <c r="F177" s="211" t="s">
        <v>956</v>
      </c>
      <c r="G177" s="211" t="str">
        <f>IFERROR(VLOOKUP(F177,'2020 Budget'!$A$4:$B$462,2,FALSE),"N/F")</f>
        <v>04. Household Expenses</v>
      </c>
      <c r="H177" s="211">
        <v>-9.5299999999999994</v>
      </c>
      <c r="I177" s="211">
        <v>-3222.7799999999984</v>
      </c>
      <c r="J177" s="215" t="s">
        <v>360</v>
      </c>
      <c r="K177" s="208">
        <v>-3222.7799999999984</v>
      </c>
    </row>
    <row r="178" spans="1:11" hidden="1">
      <c r="A178" s="211" t="s">
        <v>263</v>
      </c>
      <c r="B178" s="211" t="str">
        <f>VLOOKUP(MONTH(C178),'Lookup Tables'!$A$3:$B$14,2,FALSE)</f>
        <v>Apr</v>
      </c>
      <c r="C178" s="213">
        <v>43935</v>
      </c>
      <c r="D178" s="211" t="s">
        <v>534</v>
      </c>
      <c r="E178" s="211" t="str">
        <f t="shared" si="2"/>
        <v>Apr Dining Fast Food</v>
      </c>
      <c r="F178" s="211" t="s">
        <v>85</v>
      </c>
      <c r="G178" s="211" t="str">
        <f>IFERROR(VLOOKUP(F178,'2020 Budget'!$A$4:$B$462,2,FALSE),"N/F")</f>
        <v>04. Family Expenses</v>
      </c>
      <c r="H178" s="211">
        <v>-9.74</v>
      </c>
      <c r="I178" s="211">
        <v>-3166.1699999999983</v>
      </c>
      <c r="J178" s="215" t="s">
        <v>360</v>
      </c>
      <c r="K178" s="208">
        <v>-3166.1699999999983</v>
      </c>
    </row>
    <row r="179" spans="1:11" hidden="1">
      <c r="A179" s="211" t="s">
        <v>263</v>
      </c>
      <c r="B179" s="211" t="str">
        <f>VLOOKUP(MONTH(C179),'Lookup Tables'!$A$3:$B$14,2,FALSE)</f>
        <v>Apr</v>
      </c>
      <c r="C179" s="213">
        <v>43935</v>
      </c>
      <c r="D179" s="211" t="s">
        <v>483</v>
      </c>
      <c r="E179" s="211" t="str">
        <f t="shared" si="2"/>
        <v>Apr Groceries</v>
      </c>
      <c r="F179" s="211" t="s">
        <v>11</v>
      </c>
      <c r="G179" s="211" t="str">
        <f>IFERROR(VLOOKUP(F179,'2020 Budget'!$A$4:$B$462,2,FALSE),"N/F")</f>
        <v>04. Family Expenses</v>
      </c>
      <c r="H179" s="211">
        <v>-4.38</v>
      </c>
      <c r="I179" s="211">
        <v>-3170.5499999999984</v>
      </c>
      <c r="J179" s="215" t="s">
        <v>360</v>
      </c>
      <c r="K179" s="208">
        <v>-3170.5499999999984</v>
      </c>
    </row>
    <row r="180" spans="1:11" hidden="1">
      <c r="A180" s="211" t="s">
        <v>263</v>
      </c>
      <c r="B180" s="211" t="str">
        <f>VLOOKUP(MONTH(C180),'Lookup Tables'!$A$3:$B$14,2,FALSE)</f>
        <v>Apr</v>
      </c>
      <c r="C180" s="213">
        <v>43935</v>
      </c>
      <c r="D180" s="211" t="s">
        <v>542</v>
      </c>
      <c r="E180" s="211" t="str">
        <f t="shared" si="2"/>
        <v>Apr Groceries</v>
      </c>
      <c r="F180" s="211" t="s">
        <v>11</v>
      </c>
      <c r="G180" s="211" t="str">
        <f>IFERROR(VLOOKUP(F180,'2020 Budget'!$A$4:$B$462,2,FALSE),"N/F")</f>
        <v>04. Family Expenses</v>
      </c>
      <c r="H180" s="211">
        <v>-39.71</v>
      </c>
      <c r="I180" s="211">
        <v>-3210.2599999999984</v>
      </c>
      <c r="J180" s="215" t="s">
        <v>360</v>
      </c>
      <c r="K180" s="208">
        <v>-3210.2599999999984</v>
      </c>
    </row>
    <row r="181" spans="1:11" hidden="1">
      <c r="A181" s="211" t="s">
        <v>263</v>
      </c>
      <c r="B181" s="211" t="str">
        <f>VLOOKUP(MONTH(C181),'Lookup Tables'!$A$3:$B$14,2,FALSE)</f>
        <v>Apr</v>
      </c>
      <c r="C181" s="213">
        <v>43936</v>
      </c>
      <c r="D181" s="211" t="s">
        <v>930</v>
      </c>
      <c r="E181" s="211" t="str">
        <f t="shared" si="2"/>
        <v>Apr Dog Food</v>
      </c>
      <c r="F181" s="211" t="s">
        <v>130</v>
      </c>
      <c r="G181" s="211" t="str">
        <f>IFERROR(VLOOKUP(F181,'2020 Budget'!$A$4:$B$462,2,FALSE),"N/F")</f>
        <v>08. Dogs Expenses</v>
      </c>
      <c r="H181" s="211">
        <f>-33.91*0.666666666666667</f>
        <v>-22.606666666666673</v>
      </c>
      <c r="I181" s="211">
        <v>-3586.136666666665</v>
      </c>
      <c r="J181" s="215" t="s">
        <v>360</v>
      </c>
      <c r="K181" s="208">
        <v>-3586.136666666665</v>
      </c>
    </row>
    <row r="182" spans="1:11" hidden="1">
      <c r="A182" s="211" t="s">
        <v>263</v>
      </c>
      <c r="B182" s="211" t="str">
        <f>VLOOKUP(MONTH(C182),'Lookup Tables'!$A$3:$B$14,2,FALSE)</f>
        <v>Apr</v>
      </c>
      <c r="C182" s="213">
        <v>43936</v>
      </c>
      <c r="D182" s="211" t="s">
        <v>930</v>
      </c>
      <c r="E182" s="211" t="str">
        <f t="shared" si="2"/>
        <v>Apr Mom Dog Food</v>
      </c>
      <c r="F182" s="211" t="s">
        <v>129</v>
      </c>
      <c r="G182" s="211" t="str">
        <f>IFERROR(VLOOKUP(F182,'2020 Budget'!$A$4:$B$462,2,FALSE),"N/F")</f>
        <v>10. Mom Expenses</v>
      </c>
      <c r="H182" s="211">
        <f>-33.91*0.333333333333333</f>
        <v>-11.30333333333332</v>
      </c>
      <c r="I182" s="211">
        <v>-3597.4399999999982</v>
      </c>
      <c r="J182" s="215" t="s">
        <v>360</v>
      </c>
      <c r="K182" s="208">
        <v>-3597.4399999999982</v>
      </c>
    </row>
    <row r="183" spans="1:11" hidden="1">
      <c r="A183" s="211" t="s">
        <v>263</v>
      </c>
      <c r="B183" s="211" t="str">
        <f>VLOOKUP(MONTH(C183),'Lookup Tables'!$A$3:$B$14,2,FALSE)</f>
        <v>Apr</v>
      </c>
      <c r="C183" s="213">
        <v>43936</v>
      </c>
      <c r="D183" s="211" t="s">
        <v>302</v>
      </c>
      <c r="E183" s="211" t="str">
        <f t="shared" si="2"/>
        <v>Apr Service Computer</v>
      </c>
      <c r="F183" s="211" t="s">
        <v>88</v>
      </c>
      <c r="G183" s="211" t="str">
        <f>IFERROR(VLOOKUP(F183,'2020 Budget'!$A$4:$B$462,2,FALSE),"N/F")</f>
        <v>09. Internet TV Entertainment Electronics</v>
      </c>
      <c r="H183" s="211">
        <v>-3.99</v>
      </c>
      <c r="I183" s="211">
        <v>-3601.429999999998</v>
      </c>
      <c r="J183" s="215" t="s">
        <v>360</v>
      </c>
      <c r="K183" s="208">
        <v>-3601.429999999998</v>
      </c>
    </row>
    <row r="184" spans="1:11" hidden="1">
      <c r="A184" s="211" t="s">
        <v>263</v>
      </c>
      <c r="B184" s="211" t="str">
        <f>VLOOKUP(MONTH(C184),'Lookup Tables'!$A$3:$B$14,2,FALSE)</f>
        <v>Apr</v>
      </c>
      <c r="C184" s="213">
        <v>43936</v>
      </c>
      <c r="D184" s="211" t="s">
        <v>298</v>
      </c>
      <c r="E184" s="211" t="str">
        <f t="shared" si="2"/>
        <v>Apr Auto Insurance</v>
      </c>
      <c r="F184" s="211" t="s">
        <v>316</v>
      </c>
      <c r="G184" s="211" t="str">
        <f>IFERROR(VLOOKUP(F184,'2020 Budget'!$A$4:$B$462,2,FALSE),"N/F")</f>
        <v>05. Dodge Dart Auto Expenses</v>
      </c>
      <c r="H184" s="211">
        <v>-340.75</v>
      </c>
      <c r="I184" s="211">
        <v>-3563.5299999999984</v>
      </c>
      <c r="J184" s="215" t="s">
        <v>360</v>
      </c>
      <c r="K184" s="208">
        <v>-3563.5299999999984</v>
      </c>
    </row>
    <row r="185" spans="1:11" hidden="1">
      <c r="A185" s="211" t="s">
        <v>263</v>
      </c>
      <c r="B185" s="211" t="str">
        <f>VLOOKUP(MONTH(C185),'Lookup Tables'!$A$3:$B$14,2,FALSE)</f>
        <v>Apr</v>
      </c>
      <c r="C185" s="213">
        <v>43937</v>
      </c>
      <c r="D185" s="211" t="s">
        <v>929</v>
      </c>
      <c r="E185" s="211" t="str">
        <f t="shared" si="2"/>
        <v>Apr Auto License Plate Fee Sec. State.</v>
      </c>
      <c r="F185" s="218" t="s">
        <v>559</v>
      </c>
      <c r="G185" s="211" t="str">
        <f>IFERROR(VLOOKUP(F185,'2020 Budget'!$A$4:$B$462,2,FALSE),"N/F")</f>
        <v>05. Dodge Dart Auto Expenses</v>
      </c>
      <c r="H185" s="211">
        <v>-124.78</v>
      </c>
      <c r="I185" s="211">
        <v>-3726.2099999999982</v>
      </c>
      <c r="J185" s="215" t="s">
        <v>360</v>
      </c>
      <c r="K185" s="208">
        <v>-3726.2099999999982</v>
      </c>
    </row>
    <row r="186" spans="1:11" hidden="1">
      <c r="A186" s="211" t="s">
        <v>263</v>
      </c>
      <c r="B186" s="211" t="str">
        <f>VLOOKUP(MONTH(C186),'Lookup Tables'!$A$3:$B$14,2,FALSE)</f>
        <v>Apr</v>
      </c>
      <c r="C186" s="213">
        <v>43938</v>
      </c>
      <c r="D186" s="211" t="s">
        <v>298</v>
      </c>
      <c r="E186" s="211" t="str">
        <f t="shared" si="2"/>
        <v>Apr Auto Insurance</v>
      </c>
      <c r="F186" s="211" t="s">
        <v>316</v>
      </c>
      <c r="G186" s="211" t="str">
        <f>IFERROR(VLOOKUP(F186,'2020 Budget'!$A$4:$B$462,2,FALSE),"N/F")</f>
        <v>05. Dodge Dart Auto Expenses</v>
      </c>
      <c r="H186" s="211">
        <v>44.28</v>
      </c>
      <c r="I186" s="211">
        <v>-3681.929999999998</v>
      </c>
      <c r="J186" s="215" t="s">
        <v>360</v>
      </c>
      <c r="K186" s="208">
        <v>-3681.929999999998</v>
      </c>
    </row>
    <row r="187" spans="1:11" hidden="1">
      <c r="A187" s="211" t="s">
        <v>263</v>
      </c>
      <c r="B187" s="211" t="str">
        <f>VLOOKUP(MONTH(C187),'Lookup Tables'!$A$3:$B$14,2,FALSE)</f>
        <v>Apr</v>
      </c>
      <c r="C187" s="213">
        <v>43938</v>
      </c>
      <c r="D187" s="211" t="s">
        <v>903</v>
      </c>
      <c r="E187" s="211" t="str">
        <f t="shared" si="2"/>
        <v>Apr Merchandise HOme</v>
      </c>
      <c r="F187" s="211" t="s">
        <v>956</v>
      </c>
      <c r="G187" s="211" t="str">
        <f>IFERROR(VLOOKUP(F187,'2020 Budget'!$A$4:$B$462,2,FALSE),"N/F")</f>
        <v>04. Household Expenses</v>
      </c>
      <c r="H187" s="211">
        <v>9.5299999999999994</v>
      </c>
      <c r="I187" s="211">
        <v>-3713.5399999999977</v>
      </c>
      <c r="J187" s="215" t="s">
        <v>360</v>
      </c>
      <c r="K187" s="208">
        <v>-3713.5399999999977</v>
      </c>
    </row>
    <row r="188" spans="1:11" hidden="1">
      <c r="A188" s="211" t="s">
        <v>263</v>
      </c>
      <c r="B188" s="211" t="str">
        <f>VLOOKUP(MONTH(C188),'Lookup Tables'!$A$3:$B$14,2,FALSE)</f>
        <v>Apr</v>
      </c>
      <c r="C188" s="213">
        <v>43938</v>
      </c>
      <c r="D188" s="211" t="s">
        <v>903</v>
      </c>
      <c r="E188" s="211" t="str">
        <f t="shared" si="2"/>
        <v>Apr Merchandise HOme</v>
      </c>
      <c r="F188" s="211" t="s">
        <v>956</v>
      </c>
      <c r="G188" s="211" t="str">
        <f>IFERROR(VLOOKUP(F188,'2020 Budget'!$A$4:$B$462,2,FALSE),"N/F")</f>
        <v>04. Household Expenses</v>
      </c>
      <c r="H188" s="211">
        <v>-10.59</v>
      </c>
      <c r="I188" s="211">
        <v>-3724.1299999999978</v>
      </c>
      <c r="J188" s="215" t="s">
        <v>360</v>
      </c>
      <c r="K188" s="208">
        <v>-3724.1299999999978</v>
      </c>
    </row>
    <row r="189" spans="1:11" hidden="1">
      <c r="A189" s="211" t="s">
        <v>263</v>
      </c>
      <c r="B189" s="211" t="str">
        <f>VLOOKUP(MONTH(C189),'Lookup Tables'!$A$3:$B$14,2,FALSE)</f>
        <v>Apr</v>
      </c>
      <c r="C189" s="213">
        <v>43938</v>
      </c>
      <c r="D189" s="211" t="s">
        <v>299</v>
      </c>
      <c r="E189" s="211" t="str">
        <f t="shared" si="2"/>
        <v>Apr Groceries</v>
      </c>
      <c r="F189" s="211" t="s">
        <v>11</v>
      </c>
      <c r="G189" s="211" t="str">
        <f>IFERROR(VLOOKUP(F189,'2020 Budget'!$A$4:$B$462,2,FALSE),"N/F")</f>
        <v>04. Family Expenses</v>
      </c>
      <c r="H189" s="211">
        <v>-28.37</v>
      </c>
      <c r="I189" s="211">
        <v>-3723.0699999999979</v>
      </c>
      <c r="J189" s="215" t="s">
        <v>360</v>
      </c>
      <c r="K189" s="208">
        <v>-3723.0699999999979</v>
      </c>
    </row>
    <row r="190" spans="1:11" hidden="1">
      <c r="A190" s="211" t="s">
        <v>263</v>
      </c>
      <c r="B190" s="211" t="str">
        <f>VLOOKUP(MONTH(C190),'Lookup Tables'!$A$3:$B$14,2,FALSE)</f>
        <v>Apr</v>
      </c>
      <c r="C190" s="213">
        <v>43938</v>
      </c>
      <c r="D190" s="211" t="s">
        <v>266</v>
      </c>
      <c r="E190" s="211" t="str">
        <f t="shared" si="2"/>
        <v>Apr Dining Fast Food</v>
      </c>
      <c r="F190" s="211" t="s">
        <v>85</v>
      </c>
      <c r="G190" s="211" t="str">
        <f>IFERROR(VLOOKUP(F190,'2020 Budget'!$A$4:$B$462,2,FALSE),"N/F")</f>
        <v>04. Family Expenses</v>
      </c>
      <c r="H190" s="211">
        <v>-12.77</v>
      </c>
      <c r="I190" s="211">
        <v>-3694.699999999998</v>
      </c>
      <c r="J190" s="215" t="s">
        <v>360</v>
      </c>
      <c r="K190" s="208">
        <v>-3694.699999999998</v>
      </c>
    </row>
    <row r="191" spans="1:11" hidden="1">
      <c r="A191" s="211" t="s">
        <v>263</v>
      </c>
      <c r="B191" s="211" t="str">
        <f>VLOOKUP(MONTH(C191),'Lookup Tables'!$A$3:$B$14,2,FALSE)</f>
        <v>Apr</v>
      </c>
      <c r="C191" s="213">
        <v>43941</v>
      </c>
      <c r="D191" s="211" t="s">
        <v>945</v>
      </c>
      <c r="E191" s="211" t="str">
        <f t="shared" si="2"/>
        <v>Apr Merchandise Home</v>
      </c>
      <c r="F191" s="211" t="s">
        <v>19</v>
      </c>
      <c r="G191" s="211" t="str">
        <f>IFERROR(VLOOKUP(F191,'2020 Budget'!$A$4:$B$462,2,FALSE),"N/F")</f>
        <v>04. Household Expenses</v>
      </c>
      <c r="H191" s="211">
        <v>-13.77</v>
      </c>
      <c r="I191" s="211">
        <v>-3779.0299999999979</v>
      </c>
      <c r="J191" s="215" t="s">
        <v>360</v>
      </c>
      <c r="K191" s="208">
        <v>-3779.0299999999979</v>
      </c>
    </row>
    <row r="192" spans="1:11" hidden="1">
      <c r="A192" s="211" t="s">
        <v>263</v>
      </c>
      <c r="B192" s="211" t="str">
        <f>VLOOKUP(MONTH(C192),'Lookup Tables'!$A$3:$B$14,2,FALSE)</f>
        <v>Apr</v>
      </c>
      <c r="C192" s="213">
        <v>43941</v>
      </c>
      <c r="D192" s="211" t="s">
        <v>465</v>
      </c>
      <c r="E192" s="211" t="str">
        <f t="shared" si="2"/>
        <v>Apr Fee Credit Card Interest</v>
      </c>
      <c r="F192" s="211" t="s">
        <v>255</v>
      </c>
      <c r="G192" s="211" t="str">
        <f>IFERROR(VLOOKUP(F192,'2020 Budget'!$A$4:$B$462,2,FALSE),"N/F")</f>
        <v>14. Undesired Expenses</v>
      </c>
      <c r="H192" s="211">
        <v>-41.13</v>
      </c>
      <c r="I192" s="211">
        <v>-3765.2599999999979</v>
      </c>
      <c r="J192" s="215" t="s">
        <v>360</v>
      </c>
      <c r="K192" s="208">
        <v>-3765.2599999999979</v>
      </c>
    </row>
    <row r="193" spans="1:11" hidden="1">
      <c r="A193" s="211" t="s">
        <v>263</v>
      </c>
      <c r="B193" s="211" t="str">
        <f>VLOOKUP(MONTH(C193),'Lookup Tables'!$A$3:$B$14,2,FALSE)</f>
        <v>Apr</v>
      </c>
      <c r="C193" s="213">
        <v>43942</v>
      </c>
      <c r="D193" s="211" t="s">
        <v>900</v>
      </c>
      <c r="E193" s="211" t="str">
        <f t="shared" si="2"/>
        <v>Apr Dining Treats</v>
      </c>
      <c r="F193" s="211" t="s">
        <v>87</v>
      </c>
      <c r="G193" s="211" t="str">
        <f>IFERROR(VLOOKUP(F193,'2020 Budget'!$A$4:$B$462,2,FALSE),"N/F")</f>
        <v>04. Family Expenses</v>
      </c>
      <c r="H193" s="211">
        <v>-1.69</v>
      </c>
      <c r="I193" s="211">
        <v>-3798.69</v>
      </c>
      <c r="J193" s="215" t="s">
        <v>360</v>
      </c>
      <c r="K193" s="208">
        <v>-3798.6899999999978</v>
      </c>
    </row>
    <row r="194" spans="1:11" hidden="1">
      <c r="A194" s="211" t="s">
        <v>263</v>
      </c>
      <c r="B194" s="211" t="str">
        <f>VLOOKUP(MONTH(C194),'Lookup Tables'!$A$3:$B$14,2,FALSE)</f>
        <v>Apr</v>
      </c>
      <c r="C194" s="213">
        <v>43942</v>
      </c>
      <c r="D194" s="211" t="s">
        <v>928</v>
      </c>
      <c r="E194" s="211" t="str">
        <f t="shared" ref="E194:E257" si="3">B194&amp;" "&amp;F194</f>
        <v>Apr CPBA Office Equipment</v>
      </c>
      <c r="F194" s="217" t="s">
        <v>585</v>
      </c>
      <c r="G194" s="211" t="str">
        <f>IFERROR(VLOOKUP(F194,'2020 Budget'!$A$4:$B$462,2,FALSE),"N/F")</f>
        <v>03. CP Business Analysis Expenses</v>
      </c>
      <c r="H194" s="211">
        <v>-10.5</v>
      </c>
      <c r="I194" s="211">
        <v>-3789.53</v>
      </c>
      <c r="J194" s="215" t="s">
        <v>360</v>
      </c>
      <c r="K194" s="208">
        <v>-3789.5299999999979</v>
      </c>
    </row>
    <row r="195" spans="1:11" hidden="1">
      <c r="A195" s="211" t="s">
        <v>263</v>
      </c>
      <c r="B195" s="211" t="str">
        <f>VLOOKUP(MONTH(C195),'Lookup Tables'!$A$3:$B$14,2,FALSE)</f>
        <v>Apr</v>
      </c>
      <c r="C195" s="213">
        <v>43942</v>
      </c>
      <c r="D195" s="211" t="s">
        <v>946</v>
      </c>
      <c r="E195" s="211" t="str">
        <f t="shared" si="3"/>
        <v>Apr Merchandise Home</v>
      </c>
      <c r="F195" s="211" t="s">
        <v>19</v>
      </c>
      <c r="G195" s="211" t="str">
        <f>IFERROR(VLOOKUP(F195,'2020 Budget'!$A$4:$B$462,2,FALSE),"N/F")</f>
        <v>04. Household Expenses</v>
      </c>
      <c r="H195" s="211">
        <v>-25.07</v>
      </c>
      <c r="I195" s="211">
        <v>-3867.2200000000003</v>
      </c>
      <c r="J195" s="215" t="s">
        <v>360</v>
      </c>
      <c r="K195" s="208">
        <v>-3867.219999999998</v>
      </c>
    </row>
    <row r="196" spans="1:11" hidden="1">
      <c r="A196" s="211" t="s">
        <v>263</v>
      </c>
      <c r="B196" s="211" t="str">
        <f>VLOOKUP(MONTH(C196),'Lookup Tables'!$A$3:$B$14,2,FALSE)</f>
        <v>Apr</v>
      </c>
      <c r="C196" s="213">
        <v>43942</v>
      </c>
      <c r="D196" s="211" t="s">
        <v>80</v>
      </c>
      <c r="E196" s="211" t="str">
        <f t="shared" si="3"/>
        <v>Apr Beginning Balance Other</v>
      </c>
      <c r="F196" s="211" t="s">
        <v>363</v>
      </c>
      <c r="G196" s="211" t="str">
        <f>IFERROR(VLOOKUP(F196,'2020 Budget'!$A$4:$B$462,2,FALSE),"N/F")</f>
        <v>16. Not Tracked</v>
      </c>
      <c r="H196" s="211"/>
      <c r="I196" s="221">
        <v>-3779.03</v>
      </c>
      <c r="J196" s="215" t="s">
        <v>360</v>
      </c>
      <c r="K196" s="208">
        <v>-3779.0299999999979</v>
      </c>
    </row>
    <row r="197" spans="1:11" hidden="1">
      <c r="A197" s="211" t="s">
        <v>263</v>
      </c>
      <c r="B197" s="211" t="str">
        <f>VLOOKUP(MONTH(C197),'Lookup Tables'!$A$3:$B$14,2,FALSE)</f>
        <v>Apr</v>
      </c>
      <c r="C197" s="213">
        <v>43942</v>
      </c>
      <c r="D197" s="211" t="s">
        <v>312</v>
      </c>
      <c r="E197" s="211" t="str">
        <f t="shared" si="3"/>
        <v>Apr Groceries</v>
      </c>
      <c r="F197" s="211" t="s">
        <v>11</v>
      </c>
      <c r="G197" s="211" t="str">
        <f>IFERROR(VLOOKUP(F197,'2020 Budget'!$A$4:$B$462,2,FALSE),"N/F")</f>
        <v>04. Family Expenses</v>
      </c>
      <c r="H197" s="211">
        <v>-26.91</v>
      </c>
      <c r="I197" s="211">
        <v>-3825.6</v>
      </c>
      <c r="J197" s="215" t="s">
        <v>360</v>
      </c>
      <c r="K197" s="208">
        <v>-3825.5999999999976</v>
      </c>
    </row>
    <row r="198" spans="1:11" hidden="1">
      <c r="A198" s="211" t="s">
        <v>263</v>
      </c>
      <c r="B198" s="211" t="str">
        <f>VLOOKUP(MONTH(C198),'Lookup Tables'!$A$3:$B$14,2,FALSE)</f>
        <v>Apr</v>
      </c>
      <c r="C198" s="213">
        <v>43942</v>
      </c>
      <c r="D198" s="211" t="s">
        <v>483</v>
      </c>
      <c r="E198" s="211" t="str">
        <f t="shared" si="3"/>
        <v>Apr Groceries</v>
      </c>
      <c r="F198" s="211" t="s">
        <v>11</v>
      </c>
      <c r="G198" s="211" t="str">
        <f>IFERROR(VLOOKUP(F198,'2020 Budget'!$A$4:$B$462,2,FALSE),"N/F")</f>
        <v>04. Family Expenses</v>
      </c>
      <c r="H198" s="211">
        <v>-16.55</v>
      </c>
      <c r="I198" s="211">
        <v>-3842.15</v>
      </c>
      <c r="J198" s="215" t="s">
        <v>360</v>
      </c>
      <c r="K198" s="208">
        <v>-3842.1499999999978</v>
      </c>
    </row>
    <row r="199" spans="1:11" hidden="1">
      <c r="A199" s="211" t="s">
        <v>263</v>
      </c>
      <c r="B199" s="211" t="str">
        <f>VLOOKUP(MONTH(C199),'Lookup Tables'!$A$3:$B$14,2,FALSE)</f>
        <v>Apr</v>
      </c>
      <c r="C199" s="213">
        <v>43942</v>
      </c>
      <c r="D199" s="211" t="s">
        <v>927</v>
      </c>
      <c r="E199" s="211" t="str">
        <f t="shared" si="3"/>
        <v>Apr Service Internet Cable TV</v>
      </c>
      <c r="F199" s="211" t="s">
        <v>15</v>
      </c>
      <c r="G199" s="211" t="str">
        <f>IFERROR(VLOOKUP(F199,'2020 Budget'!$A$4:$B$462,2,FALSE),"N/F")</f>
        <v>09. Internet TV Entertainment Electronics</v>
      </c>
      <c r="H199" s="211">
        <v>-12.99</v>
      </c>
      <c r="I199" s="211">
        <v>-3885.4</v>
      </c>
      <c r="J199" s="215" t="s">
        <v>360</v>
      </c>
      <c r="K199" s="208">
        <v>-3885.3999999999978</v>
      </c>
    </row>
    <row r="200" spans="1:11" hidden="1">
      <c r="A200" s="211" t="s">
        <v>263</v>
      </c>
      <c r="B200" s="211" t="str">
        <f>VLOOKUP(MONTH(C200),'Lookup Tables'!$A$3:$B$14,2,FALSE)</f>
        <v>Apr</v>
      </c>
      <c r="C200" s="213">
        <v>43942</v>
      </c>
      <c r="D200" s="211" t="s">
        <v>308</v>
      </c>
      <c r="E200" s="211" t="str">
        <f t="shared" si="3"/>
        <v>Apr Merchandise Home</v>
      </c>
      <c r="F200" s="211" t="s">
        <v>19</v>
      </c>
      <c r="G200" s="211" t="str">
        <f>IFERROR(VLOOKUP(F200,'2020 Budget'!$A$4:$B$462,2,FALSE),"N/F")</f>
        <v>04. Household Expenses</v>
      </c>
      <c r="H200" s="211">
        <v>-5.19</v>
      </c>
      <c r="I200" s="211">
        <v>-3872.4100000000003</v>
      </c>
      <c r="J200" s="215" t="s">
        <v>360</v>
      </c>
      <c r="K200" s="208">
        <v>-3872.409999999998</v>
      </c>
    </row>
    <row r="201" spans="1:11" hidden="1">
      <c r="A201" s="211" t="s">
        <v>263</v>
      </c>
      <c r="B201" s="211" t="str">
        <f>VLOOKUP(MONTH(C201),'Lookup Tables'!$A$3:$B$14,2,FALSE)</f>
        <v>Apr</v>
      </c>
      <c r="C201" s="213">
        <v>43942</v>
      </c>
      <c r="D201" s="211" t="s">
        <v>266</v>
      </c>
      <c r="E201" s="211" t="str">
        <f t="shared" si="3"/>
        <v>Apr Dining Fast Food</v>
      </c>
      <c r="F201" s="211" t="s">
        <v>85</v>
      </c>
      <c r="G201" s="211" t="str">
        <f>IFERROR(VLOOKUP(F201,'2020 Budget'!$A$4:$B$462,2,FALSE),"N/F")</f>
        <v>04. Family Expenses</v>
      </c>
      <c r="H201" s="211">
        <v>-7.47</v>
      </c>
      <c r="I201" s="211">
        <v>-3797</v>
      </c>
      <c r="J201" s="215" t="s">
        <v>360</v>
      </c>
      <c r="K201" s="208">
        <v>-3796.9999999999977</v>
      </c>
    </row>
    <row r="202" spans="1:11" hidden="1">
      <c r="A202" s="211" t="s">
        <v>263</v>
      </c>
      <c r="B202" s="211" t="str">
        <f>VLOOKUP(MONTH(C202),'Lookup Tables'!$A$3:$B$14,2,FALSE)</f>
        <v>Apr</v>
      </c>
      <c r="C202" s="213">
        <v>43943</v>
      </c>
      <c r="D202" s="211" t="s">
        <v>34</v>
      </c>
      <c r="E202" s="211" t="str">
        <f t="shared" si="3"/>
        <v>Apr Dining Fast Food</v>
      </c>
      <c r="F202" s="211" t="s">
        <v>85</v>
      </c>
      <c r="G202" s="211" t="str">
        <f>IFERROR(VLOOKUP(F202,'2020 Budget'!$A$4:$B$462,2,FALSE),"N/F")</f>
        <v>04. Family Expenses</v>
      </c>
      <c r="H202" s="211">
        <v>-5.82</v>
      </c>
      <c r="I202" s="211">
        <v>-3951.2200000000003</v>
      </c>
      <c r="J202" s="215" t="s">
        <v>360</v>
      </c>
      <c r="K202" s="208">
        <v>-3951.219999999998</v>
      </c>
    </row>
    <row r="203" spans="1:11" hidden="1">
      <c r="A203" s="211" t="s">
        <v>263</v>
      </c>
      <c r="B203" s="211" t="str">
        <f>VLOOKUP(MONTH(C203),'Lookup Tables'!$A$3:$B$14,2,FALSE)</f>
        <v>Apr</v>
      </c>
      <c r="C203" s="213">
        <v>43943</v>
      </c>
      <c r="D203" s="211" t="s">
        <v>918</v>
      </c>
      <c r="E203" s="211" t="str">
        <f t="shared" si="3"/>
        <v>Apr Charity Cash Donation</v>
      </c>
      <c r="F203" s="218" t="s">
        <v>953</v>
      </c>
      <c r="G203" s="211" t="str">
        <f>IFERROR(VLOOKUP(F203,'2020 Budget'!$A$4:$B$462,2,FALSE),"N/F")</f>
        <v>04. Family Expenses</v>
      </c>
      <c r="H203" s="211">
        <v>-60</v>
      </c>
      <c r="I203" s="211">
        <v>-3945.4</v>
      </c>
      <c r="J203" s="215" t="s">
        <v>360</v>
      </c>
      <c r="K203" s="208">
        <v>-3945.3999999999978</v>
      </c>
    </row>
    <row r="204" spans="1:11" hidden="1">
      <c r="A204" s="211" t="s">
        <v>263</v>
      </c>
      <c r="B204" s="211" t="str">
        <f>VLOOKUP(MONTH(C204),'Lookup Tables'!$A$3:$B$14,2,FALSE)</f>
        <v>Apr</v>
      </c>
      <c r="C204" s="213">
        <v>43943</v>
      </c>
      <c r="D204" s="211" t="s">
        <v>534</v>
      </c>
      <c r="E204" s="211" t="str">
        <f t="shared" si="3"/>
        <v>Apr Dining Fast Food</v>
      </c>
      <c r="F204" s="211" t="s">
        <v>85</v>
      </c>
      <c r="G204" s="211" t="str">
        <f>IFERROR(VLOOKUP(F204,'2020 Budget'!$A$4:$B$462,2,FALSE),"N/F")</f>
        <v>04. Family Expenses</v>
      </c>
      <c r="H204" s="211">
        <v>-8.67</v>
      </c>
      <c r="I204" s="211">
        <v>-3959.8900000000003</v>
      </c>
      <c r="J204" s="215" t="s">
        <v>360</v>
      </c>
      <c r="K204" s="208">
        <v>-3959.8899999999981</v>
      </c>
    </row>
    <row r="205" spans="1:11" hidden="1">
      <c r="A205" s="211" t="s">
        <v>263</v>
      </c>
      <c r="B205" s="211" t="str">
        <f>VLOOKUP(MONTH(C205),'Lookup Tables'!$A$3:$B$14,2,FALSE)</f>
        <v>Apr</v>
      </c>
      <c r="C205" s="213">
        <v>43944</v>
      </c>
      <c r="D205" s="211" t="s">
        <v>890</v>
      </c>
      <c r="E205" s="211" t="str">
        <f t="shared" si="3"/>
        <v>Apr Dining Fast Food</v>
      </c>
      <c r="F205" s="211" t="s">
        <v>85</v>
      </c>
      <c r="G205" s="211" t="str">
        <f>IFERROR(VLOOKUP(F205,'2020 Budget'!$A$4:$B$462,2,FALSE),"N/F")</f>
        <v>04. Family Expenses</v>
      </c>
      <c r="H205" s="211">
        <v>-11.97</v>
      </c>
      <c r="I205" s="211">
        <v>-3971.86</v>
      </c>
      <c r="J205" s="215" t="s">
        <v>360</v>
      </c>
      <c r="K205" s="208">
        <v>-3971.8599999999979</v>
      </c>
    </row>
    <row r="206" spans="1:11" hidden="1">
      <c r="A206" s="211" t="s">
        <v>263</v>
      </c>
      <c r="B206" s="211" t="str">
        <f>VLOOKUP(MONTH(C206),'Lookup Tables'!$A$3:$B$14,2,FALSE)</f>
        <v>Apr</v>
      </c>
      <c r="C206" s="213">
        <v>43945</v>
      </c>
      <c r="D206" s="211" t="s">
        <v>926</v>
      </c>
      <c r="E206" s="211" t="str">
        <f t="shared" si="3"/>
        <v>Apr Merchandise Computer</v>
      </c>
      <c r="F206" s="211" t="s">
        <v>35</v>
      </c>
      <c r="G206" s="211" t="str">
        <f>IFERROR(VLOOKUP(F206,'2020 Budget'!$A$4:$B$462,2,FALSE),"N/F")</f>
        <v>09. Internet TV Entertainment Electronics</v>
      </c>
      <c r="H206" s="211">
        <v>-105.95</v>
      </c>
      <c r="I206" s="211">
        <v>-4176.8100000000004</v>
      </c>
      <c r="J206" s="215" t="s">
        <v>360</v>
      </c>
      <c r="K206" s="208">
        <v>-4176.8099999999977</v>
      </c>
    </row>
    <row r="207" spans="1:11" hidden="1">
      <c r="A207" s="211" t="s">
        <v>263</v>
      </c>
      <c r="B207" s="211" t="str">
        <f>VLOOKUP(MONTH(C207),'Lookup Tables'!$A$3:$B$14,2,FALSE)</f>
        <v>Apr</v>
      </c>
      <c r="C207" s="213">
        <v>43945</v>
      </c>
      <c r="D207" s="211" t="s">
        <v>925</v>
      </c>
      <c r="E207" s="211" t="str">
        <f t="shared" si="3"/>
        <v>Apr CPBA Adv Education/Certifications</v>
      </c>
      <c r="F207" s="218" t="s">
        <v>657</v>
      </c>
      <c r="G207" s="211" t="str">
        <f>IFERROR(VLOOKUP(F207,'2020 Budget'!$A$4:$B$462,2,FALSE),"N/F")</f>
        <v>03. CP Business Analysis Expenses</v>
      </c>
      <c r="H207" s="211">
        <v>-99</v>
      </c>
      <c r="I207" s="211">
        <v>-4070.86</v>
      </c>
      <c r="J207" s="215" t="s">
        <v>360</v>
      </c>
      <c r="K207" s="208">
        <v>-4070.8599999999979</v>
      </c>
    </row>
    <row r="208" spans="1:11" hidden="1">
      <c r="A208" s="211" t="s">
        <v>263</v>
      </c>
      <c r="B208" s="211" t="str">
        <f>VLOOKUP(MONTH(C208),'Lookup Tables'!$A$3:$B$14,2,FALSE)</f>
        <v>Apr</v>
      </c>
      <c r="C208" s="213">
        <v>43946</v>
      </c>
      <c r="D208" s="211" t="s">
        <v>308</v>
      </c>
      <c r="E208" s="211" t="str">
        <f t="shared" si="3"/>
        <v>Apr Merchandise Home</v>
      </c>
      <c r="F208" s="211" t="s">
        <v>19</v>
      </c>
      <c r="G208" s="211" t="str">
        <f>IFERROR(VLOOKUP(F208,'2020 Budget'!$A$4:$B$462,2,FALSE),"N/F")</f>
        <v>04. Household Expenses</v>
      </c>
      <c r="H208" s="211">
        <v>-2.1</v>
      </c>
      <c r="I208" s="211">
        <v>-4178.9100000000008</v>
      </c>
      <c r="J208" s="215" t="s">
        <v>360</v>
      </c>
      <c r="K208" s="208">
        <v>-4178.909999999998</v>
      </c>
    </row>
    <row r="209" spans="1:11" hidden="1">
      <c r="A209" s="211" t="s">
        <v>263</v>
      </c>
      <c r="B209" s="211" t="str">
        <f>VLOOKUP(MONTH(C209),'Lookup Tables'!$A$3:$B$14,2,FALSE)</f>
        <v>Apr</v>
      </c>
      <c r="C209" s="213">
        <v>43947</v>
      </c>
      <c r="D209" s="211" t="s">
        <v>312</v>
      </c>
      <c r="E209" s="211" t="str">
        <f t="shared" si="3"/>
        <v>Apr Groceries</v>
      </c>
      <c r="F209" s="211" t="s">
        <v>11</v>
      </c>
      <c r="G209" s="211" t="str">
        <f>IFERROR(VLOOKUP(F209,'2020 Budget'!$A$4:$B$462,2,FALSE),"N/F")</f>
        <v>04. Family Expenses</v>
      </c>
      <c r="H209" s="211">
        <v>-5.29</v>
      </c>
      <c r="I209" s="211">
        <v>-4184.2000000000007</v>
      </c>
      <c r="J209" s="215" t="s">
        <v>360</v>
      </c>
      <c r="K209" s="208">
        <v>-4184.199999999998</v>
      </c>
    </row>
    <row r="210" spans="1:11" hidden="1">
      <c r="A210" s="211" t="s">
        <v>263</v>
      </c>
      <c r="B210" s="211" t="str">
        <f>VLOOKUP(MONTH(C210),'Lookup Tables'!$A$3:$B$14,2,FALSE)</f>
        <v>Apr</v>
      </c>
      <c r="C210" s="213">
        <v>43948</v>
      </c>
      <c r="D210" s="211" t="s">
        <v>302</v>
      </c>
      <c r="E210" s="211" t="str">
        <f t="shared" si="3"/>
        <v>Apr Service Computer</v>
      </c>
      <c r="F210" s="211" t="s">
        <v>88</v>
      </c>
      <c r="G210" s="211" t="str">
        <f>IFERROR(VLOOKUP(F210,'2020 Budget'!$A$4:$B$462,2,FALSE),"N/F")</f>
        <v>09. Internet TV Entertainment Electronics</v>
      </c>
      <c r="H210" s="211">
        <v>-0.99</v>
      </c>
      <c r="I210" s="211">
        <v>-4185.1900000000005</v>
      </c>
      <c r="J210" s="215" t="s">
        <v>360</v>
      </c>
      <c r="K210" s="208">
        <v>-4185.1899999999978</v>
      </c>
    </row>
    <row r="211" spans="1:11" hidden="1">
      <c r="A211" s="211" t="s">
        <v>263</v>
      </c>
      <c r="B211" s="211" t="str">
        <f>VLOOKUP(MONTH(C211),'Lookup Tables'!$A$3:$B$14,2,FALSE)</f>
        <v>Apr</v>
      </c>
      <c r="C211" s="213">
        <v>43948</v>
      </c>
      <c r="D211" s="211" t="s">
        <v>302</v>
      </c>
      <c r="E211" s="211" t="str">
        <f t="shared" si="3"/>
        <v>Apr Service Computer</v>
      </c>
      <c r="F211" s="211" t="s">
        <v>88</v>
      </c>
      <c r="G211" s="211" t="str">
        <f>IFERROR(VLOOKUP(F211,'2020 Budget'!$A$4:$B$462,2,FALSE),"N/F")</f>
        <v>09. Internet TV Entertainment Electronics</v>
      </c>
      <c r="H211" s="211">
        <v>-0.99</v>
      </c>
      <c r="I211" s="211">
        <v>-4186.18</v>
      </c>
      <c r="J211" s="215" t="s">
        <v>360</v>
      </c>
      <c r="K211" s="208">
        <v>-4186.1799999999976</v>
      </c>
    </row>
    <row r="212" spans="1:11" hidden="1">
      <c r="A212" s="211" t="s">
        <v>263</v>
      </c>
      <c r="B212" s="211" t="str">
        <f>VLOOKUP(MONTH(C212),'Lookup Tables'!$A$3:$B$14,2,FALSE)</f>
        <v>Apr</v>
      </c>
      <c r="C212" s="213">
        <v>43949</v>
      </c>
      <c r="D212" s="211" t="s">
        <v>302</v>
      </c>
      <c r="E212" s="211" t="str">
        <f t="shared" si="3"/>
        <v>Apr Service Computer</v>
      </c>
      <c r="F212" s="211" t="s">
        <v>88</v>
      </c>
      <c r="G212" s="211" t="str">
        <f>IFERROR(VLOOKUP(F212,'2020 Budget'!$A$4:$B$462,2,FALSE),"N/F")</f>
        <v>09. Internet TV Entertainment Electronics</v>
      </c>
      <c r="H212" s="211">
        <v>-0.99</v>
      </c>
      <c r="I212" s="211">
        <v>-4187.17</v>
      </c>
      <c r="J212" s="215" t="s">
        <v>360</v>
      </c>
      <c r="K212" s="208">
        <v>-4187.1699999999973</v>
      </c>
    </row>
    <row r="213" spans="1:11" hidden="1">
      <c r="A213" s="211" t="s">
        <v>263</v>
      </c>
      <c r="B213" s="211" t="str">
        <f>VLOOKUP(MONTH(C213),'Lookup Tables'!$A$3:$B$14,2,FALSE)</f>
        <v>Apr</v>
      </c>
      <c r="C213" s="213">
        <v>43951</v>
      </c>
      <c r="D213" s="211" t="s">
        <v>890</v>
      </c>
      <c r="E213" s="211" t="str">
        <f t="shared" si="3"/>
        <v>Apr Dining Fast Food</v>
      </c>
      <c r="F213" s="211" t="s">
        <v>85</v>
      </c>
      <c r="G213" s="211" t="str">
        <f>IFERROR(VLOOKUP(F213,'2020 Budget'!$A$4:$B$462,2,FALSE),"N/F")</f>
        <v>04. Family Expenses</v>
      </c>
      <c r="H213" s="211">
        <v>-20.75</v>
      </c>
      <c r="I213" s="211">
        <v>-4207.92</v>
      </c>
      <c r="J213" s="215" t="s">
        <v>360</v>
      </c>
      <c r="K213" s="208">
        <v>-4207.9199999999973</v>
      </c>
    </row>
    <row r="214" spans="1:11" hidden="1">
      <c r="A214" s="211" t="s">
        <v>263</v>
      </c>
      <c r="B214" s="211" t="str">
        <f>VLOOKUP(MONTH(C214),'Lookup Tables'!$A$3:$B$14,2,FALSE)</f>
        <v>Apr</v>
      </c>
      <c r="C214" s="213">
        <v>43951</v>
      </c>
      <c r="D214" s="211" t="s">
        <v>299</v>
      </c>
      <c r="E214" s="211" t="str">
        <f t="shared" si="3"/>
        <v>Apr Groceries</v>
      </c>
      <c r="F214" s="211" t="s">
        <v>11</v>
      </c>
      <c r="G214" s="211" t="str">
        <f>IFERROR(VLOOKUP(F214,'2020 Budget'!$A$4:$B$462,2,FALSE),"N/F")</f>
        <v>04. Family Expenses</v>
      </c>
      <c r="H214" s="211">
        <v>-17.399999999999999</v>
      </c>
      <c r="I214" s="211">
        <v>-4225.32</v>
      </c>
      <c r="J214" s="215" t="s">
        <v>360</v>
      </c>
      <c r="K214" s="208">
        <v>-4225.319999999997</v>
      </c>
    </row>
    <row r="215" spans="1:11" hidden="1">
      <c r="A215" s="211" t="s">
        <v>263</v>
      </c>
      <c r="B215" s="211" t="str">
        <f>VLOOKUP(MONTH(C215),'Lookup Tables'!$A$3:$B$14,2,FALSE)</f>
        <v>May</v>
      </c>
      <c r="C215" s="213">
        <v>43952</v>
      </c>
      <c r="D215" s="211" t="s">
        <v>924</v>
      </c>
      <c r="E215" s="211" t="str">
        <f t="shared" si="3"/>
        <v>May CPBA Linked In</v>
      </c>
      <c r="F215" s="211" t="s">
        <v>531</v>
      </c>
      <c r="G215" s="211" t="str">
        <f>IFERROR(VLOOKUP(F215,'2020 Budget'!$A$4:$B$462,2,FALSE),"N/F")</f>
        <v>03. CP Business Analysis Expenses</v>
      </c>
      <c r="H215" s="211">
        <v>-29.99</v>
      </c>
      <c r="I215" s="211">
        <v>-4255.3099999999995</v>
      </c>
      <c r="J215" s="215" t="s">
        <v>360</v>
      </c>
      <c r="K215" s="208">
        <v>-4255.3099999999968</v>
      </c>
    </row>
    <row r="216" spans="1:11" hidden="1">
      <c r="A216" s="211" t="s">
        <v>263</v>
      </c>
      <c r="B216" s="211" t="str">
        <f>VLOOKUP(MONTH(C216),'Lookup Tables'!$A$3:$B$14,2,FALSE)</f>
        <v>May</v>
      </c>
      <c r="C216" s="213">
        <v>43953</v>
      </c>
      <c r="D216" s="211" t="s">
        <v>923</v>
      </c>
      <c r="E216" s="211" t="str">
        <f t="shared" si="3"/>
        <v>May Dog Food</v>
      </c>
      <c r="F216" s="211" t="s">
        <v>130</v>
      </c>
      <c r="G216" s="211" t="str">
        <f>IFERROR(VLOOKUP(F216,'2020 Budget'!$A$4:$B$462,2,FALSE),"N/F")</f>
        <v>08. Dogs Expenses</v>
      </c>
      <c r="H216" s="211">
        <f>-31.86*0.666666666666667</f>
        <v>-21.240000000000009</v>
      </c>
      <c r="I216" s="211">
        <v>-4283.4999999999991</v>
      </c>
      <c r="J216" s="215" t="s">
        <v>360</v>
      </c>
      <c r="K216" s="208">
        <v>-4283.4999999999964</v>
      </c>
    </row>
    <row r="217" spans="1:11" hidden="1">
      <c r="A217" s="211" t="s">
        <v>263</v>
      </c>
      <c r="B217" s="211" t="str">
        <f>VLOOKUP(MONTH(C217),'Lookup Tables'!$A$3:$B$14,2,FALSE)</f>
        <v>May</v>
      </c>
      <c r="C217" s="213">
        <v>43953</v>
      </c>
      <c r="D217" s="211" t="s">
        <v>923</v>
      </c>
      <c r="E217" s="211" t="str">
        <f t="shared" si="3"/>
        <v>May Mom Dog Food</v>
      </c>
      <c r="F217" s="211" t="s">
        <v>129</v>
      </c>
      <c r="G217" s="211" t="str">
        <f>IFERROR(VLOOKUP(F217,'2020 Budget'!$A$4:$B$462,2,FALSE),"N/F")</f>
        <v>10. Mom Expenses</v>
      </c>
      <c r="H217" s="211">
        <f>-31.86*0.333333333333333</f>
        <v>-10.619999999999989</v>
      </c>
      <c r="I217" s="211">
        <v>-4294.119999999999</v>
      </c>
      <c r="J217" s="215" t="s">
        <v>360</v>
      </c>
      <c r="K217" s="208">
        <v>-4294.1199999999963</v>
      </c>
    </row>
    <row r="218" spans="1:11" hidden="1">
      <c r="A218" s="211" t="s">
        <v>263</v>
      </c>
      <c r="B218" s="211" t="str">
        <f>VLOOKUP(MONTH(C218),'Lookup Tables'!$A$3:$B$14,2,FALSE)</f>
        <v>May</v>
      </c>
      <c r="C218" s="213">
        <v>43953</v>
      </c>
      <c r="D218" s="211" t="s">
        <v>297</v>
      </c>
      <c r="E218" s="211" t="str">
        <f t="shared" si="3"/>
        <v>May Dining Fast Food</v>
      </c>
      <c r="F218" s="211" t="s">
        <v>85</v>
      </c>
      <c r="G218" s="211" t="str">
        <f>IFERROR(VLOOKUP(F218,'2020 Budget'!$A$4:$B$462,2,FALSE),"N/F")</f>
        <v>04. Family Expenses</v>
      </c>
      <c r="H218" s="211">
        <v>-6.95</v>
      </c>
      <c r="I218" s="211">
        <v>-4262.2599999999993</v>
      </c>
      <c r="J218" s="215" t="s">
        <v>360</v>
      </c>
      <c r="K218" s="208">
        <v>-4262.2599999999966</v>
      </c>
    </row>
    <row r="219" spans="1:11" hidden="1">
      <c r="A219" s="211" t="s">
        <v>263</v>
      </c>
      <c r="B219" s="211" t="str">
        <f>VLOOKUP(MONTH(C219),'Lookup Tables'!$A$3:$B$14,2,FALSE)</f>
        <v>May</v>
      </c>
      <c r="C219" s="213">
        <v>43954</v>
      </c>
      <c r="D219" s="211" t="s">
        <v>933</v>
      </c>
      <c r="E219" s="211" t="str">
        <f t="shared" si="3"/>
        <v>May CPBA Office Equipment</v>
      </c>
      <c r="F219" s="218" t="s">
        <v>585</v>
      </c>
      <c r="G219" s="211" t="str">
        <f>IFERROR(VLOOKUP(F219,'2020 Budget'!$A$4:$B$462,2,FALSE),"N/F")</f>
        <v>03. CP Business Analysis Expenses</v>
      </c>
      <c r="H219" s="211">
        <v>-3.36</v>
      </c>
      <c r="I219" s="211">
        <v>-4297.4799999999987</v>
      </c>
      <c r="J219" s="215" t="s">
        <v>360</v>
      </c>
      <c r="K219" s="208">
        <v>-4297.4799999999959</v>
      </c>
    </row>
    <row r="220" spans="1:11" hidden="1">
      <c r="A220" s="211" t="s">
        <v>263</v>
      </c>
      <c r="B220" s="211" t="str">
        <f>VLOOKUP(MONTH(C220),'Lookup Tables'!$A$3:$B$14,2,FALSE)</f>
        <v>May</v>
      </c>
      <c r="C220" s="213">
        <v>43954</v>
      </c>
      <c r="D220" s="211" t="s">
        <v>922</v>
      </c>
      <c r="E220" s="211" t="str">
        <f t="shared" si="3"/>
        <v>May Dog Food</v>
      </c>
      <c r="F220" s="211" t="s">
        <v>130</v>
      </c>
      <c r="G220" s="211" t="str">
        <f>IFERROR(VLOOKUP(F220,'2020 Budget'!$A$4:$B$462,2,FALSE),"N/F")</f>
        <v>08. Dogs Expenses</v>
      </c>
      <c r="H220" s="211">
        <f>-32.21*0.666666666666667</f>
        <v>-21.473333333333343</v>
      </c>
      <c r="I220" s="211">
        <v>-4318.953333333332</v>
      </c>
      <c r="J220" s="215" t="s">
        <v>360</v>
      </c>
      <c r="K220" s="208">
        <v>-4318.9533333333293</v>
      </c>
    </row>
    <row r="221" spans="1:11" hidden="1">
      <c r="A221" s="211" t="s">
        <v>263</v>
      </c>
      <c r="B221" s="211" t="str">
        <f>VLOOKUP(MONTH(C221),'Lookup Tables'!$A$3:$B$14,2,FALSE)</f>
        <v>May</v>
      </c>
      <c r="C221" s="213">
        <v>43954</v>
      </c>
      <c r="D221" s="211" t="s">
        <v>922</v>
      </c>
      <c r="E221" s="211" t="str">
        <f t="shared" si="3"/>
        <v>May Mom Dog Food</v>
      </c>
      <c r="F221" s="211" t="s">
        <v>129</v>
      </c>
      <c r="G221" s="211" t="str">
        <f>IFERROR(VLOOKUP(F221,'2020 Budget'!$A$4:$B$462,2,FALSE),"N/F")</f>
        <v>10. Mom Expenses</v>
      </c>
      <c r="H221" s="211">
        <f>-32.21*0.333333333333333</f>
        <v>-10.736666666666656</v>
      </c>
      <c r="I221" s="211">
        <v>-4339.8399999999983</v>
      </c>
      <c r="J221" s="215" t="s">
        <v>360</v>
      </c>
      <c r="K221" s="208">
        <v>-4339.8399999999956</v>
      </c>
    </row>
    <row r="222" spans="1:11" hidden="1">
      <c r="A222" s="211" t="s">
        <v>263</v>
      </c>
      <c r="B222" s="211" t="str">
        <f>VLOOKUP(MONTH(C222),'Lookup Tables'!$A$3:$B$14,2,FALSE)</f>
        <v>May</v>
      </c>
      <c r="C222" s="213">
        <v>43954</v>
      </c>
      <c r="D222" s="211" t="s">
        <v>950</v>
      </c>
      <c r="E222" s="211" t="str">
        <f t="shared" si="3"/>
        <v>May Merchandise Home</v>
      </c>
      <c r="F222" s="211" t="s">
        <v>19</v>
      </c>
      <c r="G222" s="211" t="str">
        <f>IFERROR(VLOOKUP(F222,'2020 Budget'!$A$4:$B$462,2,FALSE),"N/F")</f>
        <v>04. Household Expenses</v>
      </c>
      <c r="H222" s="211">
        <v>-10.15</v>
      </c>
      <c r="I222" s="211">
        <v>-4329.1033333333316</v>
      </c>
      <c r="J222" s="215" t="s">
        <v>360</v>
      </c>
      <c r="K222" s="208">
        <v>-4329.1033333333289</v>
      </c>
    </row>
    <row r="223" spans="1:11" hidden="1">
      <c r="A223" s="211" t="s">
        <v>263</v>
      </c>
      <c r="B223" s="211" t="str">
        <f>VLOOKUP(MONTH(C223),'Lookup Tables'!$A$3:$B$14,2,FALSE)</f>
        <v>May</v>
      </c>
      <c r="C223" s="213">
        <v>43955</v>
      </c>
      <c r="D223" s="211" t="s">
        <v>312</v>
      </c>
      <c r="E223" s="211" t="str">
        <f t="shared" si="3"/>
        <v>May Groceries</v>
      </c>
      <c r="F223" s="211" t="s">
        <v>11</v>
      </c>
      <c r="G223" s="211" t="str">
        <f>IFERROR(VLOOKUP(F223,'2020 Budget'!$A$4:$B$462,2,FALSE),"N/F")</f>
        <v>04. Family Expenses</v>
      </c>
      <c r="H223" s="211">
        <v>-71.78</v>
      </c>
      <c r="I223" s="211">
        <v>-4418.6199999999981</v>
      </c>
      <c r="J223" s="215" t="s">
        <v>360</v>
      </c>
      <c r="K223" s="208">
        <v>-4418.6199999999953</v>
      </c>
    </row>
    <row r="224" spans="1:11" hidden="1">
      <c r="A224" s="211" t="s">
        <v>263</v>
      </c>
      <c r="B224" s="211" t="str">
        <f>VLOOKUP(MONTH(C224),'Lookup Tables'!$A$3:$B$14,2,FALSE)</f>
        <v>May</v>
      </c>
      <c r="C224" s="213">
        <v>43955</v>
      </c>
      <c r="D224" s="211" t="s">
        <v>921</v>
      </c>
      <c r="E224" s="211" t="str">
        <f t="shared" si="3"/>
        <v>May CPBA Service Computer</v>
      </c>
      <c r="F224" s="211" t="s">
        <v>528</v>
      </c>
      <c r="G224" s="211" t="str">
        <f>IFERROR(VLOOKUP(F224,'2020 Budget'!$A$4:$B$462,2,FALSE),"N/F")</f>
        <v>03. CP Business Analysis Expenses</v>
      </c>
      <c r="H224" s="211">
        <v>-7</v>
      </c>
      <c r="I224" s="211">
        <v>-4346.8399999999983</v>
      </c>
      <c r="J224" s="215" t="s">
        <v>360</v>
      </c>
      <c r="K224" s="208">
        <v>-4346.8399999999956</v>
      </c>
    </row>
    <row r="225" spans="1:11" hidden="1">
      <c r="A225" s="211" t="s">
        <v>263</v>
      </c>
      <c r="B225" s="211" t="str">
        <f>VLOOKUP(MONTH(C225),'Lookup Tables'!$A$3:$B$14,2,FALSE)</f>
        <v>May</v>
      </c>
      <c r="C225" s="213">
        <v>43956</v>
      </c>
      <c r="D225" s="211" t="s">
        <v>267</v>
      </c>
      <c r="E225" s="211" t="str">
        <f t="shared" si="3"/>
        <v>May Dining Fast Food</v>
      </c>
      <c r="F225" s="211" t="s">
        <v>85</v>
      </c>
      <c r="G225" s="211" t="str">
        <f>IFERROR(VLOOKUP(F225,'2020 Budget'!$A$4:$B$462,2,FALSE),"N/F")</f>
        <v>04. Family Expenses</v>
      </c>
      <c r="H225" s="211">
        <v>-5.3</v>
      </c>
      <c r="I225" s="211">
        <v>-4423.9199999999983</v>
      </c>
      <c r="J225" s="215" t="s">
        <v>360</v>
      </c>
      <c r="K225" s="208">
        <v>-4423.9199999999955</v>
      </c>
    </row>
    <row r="226" spans="1:11" hidden="1">
      <c r="A226" s="211" t="s">
        <v>263</v>
      </c>
      <c r="B226" s="211" t="str">
        <f>VLOOKUP(MONTH(C226),'Lookup Tables'!$A$3:$B$14,2,FALSE)</f>
        <v>May</v>
      </c>
      <c r="C226" s="213">
        <v>43957</v>
      </c>
      <c r="D226" s="211" t="s">
        <v>502</v>
      </c>
      <c r="E226" s="211" t="str">
        <f t="shared" si="3"/>
        <v>May Dining Restaurant</v>
      </c>
      <c r="F226" s="211" t="s">
        <v>145</v>
      </c>
      <c r="G226" s="211" t="str">
        <f>IFERROR(VLOOKUP(F226,'2020 Budget'!$A$4:$B$462,2,FALSE),"N/F")</f>
        <v>04. Family Expenses</v>
      </c>
      <c r="H226" s="211">
        <v>-21.49</v>
      </c>
      <c r="I226" s="211">
        <v>-4465.409999999998</v>
      </c>
      <c r="J226" s="215" t="s">
        <v>360</v>
      </c>
      <c r="K226" s="208">
        <v>-4465.4099999999953</v>
      </c>
    </row>
    <row r="227" spans="1:11" hidden="1">
      <c r="A227" s="211" t="s">
        <v>263</v>
      </c>
      <c r="B227" s="211" t="str">
        <f>VLOOKUP(MONTH(C227),'Lookup Tables'!$A$3:$B$14,2,FALSE)</f>
        <v>May</v>
      </c>
      <c r="C227" s="213">
        <v>43957</v>
      </c>
      <c r="D227" s="211" t="s">
        <v>920</v>
      </c>
      <c r="E227" s="211" t="str">
        <f t="shared" si="3"/>
        <v>May Charity Cash Donation</v>
      </c>
      <c r="F227" s="218" t="s">
        <v>953</v>
      </c>
      <c r="G227" s="211" t="str">
        <f>IFERROR(VLOOKUP(F227,'2020 Budget'!$A$4:$B$462,2,FALSE),"N/F")</f>
        <v>04. Family Expenses</v>
      </c>
      <c r="H227" s="211">
        <v>-20</v>
      </c>
      <c r="I227" s="211">
        <v>-4443.9199999999983</v>
      </c>
      <c r="J227" s="215" t="s">
        <v>360</v>
      </c>
      <c r="K227" s="208">
        <v>-4443.9199999999955</v>
      </c>
    </row>
    <row r="228" spans="1:11" hidden="1">
      <c r="A228" s="211" t="s">
        <v>263</v>
      </c>
      <c r="B228" s="211" t="str">
        <f>VLOOKUP(MONTH(C228),'Lookup Tables'!$A$3:$B$14,2,FALSE)</f>
        <v>May</v>
      </c>
      <c r="C228" s="213">
        <v>43957</v>
      </c>
      <c r="D228" s="211" t="s">
        <v>919</v>
      </c>
      <c r="E228" s="211" t="str">
        <f t="shared" si="3"/>
        <v>May Dining Treats</v>
      </c>
      <c r="F228" s="211" t="s">
        <v>87</v>
      </c>
      <c r="G228" s="211" t="str">
        <f>IFERROR(VLOOKUP(F228,'2020 Budget'!$A$4:$B$462,2,FALSE),"N/F")</f>
        <v>04. Family Expenses</v>
      </c>
      <c r="H228" s="211">
        <v>-3.51</v>
      </c>
      <c r="I228" s="211">
        <v>-4468.9199999999983</v>
      </c>
      <c r="J228" s="215" t="s">
        <v>360</v>
      </c>
      <c r="K228" s="208">
        <v>-4468.9199999999955</v>
      </c>
    </row>
    <row r="229" spans="1:11" hidden="1">
      <c r="A229" s="211" t="s">
        <v>263</v>
      </c>
      <c r="B229" s="211" t="str">
        <f>VLOOKUP(MONTH(C229),'Lookup Tables'!$A$3:$B$14,2,FALSE)</f>
        <v>May</v>
      </c>
      <c r="C229" s="213">
        <v>43958</v>
      </c>
      <c r="D229" s="211" t="s">
        <v>890</v>
      </c>
      <c r="E229" s="211" t="str">
        <f t="shared" si="3"/>
        <v>May Dining Fast Food</v>
      </c>
      <c r="F229" s="211" t="s">
        <v>85</v>
      </c>
      <c r="G229" s="211" t="str">
        <f>IFERROR(VLOOKUP(F229,'2020 Budget'!$A$4:$B$462,2,FALSE),"N/F")</f>
        <v>04. Family Expenses</v>
      </c>
      <c r="H229" s="211">
        <v>-20.75</v>
      </c>
      <c r="I229" s="211">
        <v>-4489.6699999999983</v>
      </c>
      <c r="J229" s="215" t="s">
        <v>360</v>
      </c>
      <c r="K229" s="208">
        <v>-4489.6699999999955</v>
      </c>
    </row>
    <row r="230" spans="1:11" hidden="1">
      <c r="A230" s="211" t="s">
        <v>263</v>
      </c>
      <c r="B230" s="211" t="str">
        <f>VLOOKUP(MONTH(C230),'Lookup Tables'!$A$3:$B$14,2,FALSE)</f>
        <v>May</v>
      </c>
      <c r="C230" s="213">
        <v>43959</v>
      </c>
      <c r="D230" s="211" t="s">
        <v>473</v>
      </c>
      <c r="E230" s="211" t="str">
        <f t="shared" si="3"/>
        <v>May Service Internet Cable TV</v>
      </c>
      <c r="F230" s="211" t="s">
        <v>15</v>
      </c>
      <c r="G230" s="211" t="str">
        <f>IFERROR(VLOOKUP(F230,'2020 Budget'!$A$4:$B$462,2,FALSE),"N/F")</f>
        <v>09. Internet TV Entertainment Electronics</v>
      </c>
      <c r="H230" s="211">
        <v>-6.99</v>
      </c>
      <c r="I230" s="211">
        <v>-4502.4399999999978</v>
      </c>
      <c r="J230" s="215" t="s">
        <v>360</v>
      </c>
      <c r="K230" s="208">
        <v>-4502.4399999999951</v>
      </c>
    </row>
    <row r="231" spans="1:11" hidden="1">
      <c r="A231" s="211" t="s">
        <v>263</v>
      </c>
      <c r="B231" s="211" t="str">
        <f>VLOOKUP(MONTH(C231),'Lookup Tables'!$A$3:$B$14,2,FALSE)</f>
        <v>May</v>
      </c>
      <c r="C231" s="213">
        <v>43959</v>
      </c>
      <c r="D231" s="211" t="s">
        <v>266</v>
      </c>
      <c r="E231" s="211" t="str">
        <f t="shared" si="3"/>
        <v>May Dining Fast Food</v>
      </c>
      <c r="F231" s="211" t="s">
        <v>85</v>
      </c>
      <c r="G231" s="211" t="str">
        <f>IFERROR(VLOOKUP(F231,'2020 Budget'!$A$4:$B$462,2,FALSE),"N/F")</f>
        <v>04. Family Expenses</v>
      </c>
      <c r="H231" s="211">
        <v>-5.78</v>
      </c>
      <c r="I231" s="211">
        <v>-4495.449999999998</v>
      </c>
      <c r="J231" s="215" t="s">
        <v>360</v>
      </c>
      <c r="K231" s="208">
        <v>-4495.4499999999953</v>
      </c>
    </row>
    <row r="232" spans="1:11" hidden="1">
      <c r="A232" s="211" t="s">
        <v>263</v>
      </c>
      <c r="B232" s="211" t="str">
        <f>VLOOKUP(MONTH(C232),'Lookup Tables'!$A$3:$B$14,2,FALSE)</f>
        <v>May</v>
      </c>
      <c r="C232" s="213">
        <v>43960</v>
      </c>
      <c r="D232" s="211" t="s">
        <v>918</v>
      </c>
      <c r="E232" s="211" t="str">
        <f t="shared" si="3"/>
        <v>May Charity Cash Donation</v>
      </c>
      <c r="F232" s="218" t="s">
        <v>953</v>
      </c>
      <c r="G232" s="211" t="str">
        <f>IFERROR(VLOOKUP(F232,'2020 Budget'!$A$4:$B$462,2,FALSE),"N/F")</f>
        <v>04. Family Expenses</v>
      </c>
      <c r="H232" s="211">
        <v>-50</v>
      </c>
      <c r="I232" s="211">
        <v>-4552.4399999999978</v>
      </c>
      <c r="J232" s="215" t="s">
        <v>360</v>
      </c>
      <c r="K232" s="208">
        <v>-4552.4399999999951</v>
      </c>
    </row>
    <row r="233" spans="1:11" hidden="1">
      <c r="A233" s="211" t="s">
        <v>263</v>
      </c>
      <c r="B233" s="211" t="str">
        <f>VLOOKUP(MONTH(C233),'Lookup Tables'!$A$3:$B$14,2,FALSE)</f>
        <v>May</v>
      </c>
      <c r="C233" s="213">
        <v>43963</v>
      </c>
      <c r="D233" s="211" t="s">
        <v>917</v>
      </c>
      <c r="E233" s="211" t="str">
        <f t="shared" si="3"/>
        <v>May Auto Care</v>
      </c>
      <c r="F233" s="218" t="s">
        <v>557</v>
      </c>
      <c r="G233" s="211" t="str">
        <f>IFERROR(VLOOKUP(F233,'2020 Budget'!$A$4:$B$462,2,FALSE),"N/F")</f>
        <v>05. Dodge Dart Auto Expenses</v>
      </c>
      <c r="H233" s="211">
        <v>-44</v>
      </c>
      <c r="I233" s="211">
        <v>-4596.4399999999978</v>
      </c>
      <c r="J233" s="215" t="s">
        <v>360</v>
      </c>
      <c r="K233" s="208">
        <v>-4596.4399999999951</v>
      </c>
    </row>
    <row r="234" spans="1:11" hidden="1">
      <c r="A234" s="211" t="s">
        <v>263</v>
      </c>
      <c r="B234" s="211" t="str">
        <f>VLOOKUP(MONTH(C234),'Lookup Tables'!$A$3:$B$14,2,FALSE)</f>
        <v>May</v>
      </c>
      <c r="C234" s="213">
        <v>43963</v>
      </c>
      <c r="D234" s="211" t="s">
        <v>917</v>
      </c>
      <c r="E234" s="211" t="str">
        <f t="shared" si="3"/>
        <v>May Auto Care</v>
      </c>
      <c r="F234" s="218" t="s">
        <v>557</v>
      </c>
      <c r="G234" s="211" t="str">
        <f>IFERROR(VLOOKUP(F234,'2020 Budget'!$A$4:$B$462,2,FALSE),"N/F")</f>
        <v>05. Dodge Dart Auto Expenses</v>
      </c>
      <c r="H234" s="211">
        <v>-50</v>
      </c>
      <c r="I234" s="211">
        <v>-4646.4399999999978</v>
      </c>
      <c r="J234" s="215" t="s">
        <v>360</v>
      </c>
      <c r="K234" s="208">
        <v>-4646.4399999999951</v>
      </c>
    </row>
    <row r="235" spans="1:11" hidden="1">
      <c r="A235" s="211" t="s">
        <v>263</v>
      </c>
      <c r="B235" s="211" t="str">
        <f>VLOOKUP(MONTH(C235),'Lookup Tables'!$A$3:$B$14,2,FALSE)</f>
        <v>May</v>
      </c>
      <c r="C235" s="213">
        <v>43963</v>
      </c>
      <c r="D235" s="211" t="s">
        <v>939</v>
      </c>
      <c r="E235" s="211" t="str">
        <f t="shared" si="3"/>
        <v>May Merchandise Computer</v>
      </c>
      <c r="F235" s="211" t="s">
        <v>35</v>
      </c>
      <c r="G235" s="211" t="str">
        <f>IFERROR(VLOOKUP(F235,'2020 Budget'!$A$4:$B$462,2,FALSE),"N/F")</f>
        <v>09. Internet TV Entertainment Electronics</v>
      </c>
      <c r="H235" s="211">
        <v>23.31</v>
      </c>
      <c r="I235" s="211">
        <v>-4640.7699999999977</v>
      </c>
      <c r="J235" s="215" t="s">
        <v>360</v>
      </c>
      <c r="K235" s="208">
        <v>-4640.769999999995</v>
      </c>
    </row>
    <row r="236" spans="1:11" hidden="1">
      <c r="A236" s="211" t="s">
        <v>263</v>
      </c>
      <c r="B236" s="211" t="str">
        <f>VLOOKUP(MONTH(C236),'Lookup Tables'!$A$3:$B$14,2,FALSE)</f>
        <v>May</v>
      </c>
      <c r="C236" s="213">
        <v>43963</v>
      </c>
      <c r="D236" s="211" t="s">
        <v>940</v>
      </c>
      <c r="E236" s="211" t="str">
        <f t="shared" si="3"/>
        <v>May Merchandise Computer</v>
      </c>
      <c r="F236" s="211" t="s">
        <v>35</v>
      </c>
      <c r="G236" s="211" t="str">
        <f>IFERROR(VLOOKUP(F236,'2020 Budget'!$A$4:$B$462,2,FALSE),"N/F")</f>
        <v>09. Internet TV Entertainment Electronics</v>
      </c>
      <c r="H236" s="211">
        <v>-23.31</v>
      </c>
      <c r="I236" s="211">
        <v>-4664.0799999999981</v>
      </c>
      <c r="J236" s="215" t="s">
        <v>360</v>
      </c>
      <c r="K236" s="208">
        <v>-4664.0799999999954</v>
      </c>
    </row>
    <row r="237" spans="1:11" hidden="1">
      <c r="A237" s="211" t="s">
        <v>263</v>
      </c>
      <c r="B237" s="211" t="str">
        <f>VLOOKUP(MONTH(C237),'Lookup Tables'!$A$3:$B$14,2,FALSE)</f>
        <v>May</v>
      </c>
      <c r="C237" s="213">
        <v>43963</v>
      </c>
      <c r="D237" s="211" t="s">
        <v>971</v>
      </c>
      <c r="E237" s="211" t="str">
        <f t="shared" si="3"/>
        <v>May Dining Treats</v>
      </c>
      <c r="F237" s="211" t="s">
        <v>87</v>
      </c>
      <c r="G237" s="211" t="str">
        <f>IFERROR(VLOOKUP(F237,'2020 Budget'!$A$4:$B$462,2,FALSE),"N/F")</f>
        <v>04. Family Expenses</v>
      </c>
      <c r="H237" s="211">
        <v>-1.89</v>
      </c>
      <c r="I237" s="211">
        <v>-4664.0799999999981</v>
      </c>
      <c r="J237" s="215" t="s">
        <v>360</v>
      </c>
      <c r="K237" s="208">
        <v>-4664.0799999999954</v>
      </c>
    </row>
    <row r="238" spans="1:11" hidden="1">
      <c r="A238" s="211" t="s">
        <v>263</v>
      </c>
      <c r="B238" s="211" t="str">
        <f>VLOOKUP(MONTH(C238),'Lookup Tables'!$A$3:$B$14,2,FALSE)</f>
        <v>May</v>
      </c>
      <c r="C238" s="213">
        <v>43963</v>
      </c>
      <c r="D238" s="211" t="s">
        <v>970</v>
      </c>
      <c r="E238" s="211" t="str">
        <f t="shared" si="3"/>
        <v>May Dining Fast Food</v>
      </c>
      <c r="F238" s="211" t="s">
        <v>85</v>
      </c>
      <c r="G238" s="211" t="str">
        <f>IFERROR(VLOOKUP(F238,'2020 Budget'!$A$4:$B$462,2,FALSE),"N/F")</f>
        <v>04. Family Expenses</v>
      </c>
      <c r="H238" s="211">
        <v>-6.75</v>
      </c>
      <c r="I238" s="211">
        <v>-4653.1899999999978</v>
      </c>
      <c r="J238" s="215" t="s">
        <v>360</v>
      </c>
      <c r="K238" s="208">
        <v>-4653.1899999999951</v>
      </c>
    </row>
    <row r="239" spans="1:11" hidden="1">
      <c r="A239" s="211" t="s">
        <v>263</v>
      </c>
      <c r="B239" s="211" t="str">
        <f>VLOOKUP(MONTH(C239),'Lookup Tables'!$A$3:$B$14,2,FALSE)</f>
        <v>May</v>
      </c>
      <c r="C239" s="213">
        <v>43963</v>
      </c>
      <c r="D239" s="211" t="s">
        <v>916</v>
      </c>
      <c r="E239" s="211" t="str">
        <f t="shared" si="3"/>
        <v>May Dining Fast Food</v>
      </c>
      <c r="F239" s="211" t="s">
        <v>85</v>
      </c>
      <c r="G239" s="211" t="str">
        <f>IFERROR(VLOOKUP(F239,'2020 Budget'!$A$4:$B$462,2,FALSE),"N/F")</f>
        <v>04. Family Expenses</v>
      </c>
      <c r="H239" s="211">
        <v>-9</v>
      </c>
      <c r="I239" s="211">
        <v>-4662.1899999999978</v>
      </c>
      <c r="J239" s="215" t="s">
        <v>360</v>
      </c>
      <c r="K239" s="208">
        <v>-4662.1899999999951</v>
      </c>
    </row>
    <row r="240" spans="1:11" ht="23.1" hidden="1" customHeight="1">
      <c r="A240" s="211" t="s">
        <v>263</v>
      </c>
      <c r="B240" s="211" t="str">
        <f>VLOOKUP(MONTH(C240),'Lookup Tables'!$A$3:$B$14,2,FALSE)</f>
        <v>May</v>
      </c>
      <c r="C240" s="213">
        <v>43963</v>
      </c>
      <c r="D240" s="211" t="s">
        <v>915</v>
      </c>
      <c r="E240" s="211" t="str">
        <f t="shared" si="3"/>
        <v>May Merchandise Home</v>
      </c>
      <c r="F240" s="211" t="s">
        <v>19</v>
      </c>
      <c r="G240" s="211" t="str">
        <f>IFERROR(VLOOKUP(F240,'2020 Budget'!$A$4:$B$462,2,FALSE),"N/F")</f>
        <v>04. Household Expenses</v>
      </c>
      <c r="H240" s="211">
        <v>-3.05</v>
      </c>
      <c r="I240" s="211">
        <v>-4667.1299999999983</v>
      </c>
      <c r="J240" s="215" t="s">
        <v>360</v>
      </c>
      <c r="K240" s="208">
        <v>-4667.1299999999956</v>
      </c>
    </row>
    <row r="241" spans="1:11" ht="23.1" hidden="1" customHeight="1">
      <c r="A241" s="211" t="s">
        <v>263</v>
      </c>
      <c r="B241" s="211" t="str">
        <f>VLOOKUP(MONTH(C241),'Lookup Tables'!$A$3:$B$14,2,FALSE)</f>
        <v>May</v>
      </c>
      <c r="C241" s="213">
        <v>43965</v>
      </c>
      <c r="D241" s="211" t="s">
        <v>302</v>
      </c>
      <c r="E241" s="211" t="str">
        <f t="shared" si="3"/>
        <v>May Service Computer</v>
      </c>
      <c r="F241" s="211" t="s">
        <v>88</v>
      </c>
      <c r="G241" s="211" t="str">
        <f>IFERROR(VLOOKUP(F241,'2020 Budget'!$A$4:$B$462,2,FALSE),"N/F")</f>
        <v>09. Internet TV Entertainment Electronics</v>
      </c>
      <c r="H241" s="211">
        <v>-0.99</v>
      </c>
      <c r="I241" s="211">
        <v>-4922.7599999999975</v>
      </c>
      <c r="J241" s="215" t="s">
        <v>360</v>
      </c>
      <c r="K241" s="208">
        <v>-4922.7599999999948</v>
      </c>
    </row>
    <row r="242" spans="1:11" ht="23.1" hidden="1" customHeight="1">
      <c r="A242" s="211" t="s">
        <v>263</v>
      </c>
      <c r="B242" s="211" t="str">
        <f>VLOOKUP(MONTH(C242),'Lookup Tables'!$A$3:$B$14,2,FALSE)</f>
        <v>May</v>
      </c>
      <c r="C242" s="213">
        <v>43965</v>
      </c>
      <c r="D242" s="211" t="s">
        <v>303</v>
      </c>
      <c r="E242" s="211" t="str">
        <f t="shared" si="3"/>
        <v>May Service Internet Cable TV</v>
      </c>
      <c r="F242" s="211" t="s">
        <v>15</v>
      </c>
      <c r="G242" s="211" t="str">
        <f>IFERROR(VLOOKUP(F242,'2020 Budget'!$A$4:$B$462,2,FALSE),"N/F")</f>
        <v>09. Internet TV Entertainment Electronics</v>
      </c>
      <c r="H242" s="211">
        <v>-74.34</v>
      </c>
      <c r="I242" s="211">
        <v>-4997.0999999999976</v>
      </c>
      <c r="J242" s="215" t="s">
        <v>360</v>
      </c>
      <c r="K242" s="208">
        <v>-4997.0999999999949</v>
      </c>
    </row>
    <row r="243" spans="1:11" hidden="1">
      <c r="A243" s="211" t="s">
        <v>263</v>
      </c>
      <c r="B243" s="211" t="str">
        <f>VLOOKUP(MONTH(C243),'Lookup Tables'!$A$3:$B$14,2,FALSE)</f>
        <v>May</v>
      </c>
      <c r="C243" s="213">
        <v>43965</v>
      </c>
      <c r="D243" s="211" t="s">
        <v>454</v>
      </c>
      <c r="E243" s="211" t="str">
        <f t="shared" si="3"/>
        <v>May Mom Phone</v>
      </c>
      <c r="F243" s="211" t="s">
        <v>93</v>
      </c>
      <c r="G243" s="211" t="str">
        <f>IFERROR(VLOOKUP(F243,'2020 Budget'!$A$4:$B$462,2,FALSE),"N/F")</f>
        <v>10. Mom Expenses</v>
      </c>
      <c r="H243" s="211">
        <f>-254.64*0.25</f>
        <v>-63.66</v>
      </c>
      <c r="I243" s="211">
        <v>-4730.7899999999981</v>
      </c>
      <c r="J243" s="215" t="s">
        <v>360</v>
      </c>
      <c r="K243" s="208">
        <v>-4730.7899999999954</v>
      </c>
    </row>
    <row r="244" spans="1:11" hidden="1">
      <c r="A244" s="211" t="s">
        <v>263</v>
      </c>
      <c r="B244" s="211" t="str">
        <f>VLOOKUP(MONTH(C244),'Lookup Tables'!$A$3:$B$14,2,FALSE)</f>
        <v>May</v>
      </c>
      <c r="C244" s="213">
        <v>43965</v>
      </c>
      <c r="D244" s="211" t="s">
        <v>454</v>
      </c>
      <c r="E244" s="211" t="str">
        <f t="shared" si="3"/>
        <v>May Phone</v>
      </c>
      <c r="F244" s="211" t="s">
        <v>21</v>
      </c>
      <c r="G244" s="211" t="str">
        <f>IFERROR(VLOOKUP(F244,'2020 Budget'!$A$4:$B$462,2,FALSE),"N/F")</f>
        <v>09. Internet TV Entertainment Electronics</v>
      </c>
      <c r="H244" s="211">
        <f>-254.64*0.75</f>
        <v>-190.98</v>
      </c>
      <c r="I244" s="211">
        <v>-4921.7699999999977</v>
      </c>
      <c r="J244" s="215" t="s">
        <v>360</v>
      </c>
      <c r="K244" s="208">
        <v>-4921.769999999995</v>
      </c>
    </row>
    <row r="245" spans="1:11" hidden="1">
      <c r="A245" s="211" t="s">
        <v>263</v>
      </c>
      <c r="B245" s="211" t="str">
        <f>VLOOKUP(MONTH(C245),'Lookup Tables'!$A$3:$B$14,2,FALSE)</f>
        <v>May</v>
      </c>
      <c r="C245" s="213">
        <v>43966</v>
      </c>
      <c r="D245" s="211" t="s">
        <v>934</v>
      </c>
      <c r="E245" s="211" t="str">
        <f t="shared" si="3"/>
        <v>May Merchandise Computer</v>
      </c>
      <c r="F245" s="211" t="s">
        <v>35</v>
      </c>
      <c r="G245" s="211" t="str">
        <f>IFERROR(VLOOKUP(F245,'2020 Budget'!$A$4:$B$462,2,FALSE),"N/F")</f>
        <v>09. Internet TV Entertainment Electronics</v>
      </c>
      <c r="H245" s="211">
        <v>-62.53</v>
      </c>
      <c r="I245" s="211">
        <v>-5400.3799999999974</v>
      </c>
      <c r="J245" s="215" t="s">
        <v>360</v>
      </c>
      <c r="K245" s="208">
        <v>-5400.3799999999947</v>
      </c>
    </row>
    <row r="246" spans="1:11" hidden="1">
      <c r="A246" s="211" t="s">
        <v>263</v>
      </c>
      <c r="B246" s="211" t="str">
        <f>VLOOKUP(MONTH(C246),'Lookup Tables'!$A$3:$B$14,2,FALSE)</f>
        <v>May</v>
      </c>
      <c r="C246" s="213">
        <v>43966</v>
      </c>
      <c r="D246" s="211" t="s">
        <v>298</v>
      </c>
      <c r="E246" s="211" t="str">
        <f t="shared" si="3"/>
        <v>May Auto Insurance</v>
      </c>
      <c r="F246" s="211" t="s">
        <v>316</v>
      </c>
      <c r="G246" s="211" t="str">
        <f>IFERROR(VLOOKUP(F246,'2020 Budget'!$A$4:$B$462,2,FALSE),"N/F")</f>
        <v>05. Dodge Dart Auto Expenses</v>
      </c>
      <c r="H246" s="211">
        <v>-340.75</v>
      </c>
      <c r="I246" s="211">
        <v>-5337.8499999999976</v>
      </c>
      <c r="J246" s="215" t="s">
        <v>360</v>
      </c>
      <c r="K246" s="208">
        <v>-5337.8499999999949</v>
      </c>
    </row>
    <row r="247" spans="1:11" hidden="1">
      <c r="A247" s="211" t="s">
        <v>263</v>
      </c>
      <c r="B247" s="211" t="str">
        <f>VLOOKUP(MONTH(C247),'Lookup Tables'!$A$3:$B$14,2,FALSE)</f>
        <v>May</v>
      </c>
      <c r="C247" s="213">
        <v>43968</v>
      </c>
      <c r="D247" s="211" t="s">
        <v>914</v>
      </c>
      <c r="E247" s="211" t="str">
        <f t="shared" si="3"/>
        <v>May Dining Fast Food</v>
      </c>
      <c r="F247" s="211" t="s">
        <v>85</v>
      </c>
      <c r="G247" s="211" t="str">
        <f>IFERROR(VLOOKUP(F247,'2020 Budget'!$A$4:$B$462,2,FALSE),"N/F")</f>
        <v>04. Family Expenses</v>
      </c>
      <c r="H247" s="211">
        <v>-8.4700000000000006</v>
      </c>
      <c r="I247" s="211">
        <v>-5408.8499999999976</v>
      </c>
      <c r="J247" s="215" t="s">
        <v>360</v>
      </c>
      <c r="K247" s="208">
        <v>-5408.8499999999949</v>
      </c>
    </row>
    <row r="248" spans="1:11" hidden="1">
      <c r="A248" s="211" t="s">
        <v>263</v>
      </c>
      <c r="B248" s="211" t="str">
        <f>VLOOKUP(MONTH(C248),'Lookup Tables'!$A$3:$B$14,2,FALSE)</f>
        <v>May</v>
      </c>
      <c r="C248" s="213">
        <v>43969</v>
      </c>
      <c r="D248" s="211" t="s">
        <v>302</v>
      </c>
      <c r="E248" s="211" t="str">
        <f t="shared" si="3"/>
        <v>May Service Computer</v>
      </c>
      <c r="F248" s="211" t="s">
        <v>88</v>
      </c>
      <c r="G248" s="211" t="str">
        <f>IFERROR(VLOOKUP(F248,'2020 Budget'!$A$4:$B$462,2,FALSE),"N/F")</f>
        <v>09. Internet TV Entertainment Electronics</v>
      </c>
      <c r="H248" s="211">
        <v>-0.99</v>
      </c>
      <c r="I248" s="211">
        <v>-5409.8399999999974</v>
      </c>
      <c r="J248" s="215" t="s">
        <v>360</v>
      </c>
      <c r="K248" s="208">
        <v>-5409.8399999999947</v>
      </c>
    </row>
    <row r="249" spans="1:11" hidden="1">
      <c r="A249" s="211" t="s">
        <v>263</v>
      </c>
      <c r="B249" s="211" t="str">
        <f>VLOOKUP(MONTH(C249),'Lookup Tables'!$A$3:$B$14,2,FALSE)</f>
        <v>May</v>
      </c>
      <c r="C249" s="213">
        <v>43970</v>
      </c>
      <c r="D249" s="211" t="s">
        <v>298</v>
      </c>
      <c r="E249" s="211" t="str">
        <f t="shared" si="3"/>
        <v>May Auto Insurance</v>
      </c>
      <c r="F249" s="211" t="s">
        <v>316</v>
      </c>
      <c r="G249" s="211" t="str">
        <f>IFERROR(VLOOKUP(F249,'2020 Budget'!$A$4:$B$462,2,FALSE),"N/F")</f>
        <v>05. Dodge Dart Auto Expenses</v>
      </c>
      <c r="H249" s="211">
        <v>46.4</v>
      </c>
      <c r="I249" s="211">
        <v>-5363.4399999999978</v>
      </c>
      <c r="J249" s="215" t="s">
        <v>360</v>
      </c>
      <c r="K249" s="208">
        <v>-5363.4399999999951</v>
      </c>
    </row>
    <row r="250" spans="1:11" hidden="1">
      <c r="A250" s="211" t="s">
        <v>263</v>
      </c>
      <c r="B250" s="211" t="str">
        <f>VLOOKUP(MONTH(C250),'Lookup Tables'!$A$3:$B$14,2,FALSE)</f>
        <v>May</v>
      </c>
      <c r="C250" s="213">
        <v>43971</v>
      </c>
      <c r="D250" s="211" t="s">
        <v>465</v>
      </c>
      <c r="E250" s="211" t="str">
        <f t="shared" si="3"/>
        <v>May Fee Credit Card Interest</v>
      </c>
      <c r="F250" s="211" t="s">
        <v>255</v>
      </c>
      <c r="G250" s="211" t="str">
        <f>IFERROR(VLOOKUP(F250,'2020 Budget'!$A$4:$B$462,2,FALSE),"N/F")</f>
        <v>14. Undesired Expenses</v>
      </c>
      <c r="H250" s="211">
        <v>-67.819999999999993</v>
      </c>
      <c r="I250" s="211">
        <v>-5459.2599999999975</v>
      </c>
      <c r="J250" s="215" t="s">
        <v>360</v>
      </c>
      <c r="K250" s="208">
        <v>-5459.2599999999948</v>
      </c>
    </row>
    <row r="251" spans="1:11" hidden="1">
      <c r="A251" s="211" t="s">
        <v>263</v>
      </c>
      <c r="B251" s="211" t="str">
        <f>VLOOKUP(MONTH(C251),'Lookup Tables'!$A$3:$B$14,2,FALSE)</f>
        <v>May</v>
      </c>
      <c r="C251" s="213">
        <v>43971</v>
      </c>
      <c r="D251" s="211" t="s">
        <v>912</v>
      </c>
      <c r="E251" s="211" t="str">
        <f t="shared" si="3"/>
        <v>May Fee Bank</v>
      </c>
      <c r="F251" s="218" t="s">
        <v>23</v>
      </c>
      <c r="G251" s="211" t="str">
        <f>IFERROR(VLOOKUP(F251,'2020 Budget'!$A$4:$B$462,2,FALSE),"N/F")</f>
        <v>14. Undesired Expense</v>
      </c>
      <c r="H251" s="211">
        <v>-28</v>
      </c>
      <c r="I251" s="211">
        <v>-5391.4399999999978</v>
      </c>
      <c r="J251" s="215" t="s">
        <v>360</v>
      </c>
      <c r="K251" s="208">
        <v>-5391.4399999999951</v>
      </c>
    </row>
    <row r="252" spans="1:11" hidden="1">
      <c r="A252" s="211" t="s">
        <v>263</v>
      </c>
      <c r="B252" s="211" t="str">
        <f>VLOOKUP(MONTH(C252),'Lookup Tables'!$A$3:$B$14,2,FALSE)</f>
        <v>May</v>
      </c>
      <c r="C252" s="213">
        <v>43972</v>
      </c>
      <c r="D252" s="211" t="s">
        <v>80</v>
      </c>
      <c r="E252" s="211" t="str">
        <f t="shared" si="3"/>
        <v>May Beginning Balance Other</v>
      </c>
      <c r="F252" s="211" t="s">
        <v>363</v>
      </c>
      <c r="G252" s="211" t="str">
        <f>IFERROR(VLOOKUP(F252,'2020 Budget'!$A$4:$B$462,2,FALSE),"N/F")</f>
        <v>16. Not Tracked</v>
      </c>
      <c r="H252" s="211"/>
      <c r="I252" s="221">
        <v>-5459.26</v>
      </c>
      <c r="J252" s="215" t="s">
        <v>360</v>
      </c>
      <c r="K252" s="208">
        <v>-5459.2599999999948</v>
      </c>
    </row>
    <row r="253" spans="1:11" hidden="1">
      <c r="A253" s="211" t="s">
        <v>263</v>
      </c>
      <c r="B253" s="211" t="str">
        <f>VLOOKUP(MONTH(C253),'Lookup Tables'!$A$3:$B$14,2,FALSE)</f>
        <v>May</v>
      </c>
      <c r="C253" s="213">
        <v>43973</v>
      </c>
      <c r="D253" s="211" t="s">
        <v>909</v>
      </c>
      <c r="E253" s="211" t="str">
        <f t="shared" si="3"/>
        <v>May CPBA Adv Education/Certifications</v>
      </c>
      <c r="F253" s="217" t="s">
        <v>657</v>
      </c>
      <c r="G253" s="211" t="str">
        <f>IFERROR(VLOOKUP(F253,'2020 Budget'!$A$4:$B$462,2,FALSE),"N/F")</f>
        <v>03. CP Business Analysis Expenses</v>
      </c>
      <c r="H253" s="211">
        <v>-79</v>
      </c>
      <c r="I253" s="211">
        <v>-8400.19</v>
      </c>
      <c r="J253" s="215" t="s">
        <v>360</v>
      </c>
      <c r="K253" s="208">
        <v>-8400.1899999999951</v>
      </c>
    </row>
    <row r="254" spans="1:11" hidden="1">
      <c r="A254" s="211" t="s">
        <v>263</v>
      </c>
      <c r="B254" s="211" t="str">
        <f>VLOOKUP(MONTH(C254),'Lookup Tables'!$A$3:$B$14,2,FALSE)</f>
        <v>May</v>
      </c>
      <c r="C254" s="213">
        <v>43973</v>
      </c>
      <c r="D254" s="211" t="s">
        <v>908</v>
      </c>
      <c r="E254" s="211" t="str">
        <f t="shared" si="3"/>
        <v>May Auto Repairs</v>
      </c>
      <c r="F254" s="217" t="s">
        <v>560</v>
      </c>
      <c r="G254" s="211" t="str">
        <f>IFERROR(VLOOKUP(F254,'2020 Budget'!$A$4:$B$462,2,FALSE),"N/F")</f>
        <v>05. Dodge Dart Auto Expenses</v>
      </c>
      <c r="H254" s="211">
        <v>-369.88</v>
      </c>
      <c r="I254" s="211">
        <v>-8321.19</v>
      </c>
      <c r="J254" s="215" t="s">
        <v>360</v>
      </c>
      <c r="K254" s="208">
        <v>-8321.1899999999951</v>
      </c>
    </row>
    <row r="255" spans="1:11" hidden="1">
      <c r="A255" s="211" t="s">
        <v>263</v>
      </c>
      <c r="B255" s="211" t="str">
        <f>VLOOKUP(MONTH(C255),'Lookup Tables'!$A$3:$B$14,2,FALSE)</f>
        <v>May</v>
      </c>
      <c r="C255" s="213">
        <v>43973</v>
      </c>
      <c r="D255" s="211" t="s">
        <v>910</v>
      </c>
      <c r="E255" s="211" t="str">
        <f t="shared" si="3"/>
        <v>May Merchandise Home</v>
      </c>
      <c r="F255" s="211" t="s">
        <v>19</v>
      </c>
      <c r="G255" s="211" t="str">
        <f>IFERROR(VLOOKUP(F255,'2020 Budget'!$A$4:$B$462,2,FALSE),"N/F")</f>
        <v>04. Household Expenses</v>
      </c>
      <c r="H255" s="211">
        <v>-23.9</v>
      </c>
      <c r="I255" s="211">
        <v>-8447.4</v>
      </c>
      <c r="J255" s="215" t="s">
        <v>360</v>
      </c>
      <c r="K255" s="208">
        <v>-8447.3999999999942</v>
      </c>
    </row>
    <row r="256" spans="1:11" hidden="1">
      <c r="A256" s="211" t="s">
        <v>263</v>
      </c>
      <c r="B256" s="211" t="str">
        <f>VLOOKUP(MONTH(C256),'Lookup Tables'!$A$3:$B$14,2,FALSE)</f>
        <v>May</v>
      </c>
      <c r="C256" s="213">
        <v>43973</v>
      </c>
      <c r="D256" s="211" t="s">
        <v>911</v>
      </c>
      <c r="E256" s="211" t="str">
        <f t="shared" si="3"/>
        <v>May Auto Repairs</v>
      </c>
      <c r="F256" s="211" t="s">
        <v>560</v>
      </c>
      <c r="G256" s="211" t="str">
        <f>IFERROR(VLOOKUP(F256,'2020 Budget'!$A$4:$B$462,2,FALSE),"N/F")</f>
        <v>05. Dodge Dart Auto Expenses</v>
      </c>
      <c r="H256" s="211">
        <v>-2492.0500000000002</v>
      </c>
      <c r="I256" s="211">
        <v>-7951.31</v>
      </c>
      <c r="J256" s="215" t="s">
        <v>360</v>
      </c>
      <c r="K256" s="208">
        <v>-7951.3099999999949</v>
      </c>
    </row>
    <row r="257" spans="1:11" hidden="1">
      <c r="A257" s="211" t="s">
        <v>263</v>
      </c>
      <c r="B257" s="211" t="str">
        <f>VLOOKUP(MONTH(C257),'Lookup Tables'!$A$3:$B$14,2,FALSE)</f>
        <v>May</v>
      </c>
      <c r="C257" s="213">
        <v>43973</v>
      </c>
      <c r="D257" s="211" t="s">
        <v>913</v>
      </c>
      <c r="E257" s="211" t="str">
        <f t="shared" si="3"/>
        <v>May Dining Restaurant</v>
      </c>
      <c r="F257" s="211" t="s">
        <v>145</v>
      </c>
      <c r="G257" s="211" t="str">
        <f>IFERROR(VLOOKUP(F257,'2020 Budget'!$A$4:$B$462,2,FALSE),"N/F")</f>
        <v>04. Family Expenses</v>
      </c>
      <c r="H257" s="211">
        <v>-23.31</v>
      </c>
      <c r="I257" s="211">
        <v>-8423.5</v>
      </c>
      <c r="J257" s="215" t="s">
        <v>360</v>
      </c>
      <c r="K257" s="208">
        <v>-8423.4999999999945</v>
      </c>
    </row>
    <row r="258" spans="1:11" hidden="1">
      <c r="A258" s="211" t="s">
        <v>263</v>
      </c>
      <c r="B258" s="211" t="str">
        <f>VLOOKUP(MONTH(C258),'Lookup Tables'!$A$3:$B$14,2,FALSE)</f>
        <v>Jun</v>
      </c>
      <c r="C258" s="213">
        <v>43983</v>
      </c>
      <c r="D258" s="211" t="s">
        <v>2</v>
      </c>
      <c r="E258" s="211" t="str">
        <f t="shared" ref="E258:E321" si="4">B258&amp;" "&amp;F258</f>
        <v>Jun Payment OTHER</v>
      </c>
      <c r="F258" s="211" t="s">
        <v>367</v>
      </c>
      <c r="G258" s="211" t="str">
        <f>IFERROR(VLOOKUP(F258,'2020 Budget'!$A$4:$B$462,2,FALSE),"N/F")</f>
        <v>16. Not Tracked</v>
      </c>
      <c r="H258" s="211">
        <v>3000</v>
      </c>
      <c r="I258" s="211">
        <v>-5447.4</v>
      </c>
      <c r="J258" s="215" t="s">
        <v>360</v>
      </c>
      <c r="K258" s="208">
        <v>-5447.3999999999942</v>
      </c>
    </row>
    <row r="259" spans="1:11" hidden="1">
      <c r="A259" s="211" t="s">
        <v>263</v>
      </c>
      <c r="B259" s="211" t="str">
        <f>VLOOKUP(MONTH(C259),'Lookup Tables'!$A$3:$B$14,2,FALSE)</f>
        <v>Jun</v>
      </c>
      <c r="C259" s="213">
        <v>43985</v>
      </c>
      <c r="D259" s="211" t="s">
        <v>907</v>
      </c>
      <c r="E259" s="211" t="str">
        <f t="shared" si="4"/>
        <v>Jun CPBA Linked In</v>
      </c>
      <c r="F259" s="211" t="s">
        <v>531</v>
      </c>
      <c r="G259" s="211" t="str">
        <f>IFERROR(VLOOKUP(F259,'2020 Budget'!$A$4:$B$462,2,FALSE),"N/F")</f>
        <v>03. CP Business Analysis Expenses</v>
      </c>
      <c r="H259" s="211">
        <v>-29.99</v>
      </c>
      <c r="I259" s="211">
        <v>-5477.3899999999994</v>
      </c>
      <c r="J259" s="215" t="s">
        <v>360</v>
      </c>
      <c r="K259" s="208">
        <v>-5477.389999999994</v>
      </c>
    </row>
    <row r="260" spans="1:11" hidden="1">
      <c r="A260" s="211" t="s">
        <v>263</v>
      </c>
      <c r="B260" s="211" t="str">
        <f>VLOOKUP(MONTH(C260),'Lookup Tables'!$A$3:$B$14,2,FALSE)</f>
        <v>Jun</v>
      </c>
      <c r="C260" s="213">
        <v>43985</v>
      </c>
      <c r="D260" s="211" t="s">
        <v>906</v>
      </c>
      <c r="E260" s="211" t="str">
        <f t="shared" si="4"/>
        <v>Jun CPBA Service Computer</v>
      </c>
      <c r="F260" s="211" t="s">
        <v>528</v>
      </c>
      <c r="G260" s="211" t="str">
        <f>IFERROR(VLOOKUP(F260,'2020 Budget'!$A$4:$B$462,2,FALSE),"N/F")</f>
        <v>03. CP Business Analysis Expenses</v>
      </c>
      <c r="H260" s="211">
        <v>-7</v>
      </c>
      <c r="I260" s="211">
        <v>-5484.3899999999994</v>
      </c>
      <c r="J260" s="215" t="s">
        <v>360</v>
      </c>
      <c r="K260" s="208">
        <v>-5484.389999999994</v>
      </c>
    </row>
    <row r="261" spans="1:11" hidden="1">
      <c r="A261" s="211" t="s">
        <v>263</v>
      </c>
      <c r="B261" s="211" t="str">
        <f>VLOOKUP(MONTH(C261),'Lookup Tables'!$A$3:$B$14,2,FALSE)</f>
        <v>Jun</v>
      </c>
      <c r="C261" s="213">
        <v>43986</v>
      </c>
      <c r="D261" s="211" t="s">
        <v>302</v>
      </c>
      <c r="E261" s="211" t="str">
        <f t="shared" si="4"/>
        <v>Jun Service Computer</v>
      </c>
      <c r="F261" s="211" t="s">
        <v>88</v>
      </c>
      <c r="G261" s="211" t="str">
        <f>IFERROR(VLOOKUP(F261,'2020 Budget'!$A$4:$B$462,2,FALSE),"N/F")</f>
        <v>09. Internet TV Entertainment Electronics</v>
      </c>
      <c r="H261" s="211">
        <v>-52.99</v>
      </c>
      <c r="I261" s="211">
        <v>-5537.3799999999992</v>
      </c>
      <c r="J261" s="215" t="s">
        <v>360</v>
      </c>
      <c r="K261" s="208">
        <v>-5537.3799999999937</v>
      </c>
    </row>
    <row r="262" spans="1:11" hidden="1">
      <c r="A262" s="211" t="s">
        <v>263</v>
      </c>
      <c r="B262" s="211" t="str">
        <f>VLOOKUP(MONTH(C262),'Lookup Tables'!$A$3:$B$14,2,FALSE)</f>
        <v>Jun</v>
      </c>
      <c r="C262" s="213">
        <v>43987</v>
      </c>
      <c r="D262" s="211" t="s">
        <v>302</v>
      </c>
      <c r="E262" s="211" t="str">
        <f t="shared" si="4"/>
        <v>Jun Service Computer</v>
      </c>
      <c r="F262" s="211" t="s">
        <v>88</v>
      </c>
      <c r="G262" s="211" t="str">
        <f>IFERROR(VLOOKUP(F262,'2020 Budget'!$A$4:$B$462,2,FALSE),"N/F")</f>
        <v>09. Internet TV Entertainment Electronics</v>
      </c>
      <c r="H262" s="211">
        <v>-0.99</v>
      </c>
      <c r="I262" s="211">
        <v>-5538.369999999999</v>
      </c>
      <c r="J262" s="215" t="s">
        <v>360</v>
      </c>
      <c r="K262" s="208">
        <v>-5538.3699999999935</v>
      </c>
    </row>
    <row r="263" spans="1:11" hidden="1">
      <c r="A263" s="211" t="s">
        <v>263</v>
      </c>
      <c r="B263" s="211" t="str">
        <f>VLOOKUP(MONTH(C263),'Lookup Tables'!$A$3:$B$14,2,FALSE)</f>
        <v>Jun</v>
      </c>
      <c r="C263" s="213">
        <v>43988</v>
      </c>
      <c r="D263" s="211" t="s">
        <v>545</v>
      </c>
      <c r="E263" s="211" t="str">
        <f t="shared" si="4"/>
        <v>Jun Auto Fuel</v>
      </c>
      <c r="F263" s="211" t="s">
        <v>558</v>
      </c>
      <c r="G263" s="211" t="str">
        <f>IFERROR(VLOOKUP(F263,'2020 Budget'!$A$4:$B$462,2,FALSE),"N/F")</f>
        <v>05. Dodge Dart Auto Expenses</v>
      </c>
      <c r="H263" s="211">
        <v>-26.64</v>
      </c>
      <c r="I263" s="211">
        <v>-5565.0099999999993</v>
      </c>
      <c r="J263" s="215" t="s">
        <v>360</v>
      </c>
      <c r="K263" s="208">
        <v>-5565.0099999999939</v>
      </c>
    </row>
    <row r="264" spans="1:11" hidden="1">
      <c r="A264" s="211" t="s">
        <v>263</v>
      </c>
      <c r="B264" s="211" t="str">
        <f>VLOOKUP(MONTH(C264),'Lookup Tables'!$A$3:$B$14,2,FALSE)</f>
        <v>Jun</v>
      </c>
      <c r="C264" s="213">
        <v>43989</v>
      </c>
      <c r="D264" s="211" t="s">
        <v>935</v>
      </c>
      <c r="E264" s="211" t="str">
        <f t="shared" si="4"/>
        <v>Jun Gifts Given</v>
      </c>
      <c r="F264" s="211" t="s">
        <v>83</v>
      </c>
      <c r="G264" s="211" t="str">
        <f>IFERROR(VLOOKUP(F264,'2020 Budget'!$A$4:$B$462,2,FALSE),"N/F")</f>
        <v>04. Family Expenses</v>
      </c>
      <c r="H264" s="211">
        <v>-10.71</v>
      </c>
      <c r="I264" s="211">
        <v>-5575.7199999999993</v>
      </c>
      <c r="J264" s="215" t="s">
        <v>360</v>
      </c>
      <c r="K264" s="208">
        <v>-5575.7199999999939</v>
      </c>
    </row>
    <row r="265" spans="1:11" hidden="1">
      <c r="A265" s="211" t="s">
        <v>263</v>
      </c>
      <c r="B265" s="211" t="str">
        <f>VLOOKUP(MONTH(C265),'Lookup Tables'!$A$3:$B$14,2,FALSE)</f>
        <v>Jun</v>
      </c>
      <c r="C265" s="213">
        <v>43989</v>
      </c>
      <c r="D265" s="211" t="s">
        <v>941</v>
      </c>
      <c r="E265" s="211" t="str">
        <f t="shared" si="4"/>
        <v>Jun Gifts Given</v>
      </c>
      <c r="F265" s="211" t="s">
        <v>83</v>
      </c>
      <c r="G265" s="211" t="str">
        <f>IFERROR(VLOOKUP(F265,'2020 Budget'!$A$4:$B$462,2,FALSE),"N/F")</f>
        <v>04. Family Expenses</v>
      </c>
      <c r="H265" s="211">
        <v>-8.4</v>
      </c>
      <c r="I265" s="211">
        <v>-5584.119999999999</v>
      </c>
      <c r="J265" s="215" t="s">
        <v>360</v>
      </c>
      <c r="K265" s="208">
        <v>-5584.1199999999935</v>
      </c>
    </row>
    <row r="266" spans="1:11" hidden="1">
      <c r="A266" s="211" t="s">
        <v>263</v>
      </c>
      <c r="B266" s="211" t="str">
        <f>VLOOKUP(MONTH(C266),'Lookup Tables'!$A$3:$B$14,2,FALSE)</f>
        <v>Jun</v>
      </c>
      <c r="C266" s="213">
        <v>43990</v>
      </c>
      <c r="D266" s="211" t="s">
        <v>937</v>
      </c>
      <c r="E266" s="211" t="str">
        <f t="shared" si="4"/>
        <v>Jun Gifts Given</v>
      </c>
      <c r="F266" s="211" t="s">
        <v>83</v>
      </c>
      <c r="G266" s="211" t="str">
        <f>IFERROR(VLOOKUP(F266,'2020 Budget'!$A$4:$B$462,2,FALSE),"N/F")</f>
        <v>04. Family Expenses</v>
      </c>
      <c r="H266" s="211">
        <v>-9.31</v>
      </c>
      <c r="I266" s="211">
        <v>-5593.4299999999994</v>
      </c>
      <c r="J266" s="215" t="s">
        <v>360</v>
      </c>
      <c r="K266" s="208">
        <v>-5593.4299999999939</v>
      </c>
    </row>
    <row r="267" spans="1:11" hidden="1">
      <c r="A267" s="211" t="s">
        <v>263</v>
      </c>
      <c r="B267" s="211" t="str">
        <f>VLOOKUP(MONTH(C267),'Lookup Tables'!$A$3:$B$14,2,FALSE)</f>
        <v>Jun</v>
      </c>
      <c r="C267" s="213">
        <v>43990</v>
      </c>
      <c r="D267" s="211" t="s">
        <v>949</v>
      </c>
      <c r="E267" s="211" t="str">
        <f t="shared" si="4"/>
        <v>Jun Gifts Given</v>
      </c>
      <c r="F267" s="211" t="s">
        <v>83</v>
      </c>
      <c r="G267" s="211" t="str">
        <f>IFERROR(VLOOKUP(F267,'2020 Budget'!$A$4:$B$462,2,FALSE),"N/F")</f>
        <v>04. Family Expenses</v>
      </c>
      <c r="H267" s="211">
        <v>-5.3</v>
      </c>
      <c r="I267" s="211">
        <v>-5598.73</v>
      </c>
      <c r="J267" s="215" t="s">
        <v>360</v>
      </c>
      <c r="K267" s="208">
        <v>-5598.7299999999941</v>
      </c>
    </row>
    <row r="268" spans="1:11" hidden="1">
      <c r="A268" s="211" t="s">
        <v>263</v>
      </c>
      <c r="B268" s="211" t="str">
        <f>VLOOKUP(MONTH(C268),'Lookup Tables'!$A$3:$B$14,2,FALSE)</f>
        <v>Jun</v>
      </c>
      <c r="C268" s="213">
        <v>43990</v>
      </c>
      <c r="D268" s="211" t="s">
        <v>473</v>
      </c>
      <c r="E268" s="211" t="str">
        <f t="shared" si="4"/>
        <v>Jun Service Internet Cable TV</v>
      </c>
      <c r="F268" s="211" t="s">
        <v>15</v>
      </c>
      <c r="G268" s="211" t="str">
        <f>IFERROR(VLOOKUP(F268,'2020 Budget'!$A$4:$B$462,2,FALSE),"N/F")</f>
        <v>09. Internet TV Entertainment Electronics</v>
      </c>
      <c r="H268" s="211">
        <v>-6.99</v>
      </c>
      <c r="I268" s="211">
        <v>-5605.7199999999993</v>
      </c>
      <c r="J268" s="215" t="s">
        <v>360</v>
      </c>
      <c r="K268" s="208">
        <v>-5605.7199999999939</v>
      </c>
    </row>
    <row r="269" spans="1:11" hidden="1">
      <c r="A269" s="211" t="s">
        <v>263</v>
      </c>
      <c r="B269" s="211" t="str">
        <f>VLOOKUP(MONTH(C269),'Lookup Tables'!$A$3:$B$14,2,FALSE)</f>
        <v>Jun</v>
      </c>
      <c r="C269" s="213">
        <v>43993</v>
      </c>
      <c r="D269" s="211" t="s">
        <v>905</v>
      </c>
      <c r="E269" s="211" t="str">
        <f t="shared" si="4"/>
        <v>Jun Entertainment</v>
      </c>
      <c r="F269" s="211" t="s">
        <v>18</v>
      </c>
      <c r="G269" s="211" t="str">
        <f>IFERROR(VLOOKUP(F269,'2020 Budget'!$A$4:$B$462,2,FALSE),"N/F")</f>
        <v>04. Family Expenses</v>
      </c>
      <c r="H269" s="211">
        <v>-5.99</v>
      </c>
      <c r="I269" s="211">
        <v>-5611.7099999999991</v>
      </c>
      <c r="J269" s="215" t="s">
        <v>360</v>
      </c>
      <c r="K269" s="208">
        <v>-5611.7099999999937</v>
      </c>
    </row>
    <row r="270" spans="1:11" hidden="1">
      <c r="A270" s="211" t="s">
        <v>263</v>
      </c>
      <c r="B270" s="211" t="str">
        <f>VLOOKUP(MONTH(C270),'Lookup Tables'!$A$3:$B$14,2,FALSE)</f>
        <v>Jun</v>
      </c>
      <c r="C270" s="213">
        <v>43994</v>
      </c>
      <c r="D270" s="211" t="s">
        <v>904</v>
      </c>
      <c r="E270" s="211" t="str">
        <f t="shared" si="4"/>
        <v>Jun Groceries</v>
      </c>
      <c r="F270" s="211" t="s">
        <v>11</v>
      </c>
      <c r="G270" s="211" t="str">
        <f>IFERROR(VLOOKUP(F270,'2020 Budget'!$A$4:$B$462,2,FALSE),"N/F")</f>
        <v>04. Family Expenses</v>
      </c>
      <c r="H270" s="211">
        <v>-9.85</v>
      </c>
      <c r="I270" s="211">
        <v>-5621.5599999999995</v>
      </c>
      <c r="J270" s="215" t="s">
        <v>360</v>
      </c>
      <c r="K270" s="208">
        <v>-5621.559999999994</v>
      </c>
    </row>
    <row r="271" spans="1:11" hidden="1">
      <c r="A271" s="211" t="s">
        <v>263</v>
      </c>
      <c r="B271" s="211" t="str">
        <f>VLOOKUP(MONTH(C271),'Lookup Tables'!$A$3:$B$14,2,FALSE)</f>
        <v>Jun</v>
      </c>
      <c r="C271" s="213">
        <v>43995</v>
      </c>
      <c r="D271" s="211" t="s">
        <v>312</v>
      </c>
      <c r="E271" s="211" t="str">
        <f t="shared" si="4"/>
        <v>Jun Groceries</v>
      </c>
      <c r="F271" s="211" t="s">
        <v>11</v>
      </c>
      <c r="G271" s="211" t="str">
        <f>IFERROR(VLOOKUP(F271,'2020 Budget'!$A$4:$B$462,2,FALSE),"N/F")</f>
        <v>04. Family Expenses</v>
      </c>
      <c r="H271" s="211">
        <v>-18.260000000000002</v>
      </c>
      <c r="I271" s="211">
        <v>-5639.82</v>
      </c>
      <c r="J271" s="215" t="s">
        <v>360</v>
      </c>
      <c r="K271" s="208">
        <v>-5639.8199999999943</v>
      </c>
    </row>
    <row r="272" spans="1:11" hidden="1">
      <c r="A272" s="211" t="s">
        <v>263</v>
      </c>
      <c r="B272" s="211" t="str">
        <f>VLOOKUP(MONTH(C272),'Lookup Tables'!$A$3:$B$14,2,FALSE)</f>
        <v>Jun</v>
      </c>
      <c r="C272" s="213">
        <v>43995</v>
      </c>
      <c r="D272" s="211" t="s">
        <v>454</v>
      </c>
      <c r="E272" s="211" t="str">
        <f t="shared" si="4"/>
        <v>Jun Phone</v>
      </c>
      <c r="F272" s="211" t="s">
        <v>21</v>
      </c>
      <c r="G272" s="211" t="str">
        <f>IFERROR(VLOOKUP(F272,'2020 Budget'!$A$4:$B$462,2,FALSE),"N/F")</f>
        <v>09. Internet TV Entertainment Electronics</v>
      </c>
      <c r="H272" s="211">
        <f>-258.31*0.75</f>
        <v>-193.73250000000002</v>
      </c>
      <c r="I272" s="211">
        <v>-5833.5524999999998</v>
      </c>
      <c r="J272" s="215" t="s">
        <v>360</v>
      </c>
      <c r="K272" s="208">
        <v>-5833.5524999999943</v>
      </c>
    </row>
    <row r="273" spans="1:11" hidden="1">
      <c r="A273" s="211" t="s">
        <v>263</v>
      </c>
      <c r="B273" s="211" t="str">
        <f>VLOOKUP(MONTH(C273),'Lookup Tables'!$A$3:$B$14,2,FALSE)</f>
        <v>Jun</v>
      </c>
      <c r="C273" s="213">
        <v>43995</v>
      </c>
      <c r="D273" s="211" t="s">
        <v>454</v>
      </c>
      <c r="E273" s="211" t="str">
        <f t="shared" si="4"/>
        <v>Jun Mom Phone</v>
      </c>
      <c r="F273" s="211" t="s">
        <v>93</v>
      </c>
      <c r="G273" s="211" t="str">
        <f>IFERROR(VLOOKUP(F273,'2020 Budget'!$A$4:$B$462,2,FALSE),"N/F")</f>
        <v>10. Mom Expenses</v>
      </c>
      <c r="H273" s="211">
        <f>-258.31*0.25</f>
        <v>-64.577500000000001</v>
      </c>
      <c r="I273" s="211">
        <v>-5898.13</v>
      </c>
      <c r="J273" s="215" t="s">
        <v>360</v>
      </c>
      <c r="K273" s="208">
        <v>-5898.1299999999947</v>
      </c>
    </row>
    <row r="274" spans="1:11" hidden="1">
      <c r="A274" s="211" t="s">
        <v>263</v>
      </c>
      <c r="B274" s="211" t="str">
        <f>VLOOKUP(MONTH(C274),'Lookup Tables'!$A$3:$B$14,2,FALSE)</f>
        <v>Jun</v>
      </c>
      <c r="C274" s="213">
        <v>43996</v>
      </c>
      <c r="D274" s="211" t="s">
        <v>936</v>
      </c>
      <c r="E274" s="211" t="str">
        <f t="shared" si="4"/>
        <v>Jun CPBA Office Equipment</v>
      </c>
      <c r="F274" s="217" t="s">
        <v>585</v>
      </c>
      <c r="G274" s="211" t="str">
        <f>IFERROR(VLOOKUP(F274,'2020 Budget'!$A$4:$B$462,2,FALSE),"N/F")</f>
        <v>03. CP Business Analysis Expenses</v>
      </c>
      <c r="H274" s="211">
        <v>-52.76</v>
      </c>
      <c r="I274" s="211">
        <v>-5886.3125</v>
      </c>
      <c r="J274" s="215" t="s">
        <v>360</v>
      </c>
      <c r="K274" s="208">
        <v>-5950.8899999999949</v>
      </c>
    </row>
    <row r="275" spans="1:11" hidden="1">
      <c r="A275" s="211" t="s">
        <v>263</v>
      </c>
      <c r="B275" s="211" t="str">
        <f>VLOOKUP(MONTH(C275),'Lookup Tables'!$A$3:$B$14,2,FALSE)</f>
        <v>Jun</v>
      </c>
      <c r="C275" s="213">
        <v>43996</v>
      </c>
      <c r="D275" s="211" t="s">
        <v>302</v>
      </c>
      <c r="E275" s="211" t="str">
        <f t="shared" si="4"/>
        <v>Jun Service Computer</v>
      </c>
      <c r="F275" s="211" t="s">
        <v>88</v>
      </c>
      <c r="G275" s="211" t="str">
        <f>IFERROR(VLOOKUP(F275,'2020 Budget'!$A$4:$B$462,2,FALSE),"N/F")</f>
        <v>09. Internet TV Entertainment Electronics</v>
      </c>
      <c r="H275" s="211">
        <v>-0.99</v>
      </c>
      <c r="I275" s="211">
        <v>-5887.3024999999998</v>
      </c>
      <c r="J275" s="215" t="s">
        <v>360</v>
      </c>
      <c r="K275" s="208">
        <v>-5951.8799999999947</v>
      </c>
    </row>
    <row r="276" spans="1:11" hidden="1">
      <c r="A276" s="211" t="s">
        <v>263</v>
      </c>
      <c r="B276" s="211" t="str">
        <f>VLOOKUP(MONTH(C276),'Lookup Tables'!$A$3:$B$14,2,FALSE)</f>
        <v>Jun</v>
      </c>
      <c r="C276" s="213">
        <v>43996</v>
      </c>
      <c r="D276" s="211" t="s">
        <v>303</v>
      </c>
      <c r="E276" s="211" t="str">
        <f t="shared" si="4"/>
        <v>Jun Service Internet Cable TV</v>
      </c>
      <c r="F276" s="211" t="s">
        <v>15</v>
      </c>
      <c r="G276" s="211" t="str">
        <f>IFERROR(VLOOKUP(F276,'2020 Budget'!$A$4:$B$462,2,FALSE),"N/F")</f>
        <v>09. Internet TV Entertainment Electronics</v>
      </c>
      <c r="H276" s="211">
        <v>-72.86</v>
      </c>
      <c r="I276" s="211">
        <v>-5960.1624999999995</v>
      </c>
      <c r="J276" s="215" t="s">
        <v>360</v>
      </c>
      <c r="K276" s="208">
        <v>-6024.7399999999943</v>
      </c>
    </row>
    <row r="277" spans="1:11" hidden="1">
      <c r="A277" s="211" t="s">
        <v>263</v>
      </c>
      <c r="B277" s="211" t="str">
        <f>VLOOKUP(MONTH(C277),'Lookup Tables'!$A$3:$B$14,2,FALSE)</f>
        <v>Jun</v>
      </c>
      <c r="C277" s="213">
        <v>43997</v>
      </c>
      <c r="D277" s="211" t="s">
        <v>497</v>
      </c>
      <c r="E277" s="211" t="str">
        <f t="shared" si="4"/>
        <v>Jun Dining Fast Food</v>
      </c>
      <c r="F277" s="211" t="s">
        <v>85</v>
      </c>
      <c r="G277" s="211" t="str">
        <f>IFERROR(VLOOKUP(F277,'2020 Budget'!$A$4:$B$462,2,FALSE),"N/F")</f>
        <v>04. Family Expenses</v>
      </c>
      <c r="H277" s="211">
        <v>-8.4700000000000006</v>
      </c>
      <c r="I277" s="211">
        <v>-6309.3824999999997</v>
      </c>
      <c r="J277" s="215" t="s">
        <v>360</v>
      </c>
      <c r="K277" s="208">
        <v>-6373.9599999999946</v>
      </c>
    </row>
    <row r="278" spans="1:11" hidden="1">
      <c r="A278" s="211" t="s">
        <v>263</v>
      </c>
      <c r="B278" s="211" t="str">
        <f>VLOOKUP(MONTH(C278),'Lookup Tables'!$A$3:$B$14,2,FALSE)</f>
        <v>Jun</v>
      </c>
      <c r="C278" s="213">
        <v>43997</v>
      </c>
      <c r="D278" s="211" t="s">
        <v>298</v>
      </c>
      <c r="E278" s="211" t="str">
        <f t="shared" si="4"/>
        <v>Jun Auto Insurance</v>
      </c>
      <c r="F278" s="211" t="s">
        <v>316</v>
      </c>
      <c r="G278" s="211" t="str">
        <f>IFERROR(VLOOKUP(F278,'2020 Budget'!$A$4:$B$462,2,FALSE),"N/F")</f>
        <v>05. Dodge Dart Auto Expenses</v>
      </c>
      <c r="H278" s="211">
        <v>-340.75</v>
      </c>
      <c r="I278" s="211">
        <v>-6300.9124999999995</v>
      </c>
      <c r="J278" s="215" t="s">
        <v>360</v>
      </c>
      <c r="K278" s="208">
        <v>-6365.4899999999943</v>
      </c>
    </row>
    <row r="279" spans="1:11" hidden="1">
      <c r="A279" s="211" t="s">
        <v>263</v>
      </c>
      <c r="B279" s="211" t="str">
        <f>VLOOKUP(MONTH(C279),'Lookup Tables'!$A$3:$B$14,2,FALSE)</f>
        <v>Jun</v>
      </c>
      <c r="C279" s="213">
        <v>43997</v>
      </c>
      <c r="D279" s="211" t="s">
        <v>894</v>
      </c>
      <c r="E279" s="211" t="str">
        <f t="shared" si="4"/>
        <v>Jun Dining Restaurant</v>
      </c>
      <c r="F279" s="211" t="s">
        <v>145</v>
      </c>
      <c r="G279" s="211" t="str">
        <f>IFERROR(VLOOKUP(F279,'2020 Budget'!$A$4:$B$462,2,FALSE),"N/F")</f>
        <v>04. Family Expenses</v>
      </c>
      <c r="H279" s="211">
        <v>-8.41</v>
      </c>
      <c r="I279" s="211">
        <v>-6317.7924999999996</v>
      </c>
      <c r="J279" s="215" t="s">
        <v>360</v>
      </c>
      <c r="K279" s="208">
        <v>-6382.3699999999944</v>
      </c>
    </row>
    <row r="280" spans="1:11" hidden="1">
      <c r="A280" s="211" t="s">
        <v>263</v>
      </c>
      <c r="B280" s="211" t="str">
        <f>VLOOKUP(MONTH(C280),'Lookup Tables'!$A$3:$B$14,2,FALSE)</f>
        <v>Jun</v>
      </c>
      <c r="C280" s="213">
        <v>43998</v>
      </c>
      <c r="D280" s="211" t="s">
        <v>903</v>
      </c>
      <c r="E280" s="211" t="str">
        <f t="shared" si="4"/>
        <v>Jun Merchandise HOme</v>
      </c>
      <c r="F280" s="211" t="s">
        <v>956</v>
      </c>
      <c r="G280" s="211" t="str">
        <f>IFERROR(VLOOKUP(F280,'2020 Budget'!$A$4:$B$462,2,FALSE),"N/F")</f>
        <v>04. Household Expenses</v>
      </c>
      <c r="H280" s="211">
        <v>-25.86</v>
      </c>
      <c r="I280" s="211">
        <v>-6343.6524999999992</v>
      </c>
      <c r="J280" s="215" t="s">
        <v>360</v>
      </c>
      <c r="K280" s="208">
        <v>-6408.2299999999941</v>
      </c>
    </row>
    <row r="281" spans="1:11" hidden="1">
      <c r="A281" s="211" t="s">
        <v>263</v>
      </c>
      <c r="B281" s="211" t="str">
        <f>VLOOKUP(MONTH(C281),'Lookup Tables'!$A$3:$B$14,2,FALSE)</f>
        <v>Jun</v>
      </c>
      <c r="C281" s="213">
        <v>44000</v>
      </c>
      <c r="D281" s="211" t="s">
        <v>302</v>
      </c>
      <c r="E281" s="211" t="str">
        <f t="shared" si="4"/>
        <v>Jun Service Computer</v>
      </c>
      <c r="F281" s="211" t="s">
        <v>88</v>
      </c>
      <c r="G281" s="211" t="str">
        <f>IFERROR(VLOOKUP(F281,'2020 Budget'!$A$4:$B$462,2,FALSE),"N/F")</f>
        <v>09. Internet TV Entertainment Electronics</v>
      </c>
      <c r="H281" s="211">
        <v>-0.99</v>
      </c>
      <c r="I281" s="211">
        <v>-6442.5224999999991</v>
      </c>
      <c r="J281" s="215" t="s">
        <v>360</v>
      </c>
      <c r="K281" s="208">
        <v>-6507.099999999994</v>
      </c>
    </row>
    <row r="282" spans="1:11" hidden="1">
      <c r="A282" s="211" t="s">
        <v>263</v>
      </c>
      <c r="B282" s="211" t="str">
        <f>VLOOKUP(MONTH(C282),'Lookup Tables'!$A$3:$B$14,2,FALSE)</f>
        <v>Jun</v>
      </c>
      <c r="C282" s="213">
        <v>44000</v>
      </c>
      <c r="D282" s="211" t="s">
        <v>465</v>
      </c>
      <c r="E282" s="211" t="str">
        <f t="shared" si="4"/>
        <v>Jun Fee Credit Card Interest</v>
      </c>
      <c r="F282" s="211" t="s">
        <v>255</v>
      </c>
      <c r="G282" s="211" t="str">
        <f>IFERROR(VLOOKUP(F282,'2020 Budget'!$A$4:$B$462,2,FALSE),"N/F")</f>
        <v>14. Undesired Expenses</v>
      </c>
      <c r="H282" s="211">
        <v>-97.88</v>
      </c>
      <c r="I282" s="211">
        <v>-6441.5324999999993</v>
      </c>
      <c r="J282" s="215" t="s">
        <v>360</v>
      </c>
      <c r="K282" s="208">
        <v>-6506.1099999999942</v>
      </c>
    </row>
    <row r="283" spans="1:11" hidden="1">
      <c r="A283" s="211" t="s">
        <v>263</v>
      </c>
      <c r="B283" s="211" t="str">
        <f>VLOOKUP(MONTH(C283),'Lookup Tables'!$A$3:$B$14,2,FALSE)</f>
        <v>Jun</v>
      </c>
      <c r="C283" s="213">
        <v>44003</v>
      </c>
      <c r="D283" s="211" t="s">
        <v>80</v>
      </c>
      <c r="E283" s="211" t="str">
        <f t="shared" si="4"/>
        <v>Jun Beginning Balance Other</v>
      </c>
      <c r="F283" s="211" t="s">
        <v>363</v>
      </c>
      <c r="G283" s="211" t="str">
        <f>IFERROR(VLOOKUP(F283,'2020 Budget'!$A$4:$B$462,2,FALSE),"N/F")</f>
        <v>16. Not Tracked</v>
      </c>
      <c r="H283" s="211"/>
      <c r="I283" s="221">
        <v>-6507.1</v>
      </c>
      <c r="J283" s="215" t="s">
        <v>360</v>
      </c>
      <c r="K283" s="208">
        <f>SUMIF($J$3:J283,"P",$H$3:H283)</f>
        <v>-6507.099999999994</v>
      </c>
    </row>
    <row r="284" spans="1:11" hidden="1">
      <c r="A284" s="211" t="s">
        <v>263</v>
      </c>
      <c r="B284" s="211" t="str">
        <f>VLOOKUP(MONTH(C284),'Lookup Tables'!$A$3:$B$14,2,FALSE)</f>
        <v>Jun</v>
      </c>
      <c r="C284" s="213">
        <v>44004</v>
      </c>
      <c r="D284" s="211" t="s">
        <v>900</v>
      </c>
      <c r="E284" s="211" t="str">
        <f t="shared" si="4"/>
        <v>Jun Dining Treats</v>
      </c>
      <c r="F284" s="211" t="s">
        <v>87</v>
      </c>
      <c r="G284" s="211" t="str">
        <f>IFERROR(VLOOKUP(F284,'2020 Budget'!$A$4:$B$462,2,FALSE),"N/F")</f>
        <v>04. Family Expenses</v>
      </c>
      <c r="H284" s="211">
        <v>-2.21</v>
      </c>
      <c r="I284" s="211">
        <f>I283+H284</f>
        <v>-6509.31</v>
      </c>
      <c r="J284" s="211"/>
      <c r="K284" s="208">
        <f>SUMIF($J$3:J284,"P",$H$3:H284)</f>
        <v>-6507.099999999994</v>
      </c>
    </row>
    <row r="285" spans="1:11" hidden="1">
      <c r="A285" s="211" t="s">
        <v>263</v>
      </c>
      <c r="B285" s="211" t="str">
        <f>VLOOKUP(MONTH(C285),'Lookup Tables'!$A$3:$B$14,2,FALSE)</f>
        <v>Jun</v>
      </c>
      <c r="C285" s="213">
        <v>44004</v>
      </c>
      <c r="D285" s="211" t="s">
        <v>901</v>
      </c>
      <c r="E285" s="211" t="str">
        <f t="shared" si="4"/>
        <v>Jun Dining Treats</v>
      </c>
      <c r="F285" s="211" t="s">
        <v>87</v>
      </c>
      <c r="G285" s="211" t="str">
        <f>IFERROR(VLOOKUP(F285,'2020 Budget'!$A$4:$B$462,2,FALSE),"N/F")</f>
        <v>04. Family Expenses</v>
      </c>
      <c r="H285" s="211">
        <v>-10.35</v>
      </c>
      <c r="I285" s="211">
        <f>I284+H285</f>
        <v>-6519.6600000000008</v>
      </c>
      <c r="J285" s="211"/>
      <c r="K285" s="208">
        <f>SUMIF($J$3:J285,"P",$H$3:H285)</f>
        <v>-6507.099999999994</v>
      </c>
    </row>
    <row r="286" spans="1:11" hidden="1">
      <c r="A286" s="211" t="s">
        <v>263</v>
      </c>
      <c r="B286" s="211" t="str">
        <f>VLOOKUP(MONTH(C286),'Lookup Tables'!$A$3:$B$14,2,FALSE)</f>
        <v>Jun</v>
      </c>
      <c r="C286" s="213">
        <v>44004</v>
      </c>
      <c r="D286" s="211" t="s">
        <v>884</v>
      </c>
      <c r="E286" s="211" t="str">
        <f t="shared" si="4"/>
        <v>Jun Dining Fast Food</v>
      </c>
      <c r="F286" s="217" t="s">
        <v>85</v>
      </c>
      <c r="G286" s="211" t="str">
        <f>IFERROR(VLOOKUP(F286,'2020 Budget'!$A$4:$B$462,2,FALSE),"N/F")</f>
        <v>04. Family Expenses</v>
      </c>
      <c r="H286" s="211">
        <v>-8.4700000000000006</v>
      </c>
      <c r="I286" s="211">
        <f>I285+H286</f>
        <v>-6528.130000000001</v>
      </c>
      <c r="J286" s="211"/>
      <c r="K286" s="208">
        <f>SUMIF($J$3:J286,"P",$H$3:H286)</f>
        <v>-6507.099999999994</v>
      </c>
    </row>
    <row r="287" spans="1:11" hidden="1">
      <c r="A287" s="211" t="s">
        <v>263</v>
      </c>
      <c r="B287" s="211" t="str">
        <f>VLOOKUP(MONTH(C287),'Lookup Tables'!$A$3:$B$14,2,FALSE)</f>
        <v>Jun</v>
      </c>
      <c r="C287" s="213">
        <v>44004</v>
      </c>
      <c r="D287" s="211" t="s">
        <v>295</v>
      </c>
      <c r="E287" s="211" t="str">
        <f t="shared" si="4"/>
        <v>Jun Groceries</v>
      </c>
      <c r="F287" s="211" t="s">
        <v>11</v>
      </c>
      <c r="G287" s="211" t="str">
        <f>IFERROR(VLOOKUP(F287,'2020 Budget'!$A$4:$B$462,2,FALSE),"N/F")</f>
        <v>04. Family Expenses</v>
      </c>
      <c r="H287" s="211">
        <v>-16.989999999999998</v>
      </c>
      <c r="I287" s="211">
        <f>I286+H287</f>
        <v>-6545.1200000000008</v>
      </c>
      <c r="J287" s="211"/>
      <c r="K287" s="208">
        <f>SUMIF($J$3:J287,"P",$H$3:H287)</f>
        <v>-6507.099999999994</v>
      </c>
    </row>
    <row r="288" spans="1:11" hidden="1">
      <c r="A288" s="211" t="s">
        <v>263</v>
      </c>
      <c r="B288" s="211" t="str">
        <f>VLOOKUP(MONTH(C288),'Lookup Tables'!$A$3:$B$14,2,FALSE)</f>
        <v>Jun</v>
      </c>
      <c r="C288" s="213">
        <v>44004</v>
      </c>
      <c r="D288" s="211" t="s">
        <v>295</v>
      </c>
      <c r="E288" s="211" t="str">
        <f t="shared" si="4"/>
        <v>Jun Groceries</v>
      </c>
      <c r="F288" s="211" t="s">
        <v>11</v>
      </c>
      <c r="G288" s="211" t="str">
        <f>IFERROR(VLOOKUP(F288,'2020 Budget'!$A$4:$B$462,2,FALSE),"N/F")</f>
        <v>04. Family Expenses</v>
      </c>
      <c r="H288" s="211">
        <v>-29.71</v>
      </c>
      <c r="I288" s="211">
        <f>I287+H288</f>
        <v>-6574.8300000000008</v>
      </c>
      <c r="J288" s="211"/>
      <c r="K288" s="208">
        <f>SUMIF($J$3:J288,"P",$H$3:H288)</f>
        <v>-6507.099999999994</v>
      </c>
    </row>
    <row r="289" spans="1:11" hidden="1">
      <c r="A289" s="211" t="s">
        <v>263</v>
      </c>
      <c r="B289" s="211" t="str">
        <f>VLOOKUP(MONTH(C289),'Lookup Tables'!$A$3:$B$14,2,FALSE)</f>
        <v>Jun</v>
      </c>
      <c r="C289" s="213">
        <v>44004</v>
      </c>
      <c r="D289" s="211" t="s">
        <v>902</v>
      </c>
      <c r="E289" s="211" t="str">
        <f t="shared" si="4"/>
        <v>Jun Dining Restaurant</v>
      </c>
      <c r="F289" s="211" t="s">
        <v>145</v>
      </c>
      <c r="G289" s="211" t="str">
        <f>IFERROR(VLOOKUP(F289,'2020 Budget'!$A$4:$B$462,2,FALSE),"N/F")</f>
        <v>04. Family Expenses</v>
      </c>
      <c r="H289" s="211">
        <v>-28.7</v>
      </c>
      <c r="I289" s="211">
        <f>I287+H289</f>
        <v>-6573.8200000000006</v>
      </c>
      <c r="J289" s="211"/>
      <c r="K289" s="208">
        <f>SUMIF($J$3:J289,"P",$H$3:H289)</f>
        <v>-6507.099999999994</v>
      </c>
    </row>
    <row r="290" spans="1:11" hidden="1">
      <c r="A290" s="211" t="s">
        <v>263</v>
      </c>
      <c r="B290" s="211" t="str">
        <f>VLOOKUP(MONTH(C290),'Lookup Tables'!$A$3:$B$14,2,FALSE)</f>
        <v>Jun</v>
      </c>
      <c r="C290" s="213">
        <v>44004</v>
      </c>
      <c r="D290" s="211" t="s">
        <v>314</v>
      </c>
      <c r="E290" s="211" t="str">
        <f t="shared" si="4"/>
        <v>Jun Auto Care</v>
      </c>
      <c r="F290" s="211" t="s">
        <v>557</v>
      </c>
      <c r="G290" s="211" t="str">
        <f>IFERROR(VLOOKUP(F290,'2020 Budget'!$A$4:$B$462,2,FALSE),"N/F")</f>
        <v>05. Dodge Dart Auto Expenses</v>
      </c>
      <c r="H290" s="211">
        <v>-21</v>
      </c>
      <c r="I290" s="211">
        <f t="shared" ref="I290:I321" si="5">I289+H290</f>
        <v>-6594.8200000000006</v>
      </c>
      <c r="J290" s="211"/>
      <c r="K290" s="208">
        <f>SUMIF($J$3:J290,"P",$H$3:H290)</f>
        <v>-6507.099999999994</v>
      </c>
    </row>
    <row r="291" spans="1:11" hidden="1">
      <c r="A291" s="211" t="s">
        <v>263</v>
      </c>
      <c r="B291" s="211" t="str">
        <f>VLOOKUP(MONTH(C291),'Lookup Tables'!$A$3:$B$14,2,FALSE)</f>
        <v>Jun</v>
      </c>
      <c r="C291" s="213">
        <v>44004</v>
      </c>
      <c r="D291" s="211" t="s">
        <v>300</v>
      </c>
      <c r="E291" s="211" t="str">
        <f t="shared" si="4"/>
        <v>Jun Merchandise Home</v>
      </c>
      <c r="F291" s="211" t="s">
        <v>19</v>
      </c>
      <c r="G291" s="211" t="str">
        <f>IFERROR(VLOOKUP(F291,'2020 Budget'!$A$4:$B$462,2,FALSE),"N/F")</f>
        <v>04. Household Expenses</v>
      </c>
      <c r="H291" s="211">
        <v>-9.36</v>
      </c>
      <c r="I291" s="211">
        <f t="shared" si="5"/>
        <v>-6604.18</v>
      </c>
      <c r="J291" s="211"/>
      <c r="K291" s="208">
        <f>SUMIF($J$3:J291,"P",$H$3:H291)</f>
        <v>-6507.099999999994</v>
      </c>
    </row>
    <row r="292" spans="1:11" hidden="1">
      <c r="A292" s="211" t="s">
        <v>263</v>
      </c>
      <c r="B292" s="211" t="str">
        <f>VLOOKUP(MONTH(C292),'Lookup Tables'!$A$3:$B$14,2,FALSE)</f>
        <v>Jun</v>
      </c>
      <c r="C292" s="213">
        <v>44005</v>
      </c>
      <c r="D292" s="211" t="s">
        <v>491</v>
      </c>
      <c r="E292" s="211" t="str">
        <f t="shared" si="4"/>
        <v>Jun Dining Fast Food</v>
      </c>
      <c r="F292" s="211" t="s">
        <v>85</v>
      </c>
      <c r="G292" s="211" t="str">
        <f>IFERROR(VLOOKUP(F292,'2020 Budget'!$A$4:$B$462,2,FALSE),"N/F")</f>
        <v>04. Family Expenses</v>
      </c>
      <c r="H292" s="211">
        <v>-17.03</v>
      </c>
      <c r="I292" s="211">
        <f t="shared" si="5"/>
        <v>-6621.21</v>
      </c>
      <c r="J292" s="211"/>
      <c r="K292" s="208">
        <f>SUMIF($J$3:J292,"P",$H$3:H292)</f>
        <v>-6507.099999999994</v>
      </c>
    </row>
    <row r="293" spans="1:11" hidden="1">
      <c r="A293" s="211" t="s">
        <v>263</v>
      </c>
      <c r="B293" s="211" t="str">
        <f>VLOOKUP(MONTH(C293),'Lookup Tables'!$A$3:$B$14,2,FALSE)</f>
        <v>Jun</v>
      </c>
      <c r="C293" s="213">
        <v>44006</v>
      </c>
      <c r="D293" s="211" t="s">
        <v>948</v>
      </c>
      <c r="E293" s="211" t="str">
        <f t="shared" si="4"/>
        <v>Jun Merchandise Home</v>
      </c>
      <c r="F293" s="211" t="s">
        <v>19</v>
      </c>
      <c r="G293" s="211" t="str">
        <f>IFERROR(VLOOKUP(F293,'2020 Budget'!$A$4:$B$462,2,FALSE),"N/F")</f>
        <v>04. Household Expenses</v>
      </c>
      <c r="H293" s="211">
        <v>-16.95</v>
      </c>
      <c r="I293" s="211">
        <f t="shared" si="5"/>
        <v>-6638.16</v>
      </c>
      <c r="J293" s="211"/>
      <c r="K293" s="208">
        <f>SUMIF($J$3:J293,"P",$H$3:H293)</f>
        <v>-6507.099999999994</v>
      </c>
    </row>
    <row r="294" spans="1:11" hidden="1">
      <c r="A294" s="211" t="s">
        <v>263</v>
      </c>
      <c r="B294" s="211" t="str">
        <f>VLOOKUP(MONTH(C294),'Lookup Tables'!$A$3:$B$14,2,FALSE)</f>
        <v>Jun</v>
      </c>
      <c r="C294" s="213">
        <v>44006</v>
      </c>
      <c r="D294" s="211" t="s">
        <v>297</v>
      </c>
      <c r="E294" s="211" t="str">
        <f t="shared" si="4"/>
        <v>Jun Dining Fast Food</v>
      </c>
      <c r="F294" s="211" t="s">
        <v>85</v>
      </c>
      <c r="G294" s="211" t="str">
        <f>IFERROR(VLOOKUP(F294,'2020 Budget'!$A$4:$B$462,2,FALSE),"N/F")</f>
        <v>04. Family Expenses</v>
      </c>
      <c r="H294" s="211">
        <v>-10.65</v>
      </c>
      <c r="I294" s="211">
        <f t="shared" si="5"/>
        <v>-6648.8099999999995</v>
      </c>
      <c r="J294" s="211"/>
      <c r="K294" s="208">
        <f>SUMIF($J$3:J294,"P",$H$3:H294)</f>
        <v>-6507.099999999994</v>
      </c>
    </row>
    <row r="295" spans="1:11" hidden="1">
      <c r="A295" s="211" t="s">
        <v>263</v>
      </c>
      <c r="B295" s="211" t="str">
        <f>VLOOKUP(MONTH(C295),'Lookup Tables'!$A$3:$B$14,2,FALSE)</f>
        <v>Jun</v>
      </c>
      <c r="C295" s="213">
        <v>44008</v>
      </c>
      <c r="D295" s="211" t="s">
        <v>942</v>
      </c>
      <c r="E295" s="211" t="str">
        <f t="shared" si="4"/>
        <v>Jun Gifts Given</v>
      </c>
      <c r="F295" s="211" t="s">
        <v>83</v>
      </c>
      <c r="G295" s="211" t="str">
        <f>IFERROR(VLOOKUP(F295,'2020 Budget'!$A$4:$B$462,2,FALSE),"N/F")</f>
        <v>04. Family Expenses</v>
      </c>
      <c r="H295" s="211">
        <v>8.4</v>
      </c>
      <c r="I295" s="211">
        <f t="shared" si="5"/>
        <v>-6640.41</v>
      </c>
      <c r="J295" s="211"/>
      <c r="K295" s="208">
        <f>SUMIF($J$3:J295,"P",$H$3:H295)</f>
        <v>-6507.099999999994</v>
      </c>
    </row>
    <row r="296" spans="1:11" hidden="1">
      <c r="A296" s="211" t="s">
        <v>263</v>
      </c>
      <c r="B296" s="211" t="str">
        <f>VLOOKUP(MONTH(C296),'Lookup Tables'!$A$3:$B$14,2,FALSE)</f>
        <v>Jun</v>
      </c>
      <c r="C296" s="213">
        <v>44008</v>
      </c>
      <c r="D296" s="211" t="s">
        <v>312</v>
      </c>
      <c r="E296" s="211" t="str">
        <f t="shared" si="4"/>
        <v>Jun Groceries</v>
      </c>
      <c r="F296" s="211" t="s">
        <v>11</v>
      </c>
      <c r="G296" s="211" t="str">
        <f>IFERROR(VLOOKUP(F296,'2020 Budget'!$A$4:$B$462,2,FALSE),"N/F")</f>
        <v>04. Family Expenses</v>
      </c>
      <c r="H296" s="211">
        <v>-47.7</v>
      </c>
      <c r="I296" s="211">
        <f t="shared" si="5"/>
        <v>-6688.11</v>
      </c>
      <c r="J296" s="211"/>
      <c r="K296" s="208">
        <f>SUMIF($J$3:J296,"P",$H$3:H296)</f>
        <v>-6507.099999999994</v>
      </c>
    </row>
    <row r="297" spans="1:11" hidden="1">
      <c r="A297" s="211" t="s">
        <v>263</v>
      </c>
      <c r="B297" s="211" t="str">
        <f>VLOOKUP(MONTH(C297),'Lookup Tables'!$A$3:$B$14,2,FALSE)</f>
        <v>Jun</v>
      </c>
      <c r="C297" s="213">
        <v>44008</v>
      </c>
      <c r="D297" s="211" t="s">
        <v>297</v>
      </c>
      <c r="E297" s="211" t="str">
        <f t="shared" si="4"/>
        <v>Jun Dining Fast Food</v>
      </c>
      <c r="F297" s="211" t="s">
        <v>85</v>
      </c>
      <c r="G297" s="211" t="str">
        <f>IFERROR(VLOOKUP(F297,'2020 Budget'!$A$4:$B$462,2,FALSE),"N/F")</f>
        <v>04. Family Expenses</v>
      </c>
      <c r="H297" s="211">
        <v>-12.26</v>
      </c>
      <c r="I297" s="211">
        <f t="shared" si="5"/>
        <v>-6700.37</v>
      </c>
      <c r="J297" s="211"/>
      <c r="K297" s="208">
        <f>SUMIF($J$3:J297,"P",$H$3:H297)</f>
        <v>-6507.099999999994</v>
      </c>
    </row>
    <row r="298" spans="1:11" hidden="1">
      <c r="A298" s="211" t="s">
        <v>263</v>
      </c>
      <c r="B298" s="211" t="str">
        <f>VLOOKUP(MONTH(C298),'Lookup Tables'!$A$3:$B$14,2,FALSE)</f>
        <v>Jun</v>
      </c>
      <c r="C298" s="213">
        <v>44008</v>
      </c>
      <c r="D298" s="211" t="s">
        <v>899</v>
      </c>
      <c r="E298" s="211" t="str">
        <f t="shared" si="4"/>
        <v>Jun Dining Restaurant</v>
      </c>
      <c r="F298" s="211" t="s">
        <v>145</v>
      </c>
      <c r="G298" s="211" t="str">
        <f>IFERROR(VLOOKUP(F298,'2020 Budget'!$A$4:$B$462,2,FALSE),"N/F")</f>
        <v>04. Family Expenses</v>
      </c>
      <c r="H298" s="211">
        <v>-37.299999999999997</v>
      </c>
      <c r="I298" s="211">
        <f t="shared" si="5"/>
        <v>-6737.67</v>
      </c>
      <c r="J298" s="211"/>
      <c r="K298" s="208">
        <f>SUMIF($J$3:J298,"P",$H$3:H298)</f>
        <v>-6507.099999999994</v>
      </c>
    </row>
    <row r="299" spans="1:11" hidden="1">
      <c r="A299" s="211" t="s">
        <v>263</v>
      </c>
      <c r="B299" s="211" t="str">
        <f>VLOOKUP(MONTH(C299),'Lookup Tables'!$A$3:$B$14,2,FALSE)</f>
        <v>Jun</v>
      </c>
      <c r="C299" s="213">
        <v>44009</v>
      </c>
      <c r="D299" s="211" t="s">
        <v>302</v>
      </c>
      <c r="E299" s="211" t="str">
        <f t="shared" si="4"/>
        <v>Jun Service Computer</v>
      </c>
      <c r="F299" s="211" t="s">
        <v>88</v>
      </c>
      <c r="G299" s="211" t="str">
        <f>IFERROR(VLOOKUP(F299,'2020 Budget'!$A$4:$B$462,2,FALSE),"N/F")</f>
        <v>09. Internet TV Entertainment Electronics</v>
      </c>
      <c r="H299" s="211">
        <v>-0.99</v>
      </c>
      <c r="I299" s="211">
        <f t="shared" si="5"/>
        <v>-6738.66</v>
      </c>
      <c r="J299" s="211"/>
      <c r="K299" s="208">
        <f>SUMIF($J$3:J299,"P",$H$3:H299)</f>
        <v>-6507.099999999994</v>
      </c>
    </row>
    <row r="300" spans="1:11" hidden="1">
      <c r="A300" s="211" t="s">
        <v>263</v>
      </c>
      <c r="B300" s="211" t="str">
        <f>VLOOKUP(MONTH(C300),'Lookup Tables'!$A$3:$B$14,2,FALSE)</f>
        <v>Jun</v>
      </c>
      <c r="C300" s="213">
        <v>44009</v>
      </c>
      <c r="D300" s="211" t="s">
        <v>898</v>
      </c>
      <c r="E300" s="211" t="str">
        <f t="shared" si="4"/>
        <v>Jun Dining Fast Food</v>
      </c>
      <c r="F300" s="211" t="s">
        <v>85</v>
      </c>
      <c r="G300" s="211" t="str">
        <f>IFERROR(VLOOKUP(F300,'2020 Budget'!$A$4:$B$462,2,FALSE),"N/F")</f>
        <v>04. Family Expenses</v>
      </c>
      <c r="H300" s="211">
        <v>-8.68</v>
      </c>
      <c r="I300" s="211">
        <f t="shared" si="5"/>
        <v>-6747.34</v>
      </c>
      <c r="J300" s="211"/>
      <c r="K300" s="208">
        <f>SUMIF($J$3:J300,"P",$H$3:H300)</f>
        <v>-6507.099999999994</v>
      </c>
    </row>
    <row r="301" spans="1:11" hidden="1">
      <c r="A301" s="211" t="s">
        <v>263</v>
      </c>
      <c r="B301" s="211" t="str">
        <f>VLOOKUP(MONTH(C301),'Lookup Tables'!$A$3:$B$14,2,FALSE)</f>
        <v>Jun</v>
      </c>
      <c r="C301" s="213">
        <v>44010</v>
      </c>
      <c r="D301" s="211" t="s">
        <v>895</v>
      </c>
      <c r="E301" s="211" t="str">
        <f t="shared" si="4"/>
        <v>Jun Dog Food</v>
      </c>
      <c r="F301" s="211" t="s">
        <v>130</v>
      </c>
      <c r="G301" s="211" t="str">
        <f>IFERROR(VLOOKUP(F301,'2020 Budget'!$A$4:$B$462,2,FALSE),"N/F")</f>
        <v>08. Dogs Expenses</v>
      </c>
      <c r="H301" s="211">
        <f>-31.86*0.666666666666667</f>
        <v>-21.240000000000009</v>
      </c>
      <c r="I301" s="211">
        <f t="shared" si="5"/>
        <v>-6768.58</v>
      </c>
      <c r="J301" s="211"/>
      <c r="K301" s="208">
        <f>SUMIF($J$3:J301,"P",$H$3:H301)</f>
        <v>-6507.099999999994</v>
      </c>
    </row>
    <row r="302" spans="1:11" hidden="1">
      <c r="A302" s="211" t="s">
        <v>263</v>
      </c>
      <c r="B302" s="211" t="str">
        <f>VLOOKUP(MONTH(C302),'Lookup Tables'!$A$3:$B$14,2,FALSE)</f>
        <v>Jun</v>
      </c>
      <c r="C302" s="213">
        <v>44010</v>
      </c>
      <c r="D302" s="211" t="s">
        <v>895</v>
      </c>
      <c r="E302" s="211" t="str">
        <f t="shared" si="4"/>
        <v>Jun Mom Dog Food</v>
      </c>
      <c r="F302" s="211" t="s">
        <v>129</v>
      </c>
      <c r="G302" s="211" t="str">
        <f>IFERROR(VLOOKUP(F302,'2020 Budget'!$A$4:$B$462,2,FALSE),"N/F")</f>
        <v>10. Mom Expenses</v>
      </c>
      <c r="H302" s="211">
        <f>-31.86*0.333333333333333</f>
        <v>-10.619999999999989</v>
      </c>
      <c r="I302" s="211">
        <f t="shared" si="5"/>
        <v>-6779.2</v>
      </c>
      <c r="J302" s="211"/>
      <c r="K302" s="208">
        <f>SUMIF($J$3:J302,"P",$H$3:H302)</f>
        <v>-6507.099999999994</v>
      </c>
    </row>
    <row r="303" spans="1:11" hidden="1">
      <c r="A303" s="211" t="s">
        <v>263</v>
      </c>
      <c r="B303" s="211" t="str">
        <f>VLOOKUP(MONTH(C303),'Lookup Tables'!$A$3:$B$14,2,FALSE)</f>
        <v>Jun</v>
      </c>
      <c r="C303" s="213">
        <v>44010</v>
      </c>
      <c r="D303" s="211" t="s">
        <v>896</v>
      </c>
      <c r="E303" s="211" t="str">
        <f t="shared" si="4"/>
        <v>Jun Dog Food</v>
      </c>
      <c r="F303" s="211" t="s">
        <v>130</v>
      </c>
      <c r="G303" s="211" t="str">
        <f>IFERROR(VLOOKUP(F303,'2020 Budget'!$A$4:$B$462,2,FALSE),"N/F")</f>
        <v>08. Dogs Expenses</v>
      </c>
      <c r="H303" s="211">
        <f>-31.86*0.666666666666667</f>
        <v>-21.240000000000009</v>
      </c>
      <c r="I303" s="211">
        <f t="shared" si="5"/>
        <v>-6800.44</v>
      </c>
      <c r="J303" s="211"/>
      <c r="K303" s="208">
        <f>SUMIF($J$3:J303,"P",$H$3:H303)</f>
        <v>-6507.099999999994</v>
      </c>
    </row>
    <row r="304" spans="1:11" hidden="1">
      <c r="A304" s="211" t="s">
        <v>263</v>
      </c>
      <c r="B304" s="211" t="str">
        <f>VLOOKUP(MONTH(C304),'Lookup Tables'!$A$3:$B$14,2,FALSE)</f>
        <v>Jun</v>
      </c>
      <c r="C304" s="213">
        <v>44010</v>
      </c>
      <c r="D304" s="211" t="s">
        <v>896</v>
      </c>
      <c r="E304" s="211" t="str">
        <f t="shared" si="4"/>
        <v>Jun Mom Dog Food</v>
      </c>
      <c r="F304" s="211" t="s">
        <v>129</v>
      </c>
      <c r="G304" s="211" t="str">
        <f>IFERROR(VLOOKUP(F304,'2020 Budget'!$A$4:$B$462,2,FALSE),"N/F")</f>
        <v>10. Mom Expenses</v>
      </c>
      <c r="H304" s="211">
        <f>-31.86*0.333333333333333</f>
        <v>-10.619999999999989</v>
      </c>
      <c r="I304" s="211">
        <f t="shared" si="5"/>
        <v>-6811.0599999999995</v>
      </c>
      <c r="J304" s="211"/>
      <c r="K304" s="208">
        <f>SUMIF($J$3:J304,"P",$H$3:H304)</f>
        <v>-6507.099999999994</v>
      </c>
    </row>
    <row r="305" spans="1:11" hidden="1">
      <c r="A305" s="211" t="s">
        <v>263</v>
      </c>
      <c r="B305" s="211" t="str">
        <f>VLOOKUP(MONTH(C305),'Lookup Tables'!$A$3:$B$14,2,FALSE)</f>
        <v>Jun</v>
      </c>
      <c r="C305" s="213">
        <v>44010</v>
      </c>
      <c r="D305" s="211" t="s">
        <v>947</v>
      </c>
      <c r="E305" s="211" t="str">
        <f t="shared" si="4"/>
        <v>Jun Merchandise Home</v>
      </c>
      <c r="F305" s="211" t="s">
        <v>19</v>
      </c>
      <c r="G305" s="211" t="str">
        <f>IFERROR(VLOOKUP(F305,'2020 Budget'!$A$4:$B$462,2,FALSE),"N/F")</f>
        <v>04. Household Expenses</v>
      </c>
      <c r="H305" s="211">
        <v>-26.45</v>
      </c>
      <c r="I305" s="211">
        <f t="shared" si="5"/>
        <v>-6837.5099999999993</v>
      </c>
      <c r="J305" s="211"/>
      <c r="K305" s="208">
        <f>SUMIF($J$3:J305,"P",$H$3:H305)</f>
        <v>-6507.099999999994</v>
      </c>
    </row>
    <row r="306" spans="1:11" hidden="1">
      <c r="A306" s="211" t="s">
        <v>263</v>
      </c>
      <c r="B306" s="211" t="str">
        <f>VLOOKUP(MONTH(C306),'Lookup Tables'!$A$3:$B$14,2,FALSE)</f>
        <v>Jun</v>
      </c>
      <c r="C306" s="213">
        <v>44010</v>
      </c>
      <c r="D306" s="211" t="s">
        <v>897</v>
      </c>
      <c r="E306" s="211" t="str">
        <f t="shared" si="4"/>
        <v>Jun Dining Fast Food</v>
      </c>
      <c r="F306" s="211" t="s">
        <v>85</v>
      </c>
      <c r="G306" s="211" t="str">
        <f>IFERROR(VLOOKUP(F306,'2020 Budget'!$A$4:$B$462,2,FALSE),"N/F")</f>
        <v>04. Family Expenses</v>
      </c>
      <c r="H306" s="211">
        <v>-6.68</v>
      </c>
      <c r="I306" s="211">
        <f t="shared" si="5"/>
        <v>-6844.19</v>
      </c>
      <c r="J306" s="211"/>
      <c r="K306" s="208">
        <f>SUMIF($J$3:J306,"P",$H$3:H306)</f>
        <v>-6507.099999999994</v>
      </c>
    </row>
    <row r="307" spans="1:11" hidden="1">
      <c r="A307" s="211" t="s">
        <v>263</v>
      </c>
      <c r="B307" s="211" t="str">
        <f>VLOOKUP(MONTH(C307),'Lookup Tables'!$A$3:$B$14,2,FALSE)</f>
        <v>Jun</v>
      </c>
      <c r="C307" s="213">
        <v>44010</v>
      </c>
      <c r="D307" s="211" t="s">
        <v>534</v>
      </c>
      <c r="E307" s="211" t="str">
        <f t="shared" si="4"/>
        <v>Jun Dining Fast Food</v>
      </c>
      <c r="F307" s="211" t="s">
        <v>85</v>
      </c>
      <c r="G307" s="211" t="str">
        <f>IFERROR(VLOOKUP(F307,'2020 Budget'!$A$4:$B$462,2,FALSE),"N/F")</f>
        <v>04. Family Expenses</v>
      </c>
      <c r="H307" s="211">
        <v>-24.97</v>
      </c>
      <c r="I307" s="211">
        <f t="shared" si="5"/>
        <v>-6869.16</v>
      </c>
      <c r="J307" s="211"/>
      <c r="K307" s="208">
        <f>SUMIF($J$3:J307,"P",$H$3:H307)</f>
        <v>-6507.099999999994</v>
      </c>
    </row>
    <row r="308" spans="1:11" hidden="1">
      <c r="A308" s="211" t="s">
        <v>263</v>
      </c>
      <c r="B308" s="211" t="str">
        <f>VLOOKUP(MONTH(C308),'Lookup Tables'!$A$3:$B$14,2,FALSE)</f>
        <v>Jun</v>
      </c>
      <c r="C308" s="213">
        <v>44011</v>
      </c>
      <c r="D308" s="211" t="s">
        <v>893</v>
      </c>
      <c r="E308" s="211" t="str">
        <f t="shared" si="4"/>
        <v>Jun Dining Fast Food</v>
      </c>
      <c r="F308" s="217" t="s">
        <v>85</v>
      </c>
      <c r="G308" s="211" t="str">
        <f>IFERROR(VLOOKUP(F308,'2020 Budget'!$A$4:$B$462,2,FALSE),"N/F")</f>
        <v>04. Family Expenses</v>
      </c>
      <c r="H308" s="211">
        <v>-12.26</v>
      </c>
      <c r="I308" s="211">
        <f t="shared" si="5"/>
        <v>-6881.42</v>
      </c>
      <c r="J308" s="211"/>
      <c r="K308" s="208">
        <f>SUMIF($J$3:J308,"P",$H$3:H308)</f>
        <v>-6507.099999999994</v>
      </c>
    </row>
    <row r="309" spans="1:11" hidden="1">
      <c r="A309" s="211" t="s">
        <v>263</v>
      </c>
      <c r="B309" s="211" t="str">
        <f>VLOOKUP(MONTH(C309),'Lookup Tables'!$A$3:$B$14,2,FALSE)</f>
        <v>Jun</v>
      </c>
      <c r="C309" s="213">
        <v>44011</v>
      </c>
      <c r="D309" s="211" t="s">
        <v>894</v>
      </c>
      <c r="E309" s="211" t="str">
        <f t="shared" si="4"/>
        <v>Jun Dining Restaurant</v>
      </c>
      <c r="F309" s="211" t="s">
        <v>145</v>
      </c>
      <c r="G309" s="211" t="str">
        <f>IFERROR(VLOOKUP(F309,'2020 Budget'!$A$4:$B$462,2,FALSE),"N/F")</f>
        <v>04. Family Expenses</v>
      </c>
      <c r="H309" s="211">
        <v>-20.03</v>
      </c>
      <c r="I309" s="211">
        <f t="shared" si="5"/>
        <v>-6901.45</v>
      </c>
      <c r="J309" s="211"/>
      <c r="K309" s="208">
        <f>SUMIF($J$3:J309,"P",$H$3:H309)</f>
        <v>-6507.099999999994</v>
      </c>
    </row>
    <row r="310" spans="1:11" hidden="1">
      <c r="A310" s="211" t="s">
        <v>263</v>
      </c>
      <c r="B310" s="211" t="str">
        <f>VLOOKUP(MONTH(C310),'Lookup Tables'!$A$3:$B$14,2,FALSE)</f>
        <v>Jun</v>
      </c>
      <c r="C310" s="213">
        <v>44012</v>
      </c>
      <c r="D310" s="211" t="s">
        <v>462</v>
      </c>
      <c r="E310" s="211" t="str">
        <f t="shared" si="4"/>
        <v>Jun Dining Fast Food</v>
      </c>
      <c r="F310" s="211" t="s">
        <v>85</v>
      </c>
      <c r="G310" s="211" t="str">
        <f>IFERROR(VLOOKUP(F310,'2020 Budget'!$A$4:$B$462,2,FALSE),"N/F")</f>
        <v>04. Family Expenses</v>
      </c>
      <c r="H310" s="211">
        <v>-15.67</v>
      </c>
      <c r="I310" s="211">
        <f t="shared" si="5"/>
        <v>-6917.12</v>
      </c>
      <c r="J310" s="211"/>
      <c r="K310" s="208">
        <f>SUMIF($J$3:J310,"P",$H$3:H310)</f>
        <v>-6507.099999999994</v>
      </c>
    </row>
    <row r="311" spans="1:11" hidden="1">
      <c r="A311" s="211" t="s">
        <v>263</v>
      </c>
      <c r="B311" s="211" t="str">
        <f>VLOOKUP(MONTH(C311),'Lookup Tables'!$A$3:$B$14,2,FALSE)</f>
        <v>Jun</v>
      </c>
      <c r="C311" s="213">
        <v>44012</v>
      </c>
      <c r="D311" s="211" t="s">
        <v>308</v>
      </c>
      <c r="E311" s="211" t="str">
        <f t="shared" si="4"/>
        <v>Jun Merchandise Home</v>
      </c>
      <c r="F311" s="211" t="s">
        <v>19</v>
      </c>
      <c r="G311" s="211" t="str">
        <f>IFERROR(VLOOKUP(F311,'2020 Budget'!$A$4:$B$462,2,FALSE),"N/F")</f>
        <v>04. Household Expenses</v>
      </c>
      <c r="H311" s="211">
        <v>-21.04</v>
      </c>
      <c r="I311" s="211">
        <f t="shared" si="5"/>
        <v>-6938.16</v>
      </c>
      <c r="J311" s="211"/>
      <c r="K311" s="208">
        <f>SUMIF($J$3:J311,"P",$H$3:H311)</f>
        <v>-6507.099999999994</v>
      </c>
    </row>
    <row r="312" spans="1:11" hidden="1">
      <c r="A312" s="211" t="s">
        <v>263</v>
      </c>
      <c r="B312" s="211" t="str">
        <f>VLOOKUP(MONTH(C312),'Lookup Tables'!$A$3:$B$14,2,FALSE)</f>
        <v>Jul</v>
      </c>
      <c r="C312" s="213">
        <v>44013</v>
      </c>
      <c r="D312" s="211" t="s">
        <v>891</v>
      </c>
      <c r="E312" s="211" t="str">
        <f t="shared" si="4"/>
        <v>Jul CPBA Linked In</v>
      </c>
      <c r="F312" s="211" t="s">
        <v>531</v>
      </c>
      <c r="G312" s="211" t="str">
        <f>IFERROR(VLOOKUP(F312,'2020 Budget'!$A$4:$B$462,2,FALSE),"N/F")</f>
        <v>03. CP Business Analysis Expenses</v>
      </c>
      <c r="H312" s="211">
        <v>-29.99</v>
      </c>
      <c r="I312" s="211">
        <f t="shared" si="5"/>
        <v>-6968.15</v>
      </c>
      <c r="J312" s="211"/>
      <c r="K312" s="208">
        <f>SUMIF($J$3:J312,"P",$H$3:H312)</f>
        <v>-6507.099999999994</v>
      </c>
    </row>
    <row r="313" spans="1:11" hidden="1">
      <c r="A313" s="211" t="s">
        <v>263</v>
      </c>
      <c r="B313" s="211" t="str">
        <f>VLOOKUP(MONTH(C313),'Lookup Tables'!$A$3:$B$14,2,FALSE)</f>
        <v>Jul</v>
      </c>
      <c r="C313" s="213">
        <v>44013</v>
      </c>
      <c r="D313" s="211" t="s">
        <v>892</v>
      </c>
      <c r="E313" s="211" t="str">
        <f t="shared" si="4"/>
        <v>Jul Dining Fast Food</v>
      </c>
      <c r="F313" s="211" t="s">
        <v>85</v>
      </c>
      <c r="G313" s="211" t="str">
        <f>IFERROR(VLOOKUP(F313,'2020 Budget'!$A$4:$B$462,2,FALSE),"N/F")</f>
        <v>04. Family Expenses</v>
      </c>
      <c r="H313" s="211">
        <v>-20.94</v>
      </c>
      <c r="I313" s="211">
        <f t="shared" si="5"/>
        <v>-6989.0899999999992</v>
      </c>
      <c r="J313" s="211"/>
      <c r="K313" s="208">
        <f>SUMIF($J$3:J313,"P",$H$3:H313)</f>
        <v>-6507.099999999994</v>
      </c>
    </row>
    <row r="314" spans="1:11" hidden="1">
      <c r="A314" s="211" t="s">
        <v>263</v>
      </c>
      <c r="B314" s="211" t="str">
        <f>VLOOKUP(MONTH(C314),'Lookup Tables'!$A$3:$B$14,2,FALSE)</f>
        <v>Jul</v>
      </c>
      <c r="C314" s="213">
        <v>44014</v>
      </c>
      <c r="D314" s="211" t="s">
        <v>890</v>
      </c>
      <c r="E314" s="211" t="str">
        <f t="shared" si="4"/>
        <v>Jul Dining Fast Food</v>
      </c>
      <c r="F314" s="211" t="s">
        <v>85</v>
      </c>
      <c r="G314" s="211" t="str">
        <f>IFERROR(VLOOKUP(F314,'2020 Budget'!$A$4:$B$462,2,FALSE),"N/F")</f>
        <v>04. Family Expenses</v>
      </c>
      <c r="H314" s="211">
        <v>-8.7899999999999991</v>
      </c>
      <c r="I314" s="211">
        <f t="shared" si="5"/>
        <v>-6997.8799999999992</v>
      </c>
      <c r="J314" s="211"/>
      <c r="K314" s="208">
        <f>SUMIF($J$3:J314,"P",$H$3:H314)</f>
        <v>-6507.099999999994</v>
      </c>
    </row>
    <row r="315" spans="1:11" hidden="1">
      <c r="A315" s="211" t="s">
        <v>263</v>
      </c>
      <c r="B315" s="211" t="str">
        <f>VLOOKUP(MONTH(C315),'Lookup Tables'!$A$3:$B$14,2,FALSE)</f>
        <v>Jul</v>
      </c>
      <c r="C315" s="213">
        <v>44015</v>
      </c>
      <c r="D315" s="211" t="s">
        <v>542</v>
      </c>
      <c r="E315" s="211" t="str">
        <f t="shared" si="4"/>
        <v>Jul Groceries</v>
      </c>
      <c r="F315" s="211" t="s">
        <v>11</v>
      </c>
      <c r="G315" s="211" t="str">
        <f>IFERROR(VLOOKUP(F315,'2020 Budget'!$A$4:$B$462,2,FALSE),"N/F")</f>
        <v>04. Family Expenses</v>
      </c>
      <c r="H315" s="211">
        <v>-12.67</v>
      </c>
      <c r="I315" s="211">
        <f t="shared" si="5"/>
        <v>-7010.5499999999993</v>
      </c>
      <c r="J315" s="211"/>
      <c r="K315" s="208">
        <f>SUMIF($J$3:J315,"P",$H$3:H315)</f>
        <v>-6507.099999999994</v>
      </c>
    </row>
    <row r="316" spans="1:11" hidden="1">
      <c r="A316" s="211" t="s">
        <v>263</v>
      </c>
      <c r="B316" s="211" t="str">
        <f>VLOOKUP(MONTH(C316),'Lookup Tables'!$A$3:$B$14,2,FALSE)</f>
        <v>Jul</v>
      </c>
      <c r="C316" s="213">
        <v>44015</v>
      </c>
      <c r="D316" s="211" t="s">
        <v>888</v>
      </c>
      <c r="E316" s="211" t="str">
        <f t="shared" si="4"/>
        <v>Jul Entertainment</v>
      </c>
      <c r="F316" s="211" t="s">
        <v>18</v>
      </c>
      <c r="G316" s="211" t="str">
        <f>IFERROR(VLOOKUP(F316,'2020 Budget'!$A$4:$B$462,2,FALSE),"N/F")</f>
        <v>04. Family Expenses</v>
      </c>
      <c r="H316" s="211">
        <v>-94.54</v>
      </c>
      <c r="I316" s="211">
        <f t="shared" si="5"/>
        <v>-7105.0899999999992</v>
      </c>
      <c r="J316" s="211"/>
      <c r="K316" s="208">
        <f>SUMIF($J$3:J316,"P",$H$3:H316)</f>
        <v>-6507.099999999994</v>
      </c>
    </row>
    <row r="317" spans="1:11" hidden="1">
      <c r="A317" s="211" t="s">
        <v>263</v>
      </c>
      <c r="B317" s="211" t="str">
        <f>VLOOKUP(MONTH(C317),'Lookup Tables'!$A$3:$B$14,2,FALSE)</f>
        <v>Jul</v>
      </c>
      <c r="C317" s="213">
        <v>44015</v>
      </c>
      <c r="D317" s="211" t="s">
        <v>889</v>
      </c>
      <c r="E317" s="211" t="str">
        <f t="shared" si="4"/>
        <v>Jul Groceries</v>
      </c>
      <c r="F317" s="211" t="s">
        <v>11</v>
      </c>
      <c r="G317" s="211" t="str">
        <f>IFERROR(VLOOKUP(F317,'2020 Budget'!$A$4:$B$462,2,FALSE),"N/F")</f>
        <v>04. Family Expenses</v>
      </c>
      <c r="H317" s="211">
        <v>-11.82</v>
      </c>
      <c r="I317" s="211">
        <f t="shared" si="5"/>
        <v>-7116.9099999999989</v>
      </c>
      <c r="J317" s="211"/>
      <c r="K317" s="208">
        <f>SUMIF($J$3:J317,"P",$H$3:H317)</f>
        <v>-6507.099999999994</v>
      </c>
    </row>
    <row r="318" spans="1:11" hidden="1">
      <c r="A318" s="211" t="s">
        <v>263</v>
      </c>
      <c r="B318" s="211" t="str">
        <f>VLOOKUP(MONTH(C318),'Lookup Tables'!$A$3:$B$14,2,FALSE)</f>
        <v>Jul</v>
      </c>
      <c r="C318" s="213">
        <v>44016</v>
      </c>
      <c r="D318" s="211" t="s">
        <v>887</v>
      </c>
      <c r="E318" s="211" t="str">
        <f t="shared" si="4"/>
        <v>Jul Charity Cash Donation</v>
      </c>
      <c r="F318" s="218" t="s">
        <v>953</v>
      </c>
      <c r="G318" s="211" t="str">
        <f>IFERROR(VLOOKUP(F318,'2020 Budget'!$A$4:$B$462,2,FALSE),"N/F")</f>
        <v>04. Family Expenses</v>
      </c>
      <c r="H318" s="211">
        <v>-15</v>
      </c>
      <c r="I318" s="211">
        <f t="shared" si="5"/>
        <v>-7131.9099999999989</v>
      </c>
      <c r="J318" s="211"/>
      <c r="K318" s="208">
        <f>SUMIF($J$3:J318,"P",$H$3:H318)</f>
        <v>-6507.099999999994</v>
      </c>
    </row>
    <row r="319" spans="1:11" hidden="1">
      <c r="A319" s="211" t="s">
        <v>263</v>
      </c>
      <c r="B319" s="211" t="str">
        <f>VLOOKUP(MONTH(C319),'Lookup Tables'!$A$3:$B$14,2,FALSE)</f>
        <v>Jul</v>
      </c>
      <c r="C319" s="213">
        <v>44016</v>
      </c>
      <c r="D319" s="211" t="s">
        <v>267</v>
      </c>
      <c r="E319" s="211" t="str">
        <f t="shared" si="4"/>
        <v>Jul Dining Fast Food</v>
      </c>
      <c r="F319" s="211" t="s">
        <v>85</v>
      </c>
      <c r="G319" s="211" t="str">
        <f>IFERROR(VLOOKUP(F319,'2020 Budget'!$A$4:$B$462,2,FALSE),"N/F")</f>
        <v>04. Family Expenses</v>
      </c>
      <c r="H319" s="211">
        <v>-5.4</v>
      </c>
      <c r="I319" s="211">
        <f t="shared" si="5"/>
        <v>-7137.3099999999986</v>
      </c>
      <c r="J319" s="211"/>
      <c r="K319" s="208">
        <f>SUMIF($J$3:J319,"P",$H$3:H319)</f>
        <v>-6507.099999999994</v>
      </c>
    </row>
    <row r="320" spans="1:11" hidden="1">
      <c r="A320" s="211" t="s">
        <v>263</v>
      </c>
      <c r="B320" s="211" t="str">
        <f>VLOOKUP(MONTH(C320),'Lookup Tables'!$A$3:$B$14,2,FALSE)</f>
        <v>Jul</v>
      </c>
      <c r="C320" s="213">
        <v>44017</v>
      </c>
      <c r="D320" s="211" t="s">
        <v>887</v>
      </c>
      <c r="E320" s="211" t="str">
        <f t="shared" si="4"/>
        <v>Jul Charity Cash Donation</v>
      </c>
      <c r="F320" s="218" t="s">
        <v>953</v>
      </c>
      <c r="G320" s="211" t="str">
        <f>IFERROR(VLOOKUP(F320,'2020 Budget'!$A$4:$B$462,2,FALSE),"N/F")</f>
        <v>04. Family Expenses</v>
      </c>
      <c r="H320" s="211">
        <v>-20</v>
      </c>
      <c r="I320" s="211">
        <f t="shared" si="5"/>
        <v>-7157.3099999999986</v>
      </c>
      <c r="J320" s="211"/>
      <c r="K320" s="208">
        <f>SUMIF($J$3:J320,"P",$H$3:H320)</f>
        <v>-6507.099999999994</v>
      </c>
    </row>
    <row r="321" spans="1:11" hidden="1">
      <c r="A321" s="211" t="s">
        <v>263</v>
      </c>
      <c r="B321" s="211" t="str">
        <f>VLOOKUP(MONTH(C321),'Lookup Tables'!$A$3:$B$14,2,FALSE)</f>
        <v>Jul</v>
      </c>
      <c r="C321" s="213">
        <v>44017</v>
      </c>
      <c r="D321" s="211" t="s">
        <v>887</v>
      </c>
      <c r="E321" s="211" t="str">
        <f t="shared" si="4"/>
        <v>Jul Charity Cash Donation</v>
      </c>
      <c r="F321" s="218" t="s">
        <v>953</v>
      </c>
      <c r="G321" s="211" t="str">
        <f>IFERROR(VLOOKUP(F321,'2020 Budget'!$A$4:$B$462,2,FALSE),"N/F")</f>
        <v>04. Family Expenses</v>
      </c>
      <c r="H321" s="211">
        <v>-20</v>
      </c>
      <c r="I321" s="211">
        <f t="shared" si="5"/>
        <v>-7177.3099999999986</v>
      </c>
      <c r="J321" s="211"/>
      <c r="K321" s="208">
        <f>SUMIF($J$3:J321,"P",$H$3:H321)</f>
        <v>-6507.099999999994</v>
      </c>
    </row>
    <row r="322" spans="1:11" hidden="1">
      <c r="A322" s="211" t="s">
        <v>263</v>
      </c>
      <c r="B322" s="211" t="str">
        <f>VLOOKUP(MONTH(C322),'Lookup Tables'!$A$3:$B$14,2,FALSE)</f>
        <v>Jul</v>
      </c>
      <c r="C322" s="213">
        <v>44018</v>
      </c>
      <c r="D322" s="211" t="s">
        <v>886</v>
      </c>
      <c r="E322" s="211" t="str">
        <f t="shared" ref="E322:E354" si="6">B322&amp;" "&amp;F322</f>
        <v>Jul Vacation Planning</v>
      </c>
      <c r="F322" s="218" t="s">
        <v>957</v>
      </c>
      <c r="G322" s="211" t="str">
        <f>IFERROR(VLOOKUP(F322,'2020 Budget'!$A$4:$B$462,2,FALSE),"N/F")</f>
        <v>13. Special Expenses</v>
      </c>
      <c r="H322" s="211">
        <v>-20</v>
      </c>
      <c r="I322" s="211">
        <f t="shared" ref="I322:I350" si="7">I321+H322</f>
        <v>-7197.3099999999986</v>
      </c>
      <c r="J322" s="211"/>
      <c r="K322" s="208">
        <f>SUMIF($J$3:J322,"P",$H$3:H322)</f>
        <v>-6507.099999999994</v>
      </c>
    </row>
    <row r="323" spans="1:11" hidden="1">
      <c r="A323" s="211" t="s">
        <v>263</v>
      </c>
      <c r="B323" s="211" t="str">
        <f>VLOOKUP(MONTH(C323),'Lookup Tables'!$A$3:$B$14,2,FALSE)</f>
        <v>Jul</v>
      </c>
      <c r="C323" s="213">
        <v>44018</v>
      </c>
      <c r="D323" s="211" t="s">
        <v>885</v>
      </c>
      <c r="E323" s="211" t="str">
        <f t="shared" si="6"/>
        <v>Jul Dining Fast Food</v>
      </c>
      <c r="F323" s="211" t="s">
        <v>85</v>
      </c>
      <c r="G323" s="211" t="str">
        <f>IFERROR(VLOOKUP(F323,'2020 Budget'!$A$4:$B$462,2,FALSE),"N/F")</f>
        <v>04. Family Expenses</v>
      </c>
      <c r="H323" s="211">
        <v>-8.15</v>
      </c>
      <c r="I323" s="211">
        <f t="shared" si="7"/>
        <v>-7205.4599999999982</v>
      </c>
      <c r="J323" s="211"/>
      <c r="K323" s="208">
        <f>SUMIF($J$3:J323,"P",$H$3:H323)</f>
        <v>-6507.099999999994</v>
      </c>
    </row>
    <row r="324" spans="1:11" hidden="1">
      <c r="A324" s="211" t="s">
        <v>263</v>
      </c>
      <c r="B324" s="211" t="str">
        <f>VLOOKUP(MONTH(C324),'Lookup Tables'!$A$3:$B$14,2,FALSE)</f>
        <v>Jul</v>
      </c>
      <c r="C324" s="213">
        <v>44019</v>
      </c>
      <c r="D324" s="211" t="s">
        <v>943</v>
      </c>
      <c r="E324" s="211" t="str">
        <f t="shared" si="6"/>
        <v>Jul Merchandise Home</v>
      </c>
      <c r="F324" s="211" t="s">
        <v>19</v>
      </c>
      <c r="G324" s="211" t="str">
        <f>IFERROR(VLOOKUP(F324,'2020 Budget'!$A$4:$B$462,2,FALSE),"N/F")</f>
        <v>04. Household Expenses</v>
      </c>
      <c r="H324" s="211">
        <v>26.45</v>
      </c>
      <c r="I324" s="211">
        <f t="shared" si="7"/>
        <v>-7179.0099999999984</v>
      </c>
      <c r="J324" s="211"/>
      <c r="K324" s="208">
        <f>SUMIF($J$3:J324,"P",$H$3:H324)</f>
        <v>-6507.099999999994</v>
      </c>
    </row>
    <row r="325" spans="1:11" hidden="1">
      <c r="A325" s="211" t="s">
        <v>263</v>
      </c>
      <c r="B325" s="211" t="str">
        <f>VLOOKUP(MONTH(C325),'Lookup Tables'!$A$3:$B$14,2,FALSE)</f>
        <v>Jul</v>
      </c>
      <c r="C325" s="213">
        <v>44019</v>
      </c>
      <c r="D325" s="211" t="s">
        <v>884</v>
      </c>
      <c r="E325" s="211" t="str">
        <f t="shared" si="6"/>
        <v>Jul Dining Fast Food</v>
      </c>
      <c r="F325" s="217" t="s">
        <v>85</v>
      </c>
      <c r="G325" s="211" t="str">
        <f>IFERROR(VLOOKUP(F325,'2020 Budget'!$A$4:$B$462,2,FALSE),"N/F")</f>
        <v>04. Family Expenses</v>
      </c>
      <c r="H325" s="211">
        <v>-8.4700000000000006</v>
      </c>
      <c r="I325" s="211">
        <f t="shared" si="7"/>
        <v>-7187.4799999999987</v>
      </c>
      <c r="J325" s="211"/>
      <c r="K325" s="208">
        <f>SUMIF($J$3:J325,"P",$H$3:H325)</f>
        <v>-6507.099999999994</v>
      </c>
    </row>
    <row r="326" spans="1:11" hidden="1">
      <c r="A326" s="211" t="s">
        <v>263</v>
      </c>
      <c r="B326" s="211" t="str">
        <f>VLOOKUP(MONTH(C326),'Lookup Tables'!$A$3:$B$14,2,FALSE)</f>
        <v>Jul</v>
      </c>
      <c r="C326" s="213">
        <v>44020</v>
      </c>
      <c r="D326" s="211" t="s">
        <v>473</v>
      </c>
      <c r="E326" s="211" t="str">
        <f t="shared" si="6"/>
        <v>Jul Service Internet Cable TV</v>
      </c>
      <c r="F326" s="211" t="s">
        <v>15</v>
      </c>
      <c r="G326" s="211" t="str">
        <f>IFERROR(VLOOKUP(F326,'2020 Budget'!$A$4:$B$462,2,FALSE),"N/F")</f>
        <v>09. Internet TV Entertainment Electronics</v>
      </c>
      <c r="H326" s="211">
        <v>-6.99</v>
      </c>
      <c r="I326" s="211">
        <f t="shared" si="7"/>
        <v>-7194.4699999999984</v>
      </c>
      <c r="J326" s="211"/>
      <c r="K326" s="208">
        <f>SUMIF($J$3:J326,"P",$H$3:H326)</f>
        <v>-6507.099999999994</v>
      </c>
    </row>
    <row r="327" spans="1:11" hidden="1">
      <c r="A327" s="211" t="s">
        <v>263</v>
      </c>
      <c r="B327" s="211" t="str">
        <f>VLOOKUP(MONTH(C327),'Lookup Tables'!$A$3:$B$14,2,FALSE)</f>
        <v>Jul</v>
      </c>
      <c r="C327" s="213">
        <v>44021</v>
      </c>
      <c r="D327" s="211" t="s">
        <v>985</v>
      </c>
      <c r="E327" s="211" t="str">
        <f t="shared" si="6"/>
        <v>Jul Dining Snack</v>
      </c>
      <c r="F327" s="211" t="s">
        <v>988</v>
      </c>
      <c r="G327" s="211" t="str">
        <f>IFERROR(VLOOKUP(F327,'2020 Budget'!$A$4:$B$462,2,FALSE),"N/F")</f>
        <v>N/F</v>
      </c>
      <c r="H327" s="211">
        <v>-4.2300000000000004</v>
      </c>
      <c r="I327" s="211">
        <f t="shared" si="7"/>
        <v>-7198.699999999998</v>
      </c>
      <c r="J327" s="211"/>
      <c r="K327" s="208"/>
    </row>
    <row r="328" spans="1:11" hidden="1">
      <c r="A328" s="211" t="s">
        <v>263</v>
      </c>
      <c r="B328" s="211" t="str">
        <f>VLOOKUP(MONTH(C328),'Lookup Tables'!$A$3:$B$14,2,FALSE)</f>
        <v>Jul</v>
      </c>
      <c r="C328" s="213">
        <v>44021</v>
      </c>
      <c r="D328" s="211" t="s">
        <v>986</v>
      </c>
      <c r="E328" s="211" t="str">
        <f t="shared" si="6"/>
        <v>Jul Dining Fast Food</v>
      </c>
      <c r="F328" s="211" t="s">
        <v>85</v>
      </c>
      <c r="G328" s="211" t="str">
        <f>IFERROR(VLOOKUP(F328,'2020 Budget'!$A$4:$B$462,2,FALSE),"N/F")</f>
        <v>04. Family Expenses</v>
      </c>
      <c r="H328" s="211">
        <v>-8.26</v>
      </c>
      <c r="I328" s="211">
        <f t="shared" si="7"/>
        <v>-7206.9599999999982</v>
      </c>
      <c r="J328" s="211"/>
      <c r="K328" s="208"/>
    </row>
    <row r="329" spans="1:11" hidden="1">
      <c r="A329" s="211" t="s">
        <v>263</v>
      </c>
      <c r="B329" s="211" t="str">
        <f>VLOOKUP(MONTH(C329),'Lookup Tables'!$A$3:$B$14,2,FALSE)</f>
        <v>Jul</v>
      </c>
      <c r="C329" s="213">
        <v>44021</v>
      </c>
      <c r="D329" s="211" t="s">
        <v>883</v>
      </c>
      <c r="E329" s="211" t="str">
        <f t="shared" si="6"/>
        <v>Jul CPBA Service Computer</v>
      </c>
      <c r="F329" s="211" t="s">
        <v>528</v>
      </c>
      <c r="G329" s="211" t="str">
        <f>IFERROR(VLOOKUP(F329,'2020 Budget'!$A$4:$B$462,2,FALSE),"N/F")</f>
        <v>03. CP Business Analysis Expenses</v>
      </c>
      <c r="H329" s="211">
        <v>-7</v>
      </c>
      <c r="I329" s="211">
        <f t="shared" si="7"/>
        <v>-7213.9599999999982</v>
      </c>
      <c r="J329" s="211"/>
      <c r="K329" s="208">
        <f>SUMIF($J$3:J329,"P",$H$3:H329)</f>
        <v>-6507.099999999994</v>
      </c>
    </row>
    <row r="330" spans="1:11" hidden="1">
      <c r="A330" s="211" t="s">
        <v>263</v>
      </c>
      <c r="B330" s="211" t="str">
        <f>VLOOKUP(MONTH(C330),'Lookup Tables'!$A$3:$B$14,2,FALSE)</f>
        <v>Jul</v>
      </c>
      <c r="C330" s="213">
        <v>44021</v>
      </c>
      <c r="D330" s="211" t="s">
        <v>883</v>
      </c>
      <c r="E330" s="211" t="str">
        <f t="shared" si="6"/>
        <v>Jul CPBA Service Computer</v>
      </c>
      <c r="F330" s="211" t="s">
        <v>528</v>
      </c>
      <c r="G330" s="211" t="str">
        <f>IFERROR(VLOOKUP(F330,'2020 Budget'!$A$4:$B$462,2,FALSE),"N/F")</f>
        <v>03. CP Business Analysis Expenses</v>
      </c>
      <c r="H330" s="211">
        <v>-7</v>
      </c>
      <c r="I330" s="211">
        <f t="shared" si="7"/>
        <v>-7220.9599999999982</v>
      </c>
      <c r="J330" s="211"/>
      <c r="K330" s="208"/>
    </row>
    <row r="331" spans="1:11" hidden="1">
      <c r="A331" s="211" t="s">
        <v>263</v>
      </c>
      <c r="B331" s="211" t="str">
        <f>VLOOKUP(MONTH(C331),'Lookup Tables'!$A$3:$B$14,2,FALSE)</f>
        <v>Jul</v>
      </c>
      <c r="C331" s="213">
        <v>44021</v>
      </c>
      <c r="D331" s="211" t="s">
        <v>987</v>
      </c>
      <c r="E331" s="211" t="str">
        <f t="shared" si="6"/>
        <v>Jul Groceries</v>
      </c>
      <c r="F331" s="211" t="s">
        <v>11</v>
      </c>
      <c r="G331" s="211" t="str">
        <f>IFERROR(VLOOKUP(F331,'2020 Budget'!$A$4:$B$462,2,FALSE),"N/F")</f>
        <v>04. Family Expenses</v>
      </c>
      <c r="H331" s="211">
        <v>-25.86</v>
      </c>
      <c r="I331" s="211">
        <f t="shared" si="7"/>
        <v>-7246.8199999999979</v>
      </c>
      <c r="J331" s="211"/>
      <c r="K331" s="208"/>
    </row>
    <row r="332" spans="1:11" hidden="1">
      <c r="A332" s="211" t="s">
        <v>263</v>
      </c>
      <c r="B332" s="211" t="str">
        <f>VLOOKUP(MONTH(C332),'Lookup Tables'!$A$3:$B$14,2,FALSE)</f>
        <v>Jul</v>
      </c>
      <c r="C332" s="213">
        <v>44023</v>
      </c>
      <c r="D332" s="211" t="s">
        <v>984</v>
      </c>
      <c r="E332" s="211" t="str">
        <f t="shared" si="6"/>
        <v>Jul Merchandise Home</v>
      </c>
      <c r="F332" s="222" t="s">
        <v>19</v>
      </c>
      <c r="G332" s="211" t="str">
        <f>IFERROR(VLOOKUP(F332,'2020 Budget'!$A$4:$B$462,2,FALSE),"N/F")</f>
        <v>04. Household Expenses</v>
      </c>
      <c r="H332" s="211">
        <v>13.77</v>
      </c>
      <c r="I332" s="211">
        <f t="shared" si="7"/>
        <v>-7233.0499999999975</v>
      </c>
      <c r="J332" s="211"/>
      <c r="K332" s="208"/>
    </row>
    <row r="333" spans="1:11" hidden="1">
      <c r="A333" s="211" t="s">
        <v>263</v>
      </c>
      <c r="B333" s="211" t="str">
        <f>VLOOKUP(MONTH(C333),'Lookup Tables'!$A$3:$B$14,2,FALSE)</f>
        <v>Jul</v>
      </c>
      <c r="C333" s="213">
        <v>44023</v>
      </c>
      <c r="D333" s="211" t="s">
        <v>905</v>
      </c>
      <c r="E333" s="211" t="str">
        <f t="shared" si="6"/>
        <v>Jul Service Internet Cable TV</v>
      </c>
      <c r="F333" s="211" t="s">
        <v>15</v>
      </c>
      <c r="G333" s="211" t="str">
        <f>IFERROR(VLOOKUP(F333,'2020 Budget'!$A$4:$B$462,2,FALSE),"N/F")</f>
        <v>09. Internet TV Entertainment Electronics</v>
      </c>
      <c r="H333" s="211">
        <v>-5.99</v>
      </c>
      <c r="I333" s="211">
        <f t="shared" si="7"/>
        <v>-7239.0399999999972</v>
      </c>
      <c r="J333" s="211"/>
      <c r="K333" s="208"/>
    </row>
    <row r="334" spans="1:11" hidden="1">
      <c r="A334" s="211" t="s">
        <v>263</v>
      </c>
      <c r="B334" s="211" t="str">
        <f>VLOOKUP(MONTH(C334),'Lookup Tables'!$A$3:$B$14,2,FALSE)</f>
        <v>Jul</v>
      </c>
      <c r="C334" s="213">
        <v>44025</v>
      </c>
      <c r="D334" s="211" t="s">
        <v>894</v>
      </c>
      <c r="E334" s="211" t="str">
        <f t="shared" si="6"/>
        <v>Jul Dining Restaurant</v>
      </c>
      <c r="F334" s="211" t="s">
        <v>145</v>
      </c>
      <c r="G334" s="211" t="str">
        <f>IFERROR(VLOOKUP(F334,'2020 Budget'!$A$4:$B$462,2,FALSE),"N/F")</f>
        <v>04. Family Expenses</v>
      </c>
      <c r="H334" s="211">
        <v>-8.41</v>
      </c>
      <c r="I334" s="211">
        <f t="shared" si="7"/>
        <v>-7247.4499999999971</v>
      </c>
      <c r="J334" s="211"/>
      <c r="K334" s="208"/>
    </row>
    <row r="335" spans="1:11" hidden="1">
      <c r="A335" s="211" t="s">
        <v>263</v>
      </c>
      <c r="B335" s="211" t="str">
        <f>VLOOKUP(MONTH(C335),'Lookup Tables'!$A$3:$B$14,2,FALSE)</f>
        <v>Jul</v>
      </c>
      <c r="C335" s="213">
        <v>44026</v>
      </c>
      <c r="D335" s="211" t="s">
        <v>302</v>
      </c>
      <c r="E335" s="211" t="str">
        <f t="shared" si="6"/>
        <v>Jul Service Computer</v>
      </c>
      <c r="F335" s="211" t="s">
        <v>88</v>
      </c>
      <c r="G335" s="211" t="str">
        <f>IFERROR(VLOOKUP(F335,'2020 Budget'!$A$4:$B$462,2,FALSE),"N/F")</f>
        <v>09. Internet TV Entertainment Electronics</v>
      </c>
      <c r="H335" s="211">
        <v>-0.99</v>
      </c>
      <c r="I335" s="211">
        <f t="shared" si="7"/>
        <v>-7248.4399999999969</v>
      </c>
      <c r="J335" s="211"/>
      <c r="K335" s="208"/>
    </row>
    <row r="336" spans="1:11" hidden="1">
      <c r="A336" s="211" t="s">
        <v>263</v>
      </c>
      <c r="B336" s="211" t="str">
        <f>VLOOKUP(MONTH(C336),'Lookup Tables'!$A$3:$B$14,2,FALSE)</f>
        <v>Jul</v>
      </c>
      <c r="C336" s="213">
        <v>44026</v>
      </c>
      <c r="D336" s="211" t="s">
        <v>303</v>
      </c>
      <c r="E336" s="211" t="str">
        <f t="shared" si="6"/>
        <v>Jul Service Internet Cable TV</v>
      </c>
      <c r="F336" s="211" t="s">
        <v>15</v>
      </c>
      <c r="G336" s="211" t="str">
        <f>IFERROR(VLOOKUP(F336,'2020 Budget'!$A$4:$B$462,2,FALSE),"N/F")</f>
        <v>09. Internet TV Entertainment Electronics</v>
      </c>
      <c r="H336" s="211">
        <v>-72.86</v>
      </c>
      <c r="I336" s="211">
        <f t="shared" si="7"/>
        <v>-7321.2999999999965</v>
      </c>
      <c r="J336" s="211"/>
      <c r="K336" s="208"/>
    </row>
    <row r="337" spans="1:11" hidden="1">
      <c r="A337" s="211" t="s">
        <v>263</v>
      </c>
      <c r="B337" s="211" t="str">
        <f>VLOOKUP(MONTH(C337),'Lookup Tables'!$A$3:$B$14,2,FALSE)</f>
        <v>Jul</v>
      </c>
      <c r="C337" s="213">
        <v>44026</v>
      </c>
      <c r="D337" s="211" t="s">
        <v>4</v>
      </c>
      <c r="E337" s="211" t="str">
        <f t="shared" si="6"/>
        <v>Jul Dining Restaurant</v>
      </c>
      <c r="F337" s="211" t="s">
        <v>145</v>
      </c>
      <c r="G337" s="211" t="str">
        <f>IFERROR(VLOOKUP(F337,'2020 Budget'!$A$4:$B$462,2,FALSE),"N/F")</f>
        <v>04. Family Expenses</v>
      </c>
      <c r="H337" s="211">
        <v>-7.55</v>
      </c>
      <c r="I337" s="211">
        <f t="shared" si="7"/>
        <v>-7328.8499999999967</v>
      </c>
      <c r="J337" s="211"/>
      <c r="K337" s="208"/>
    </row>
    <row r="338" spans="1:11" hidden="1">
      <c r="A338" s="211" t="s">
        <v>263</v>
      </c>
      <c r="B338" s="211" t="str">
        <f>VLOOKUP(MONTH(C338),'Lookup Tables'!$A$3:$B$14,2,FALSE)</f>
        <v>Jul</v>
      </c>
      <c r="C338" s="213">
        <v>44026</v>
      </c>
      <c r="D338" s="211" t="s">
        <v>454</v>
      </c>
      <c r="E338" s="211" t="str">
        <f t="shared" si="6"/>
        <v>Jul Phone</v>
      </c>
      <c r="F338" s="211" t="s">
        <v>21</v>
      </c>
      <c r="G338" s="211" t="str">
        <f>IFERROR(VLOOKUP(F338,'2020 Budget'!$A$4:$B$462,2,FALSE),"N/F")</f>
        <v>09. Internet TV Entertainment Electronics</v>
      </c>
      <c r="H338" s="211">
        <v>-258.31</v>
      </c>
      <c r="I338" s="211">
        <f t="shared" si="7"/>
        <v>-7587.1599999999971</v>
      </c>
      <c r="J338" s="211"/>
      <c r="K338" s="208"/>
    </row>
    <row r="339" spans="1:11" hidden="1">
      <c r="A339" s="211" t="s">
        <v>263</v>
      </c>
      <c r="B339" s="211" t="str">
        <f>VLOOKUP(MONTH(C339),'Lookup Tables'!$A$3:$B$14,2,FALSE)</f>
        <v>Jul</v>
      </c>
      <c r="C339" s="213">
        <v>44027</v>
      </c>
      <c r="D339" s="211" t="s">
        <v>298</v>
      </c>
      <c r="E339" s="211" t="str">
        <f t="shared" si="6"/>
        <v>Jul Auto Insurance</v>
      </c>
      <c r="F339" s="211" t="s">
        <v>316</v>
      </c>
      <c r="G339" s="211" t="str">
        <f>IFERROR(VLOOKUP(F339,'2020 Budget'!$A$4:$B$462,2,FALSE),"N/F")</f>
        <v>05. Dodge Dart Auto Expenses</v>
      </c>
      <c r="H339" s="211">
        <v>-294.35000000000002</v>
      </c>
      <c r="I339" s="211">
        <f t="shared" si="7"/>
        <v>-7881.5099999999975</v>
      </c>
      <c r="J339" s="211"/>
      <c r="K339" s="208"/>
    </row>
    <row r="340" spans="1:11" hidden="1">
      <c r="A340" s="211" t="s">
        <v>263</v>
      </c>
      <c r="B340" s="211" t="str">
        <f>VLOOKUP(MONTH(C340),'Lookup Tables'!$A$3:$B$14,2,FALSE)</f>
        <v>Jul</v>
      </c>
      <c r="C340" s="213">
        <v>44027</v>
      </c>
      <c r="D340" s="211" t="s">
        <v>267</v>
      </c>
      <c r="E340" s="211" t="str">
        <f t="shared" si="6"/>
        <v>Jul Dining Fast Food</v>
      </c>
      <c r="F340" s="211" t="s">
        <v>85</v>
      </c>
      <c r="G340" s="211" t="str">
        <f>IFERROR(VLOOKUP(F340,'2020 Budget'!$A$4:$B$462,2,FALSE),"N/F")</f>
        <v>04. Family Expenses</v>
      </c>
      <c r="H340" s="211">
        <v>-5.4</v>
      </c>
      <c r="I340" s="211">
        <f t="shared" si="7"/>
        <v>-7886.9099999999971</v>
      </c>
      <c r="J340" s="211"/>
      <c r="K340" s="208"/>
    </row>
    <row r="341" spans="1:11" hidden="1">
      <c r="A341" s="211" t="s">
        <v>263</v>
      </c>
      <c r="B341" s="211" t="str">
        <f>VLOOKUP(MONTH(C341),'Lookup Tables'!$A$3:$B$14,2,FALSE)</f>
        <v>Jul</v>
      </c>
      <c r="C341" s="213">
        <v>44029</v>
      </c>
      <c r="D341" s="211" t="s">
        <v>983</v>
      </c>
      <c r="E341" s="211" t="str">
        <f t="shared" si="6"/>
        <v>Jul Service Home Maintenance/Improvement</v>
      </c>
      <c r="F341" s="211" t="s">
        <v>944</v>
      </c>
      <c r="G341" s="211" t="str">
        <f>IFERROR(VLOOKUP(F341,'2020 Budget'!$A$4:$B$462,2,FALSE),"N/F")</f>
        <v>04. Household Expenses</v>
      </c>
      <c r="H341" s="211">
        <v>-229</v>
      </c>
      <c r="I341" s="211">
        <f t="shared" si="7"/>
        <v>-8115.9099999999971</v>
      </c>
      <c r="J341" s="211"/>
      <c r="K341" s="208"/>
    </row>
    <row r="342" spans="1:11" hidden="1">
      <c r="A342" s="211" t="s">
        <v>263</v>
      </c>
      <c r="B342" s="211" t="str">
        <f>VLOOKUP(MONTH(C342),'Lookup Tables'!$A$3:$B$14,2,FALSE)</f>
        <v>Jul</v>
      </c>
      <c r="C342" s="213">
        <v>44029</v>
      </c>
      <c r="D342" s="211" t="s">
        <v>982</v>
      </c>
      <c r="E342" s="211" t="str">
        <f t="shared" si="6"/>
        <v>Jul Dining Fast Food</v>
      </c>
      <c r="F342" s="211" t="s">
        <v>85</v>
      </c>
      <c r="G342" s="211" t="str">
        <f>IFERROR(VLOOKUP(F342,'2020 Budget'!$A$4:$B$462,2,FALSE),"N/F")</f>
        <v>04. Family Expenses</v>
      </c>
      <c r="H342" s="211">
        <v>-8.4700000000000006</v>
      </c>
      <c r="I342" s="211">
        <f t="shared" si="7"/>
        <v>-8124.3799999999974</v>
      </c>
      <c r="J342" s="211"/>
      <c r="K342" s="208"/>
    </row>
    <row r="343" spans="1:11" hidden="1">
      <c r="A343" s="211" t="s">
        <v>263</v>
      </c>
      <c r="B343" s="211" t="str">
        <f>VLOOKUP(MONTH(C343),'Lookup Tables'!$A$3:$B$14,2,FALSE)</f>
        <v>Jul</v>
      </c>
      <c r="C343" s="213">
        <v>44030</v>
      </c>
      <c r="D343" s="211" t="s">
        <v>302</v>
      </c>
      <c r="E343" s="211" t="str">
        <f t="shared" si="6"/>
        <v>Jul Service Computer</v>
      </c>
      <c r="F343" s="211" t="s">
        <v>88</v>
      </c>
      <c r="G343" s="211" t="str">
        <f>IFERROR(VLOOKUP(F343,'2020 Budget'!$A$4:$B$462,2,FALSE),"N/F")</f>
        <v>09. Internet TV Entertainment Electronics</v>
      </c>
      <c r="H343" s="211">
        <v>-0.99</v>
      </c>
      <c r="I343" s="211">
        <f t="shared" si="7"/>
        <v>-8125.3699999999972</v>
      </c>
      <c r="J343" s="211"/>
      <c r="K343" s="208"/>
    </row>
    <row r="344" spans="1:11" hidden="1">
      <c r="A344" s="211" t="s">
        <v>263</v>
      </c>
      <c r="B344" s="211" t="str">
        <f>VLOOKUP(MONTH(C344),'Lookup Tables'!$A$3:$B$14,2,FALSE)</f>
        <v>Jul</v>
      </c>
      <c r="C344" s="213">
        <v>44030</v>
      </c>
      <c r="D344" s="211" t="s">
        <v>981</v>
      </c>
      <c r="E344" s="211" t="str">
        <f t="shared" si="6"/>
        <v>Jul Pet Grooming</v>
      </c>
      <c r="F344" s="211" t="s">
        <v>125</v>
      </c>
      <c r="G344" s="211" t="str">
        <f>IFERROR(VLOOKUP(F344,'2020 Budget'!$A$4:$B$462,2,FALSE),"N/F")</f>
        <v>08. Dogs Expenses</v>
      </c>
      <c r="H344" s="211">
        <v>-51.87</v>
      </c>
      <c r="I344" s="211">
        <f t="shared" si="7"/>
        <v>-8177.2399999999971</v>
      </c>
      <c r="J344" s="211"/>
      <c r="K344" s="208"/>
    </row>
    <row r="345" spans="1:11" hidden="1">
      <c r="A345" s="211" t="s">
        <v>263</v>
      </c>
      <c r="B345" s="211" t="str">
        <f>VLOOKUP(MONTH(C345),'Lookup Tables'!$A$3:$B$14,2,FALSE)</f>
        <v>Jul</v>
      </c>
      <c r="C345" s="213">
        <v>44030</v>
      </c>
      <c r="D345" s="211" t="s">
        <v>981</v>
      </c>
      <c r="E345" s="211" t="str">
        <f t="shared" si="6"/>
        <v>Jul Pet Grooming</v>
      </c>
      <c r="F345" s="211" t="s">
        <v>125</v>
      </c>
      <c r="G345" s="211" t="str">
        <f>IFERROR(VLOOKUP(F345,'2020 Budget'!$A$4:$B$462,2,FALSE),"N/F")</f>
        <v>08. Dogs Expenses</v>
      </c>
      <c r="H345" s="211">
        <v>-62.25</v>
      </c>
      <c r="I345" s="211">
        <f t="shared" si="7"/>
        <v>-8239.489999999998</v>
      </c>
      <c r="J345" s="211"/>
      <c r="K345" s="208"/>
    </row>
    <row r="346" spans="1:11" hidden="1">
      <c r="A346" s="211" t="s">
        <v>263</v>
      </c>
      <c r="B346" s="211" t="str">
        <f>VLOOKUP(MONTH(C346),'Lookup Tables'!$A$3:$B$14,2,FALSE)</f>
        <v>Jul</v>
      </c>
      <c r="C346" s="213">
        <v>44030</v>
      </c>
      <c r="D346" s="211" t="s">
        <v>980</v>
      </c>
      <c r="E346" s="211" t="str">
        <f t="shared" si="6"/>
        <v>Jul Dining Restaurant</v>
      </c>
      <c r="F346" s="211" t="s">
        <v>145</v>
      </c>
      <c r="G346" s="211" t="str">
        <f>IFERROR(VLOOKUP(F346,'2020 Budget'!$A$4:$B$462,2,FALSE),"N/F")</f>
        <v>04. Family Expenses</v>
      </c>
      <c r="H346" s="211">
        <v>-20.420000000000002</v>
      </c>
      <c r="I346" s="211">
        <f t="shared" si="7"/>
        <v>-8259.909999999998</v>
      </c>
      <c r="J346" s="211"/>
      <c r="K346" s="208"/>
    </row>
    <row r="347" spans="1:11" hidden="1">
      <c r="A347" s="211" t="s">
        <v>263</v>
      </c>
      <c r="B347" s="211" t="str">
        <f>VLOOKUP(MONTH(C347),'Lookup Tables'!$A$3:$B$14,2,FALSE)</f>
        <v>Jul</v>
      </c>
      <c r="C347" s="213">
        <v>44030</v>
      </c>
      <c r="D347" s="211" t="s">
        <v>979</v>
      </c>
      <c r="E347" s="211" t="str">
        <f t="shared" si="6"/>
        <v>Jul Dining Restaurant</v>
      </c>
      <c r="F347" s="211" t="s">
        <v>145</v>
      </c>
      <c r="G347" s="211" t="str">
        <f>IFERROR(VLOOKUP(F347,'2020 Budget'!$A$4:$B$462,2,FALSE),"N/F")</f>
        <v>04. Family Expenses</v>
      </c>
      <c r="H347" s="211">
        <v>-11.55</v>
      </c>
      <c r="I347" s="211">
        <f t="shared" si="7"/>
        <v>-8271.4599999999973</v>
      </c>
      <c r="J347" s="211"/>
      <c r="K347" s="208"/>
    </row>
    <row r="348" spans="1:11" hidden="1">
      <c r="A348" s="211" t="s">
        <v>263</v>
      </c>
      <c r="B348" s="211" t="str">
        <f>VLOOKUP(MONTH(C348),'Lookup Tables'!$A$3:$B$14,2,FALSE)</f>
        <v>Jul</v>
      </c>
      <c r="C348" s="213">
        <v>44031</v>
      </c>
      <c r="D348" s="211" t="s">
        <v>978</v>
      </c>
      <c r="E348" s="211" t="str">
        <f t="shared" si="6"/>
        <v>Jul Dining Restaurant</v>
      </c>
      <c r="F348" s="211" t="s">
        <v>145</v>
      </c>
      <c r="G348" s="211" t="str">
        <f>IFERROR(VLOOKUP(F348,'2020 Budget'!$A$4:$B$462,2,FALSE),"N/F")</f>
        <v>04. Family Expenses</v>
      </c>
      <c r="H348" s="211">
        <v>-6.82</v>
      </c>
      <c r="I348" s="211">
        <f t="shared" si="7"/>
        <v>-8278.279999999997</v>
      </c>
      <c r="J348" s="211"/>
      <c r="K348" s="208"/>
    </row>
    <row r="349" spans="1:11" hidden="1">
      <c r="A349" s="211" t="s">
        <v>263</v>
      </c>
      <c r="B349" s="211" t="str">
        <f>VLOOKUP(MONTH(C349),'Lookup Tables'!$A$3:$B$14,2,FALSE)</f>
        <v>Jul</v>
      </c>
      <c r="C349" s="213">
        <v>44032</v>
      </c>
      <c r="D349" s="211" t="s">
        <v>465</v>
      </c>
      <c r="E349" s="211" t="str">
        <f t="shared" si="6"/>
        <v>Jul Fee Credit Card Interest</v>
      </c>
      <c r="F349" s="211" t="s">
        <v>255</v>
      </c>
      <c r="G349" s="211" t="str">
        <f>IFERROR(VLOOKUP(F349,'2020 Budget'!$A$4:$B$462,2,FALSE),"N/F")</f>
        <v>14. Undesired Expenses</v>
      </c>
      <c r="H349" s="211">
        <v>-114.53</v>
      </c>
      <c r="I349" s="211">
        <f t="shared" si="7"/>
        <v>-8392.8099999999977</v>
      </c>
      <c r="J349" s="211"/>
      <c r="K349" s="208"/>
    </row>
    <row r="350" spans="1:11" ht="20.25" hidden="1" customHeight="1">
      <c r="A350" s="211" t="s">
        <v>263</v>
      </c>
      <c r="B350" s="211" t="str">
        <f>VLOOKUP(MONTH(C350),'Lookup Tables'!$A$3:$B$14,2,FALSE)</f>
        <v>Jul</v>
      </c>
      <c r="C350" s="213">
        <v>44032</v>
      </c>
      <c r="D350" s="211" t="s">
        <v>977</v>
      </c>
      <c r="E350" s="211" t="str">
        <f t="shared" si="6"/>
        <v>Jul Fee Bank</v>
      </c>
      <c r="F350" s="211" t="s">
        <v>23</v>
      </c>
      <c r="G350" s="211" t="str">
        <f>IFERROR(VLOOKUP(F350,'2020 Budget'!$A$4:$B$462,2,FALSE),"N/F")</f>
        <v>14. Undesired Expense</v>
      </c>
      <c r="H350" s="211">
        <v>-39</v>
      </c>
      <c r="I350" s="211">
        <f t="shared" si="7"/>
        <v>-8431.8099999999977</v>
      </c>
      <c r="J350" s="211"/>
      <c r="K350" s="208"/>
    </row>
    <row r="351" spans="1:11" hidden="1">
      <c r="A351" s="211" t="s">
        <v>263</v>
      </c>
      <c r="B351" s="211" t="str">
        <f>VLOOKUP(MONTH(C351),'Lookup Tables'!$A$3:$B$14,2,FALSE)</f>
        <v>Jul</v>
      </c>
      <c r="C351" s="213">
        <v>44035</v>
      </c>
      <c r="D351" s="211" t="s">
        <v>637</v>
      </c>
      <c r="E351" s="211" t="str">
        <f t="shared" ref="E351:E353" si="8">B351&amp;" "&amp;F351</f>
        <v>Jul Payment Other</v>
      </c>
      <c r="F351" s="211" t="s">
        <v>365</v>
      </c>
      <c r="G351" s="211" t="str">
        <f>IFERROR(VLOOKUP(F351,'2020 Budget'!$A$4:$B$462,2,FALSE),"N/F")</f>
        <v>16. Not Tracked</v>
      </c>
      <c r="H351" s="211">
        <v>401.41</v>
      </c>
      <c r="I351" s="211">
        <f t="shared" ref="I351:I353" si="9">I350+H351</f>
        <v>-8030.3999999999978</v>
      </c>
      <c r="J351" s="211"/>
      <c r="K351" s="208"/>
    </row>
    <row r="352" spans="1:11" hidden="1">
      <c r="A352" s="211" t="s">
        <v>263</v>
      </c>
      <c r="B352" s="211" t="str">
        <f>VLOOKUP(MONTH(C352),'Lookup Tables'!$A$3:$B$14,2,FALSE)</f>
        <v>Jul</v>
      </c>
      <c r="C352" s="213">
        <v>44039</v>
      </c>
      <c r="D352" s="211" t="s">
        <v>990</v>
      </c>
      <c r="E352" s="211"/>
      <c r="F352" s="211" t="s">
        <v>365</v>
      </c>
      <c r="G352" s="211" t="str">
        <f>IFERROR(VLOOKUP(F352,'2020 Budget'!$A$4:$B$462,2,FALSE),"N/F")</f>
        <v>16. Not Tracked</v>
      </c>
      <c r="H352" s="211">
        <v>3000</v>
      </c>
      <c r="I352" s="211">
        <f t="shared" si="9"/>
        <v>-5030.3999999999978</v>
      </c>
      <c r="J352" s="211"/>
      <c r="K352" s="208"/>
    </row>
    <row r="353" spans="1:11" ht="20.25" hidden="1" customHeight="1">
      <c r="A353" s="211" t="s">
        <v>263</v>
      </c>
      <c r="B353" s="211" t="str">
        <f>VLOOKUP(MONTH(C353),'Lookup Tables'!$A$3:$B$14,2,FALSE)</f>
        <v>Jul</v>
      </c>
      <c r="C353" s="213">
        <v>44038</v>
      </c>
      <c r="D353" s="211" t="s">
        <v>302</v>
      </c>
      <c r="E353" s="211" t="str">
        <f t="shared" si="8"/>
        <v>Jul Service Computer</v>
      </c>
      <c r="F353" s="211" t="s">
        <v>88</v>
      </c>
      <c r="G353" s="211" t="str">
        <f>IFERROR(VLOOKUP(F353,'2020 Budget'!$A$4:$B$462,2,FALSE),"N/F")</f>
        <v>09. Internet TV Entertainment Electronics</v>
      </c>
      <c r="H353" s="211">
        <v>-0.99</v>
      </c>
      <c r="I353" s="211">
        <f t="shared" si="9"/>
        <v>-5031.3899999999976</v>
      </c>
      <c r="J353" s="211"/>
      <c r="K353" s="208"/>
    </row>
    <row r="354" spans="1:11" hidden="1">
      <c r="A354" s="223" t="s">
        <v>291</v>
      </c>
      <c r="B354" s="224" t="str">
        <f>VLOOKUP(MONTH(C354),'Lookup Tables'!$A$3:$B$14,2,FALSE)</f>
        <v>Jan</v>
      </c>
      <c r="C354" s="225">
        <v>43831</v>
      </c>
      <c r="D354" s="223" t="s">
        <v>80</v>
      </c>
      <c r="E354" s="223" t="str">
        <f t="shared" si="6"/>
        <v>Jan Beginning Balance Other</v>
      </c>
      <c r="F354" s="226" t="s">
        <v>363</v>
      </c>
      <c r="G354" s="223" t="str">
        <f>IFERROR(VLOOKUP(F354,'2020 Budget'!$A$4:$B$462,2,FALSE),"N/F")</f>
        <v>16. Not Tracked</v>
      </c>
      <c r="H354" s="223"/>
      <c r="I354" s="223">
        <v>-3962.27</v>
      </c>
      <c r="J354" s="227" t="s">
        <v>360</v>
      </c>
      <c r="K354" s="189"/>
    </row>
    <row r="355" spans="1:11" hidden="1">
      <c r="A355" s="223" t="s">
        <v>291</v>
      </c>
      <c r="B355" s="224" t="str">
        <f>VLOOKUP(MONTH(C355),'Lookup Tables'!$A$3:$B$14,2,FALSE)</f>
        <v>Jan</v>
      </c>
      <c r="C355" s="225">
        <v>43839</v>
      </c>
      <c r="D355" s="223" t="s">
        <v>28</v>
      </c>
      <c r="E355" s="223" t="str">
        <f>B354&amp;" "&amp;F355</f>
        <v>Jan Payment Other</v>
      </c>
      <c r="F355" s="228" t="s">
        <v>365</v>
      </c>
      <c r="G355" s="223" t="str">
        <f>IFERROR(VLOOKUP(F355,'2020 Budget'!$A$4:$B$462,2,FALSE),"N/F")</f>
        <v>16. Not Tracked</v>
      </c>
      <c r="H355" s="223">
        <v>100.46</v>
      </c>
      <c r="I355" s="224">
        <v>-3861.81</v>
      </c>
      <c r="J355" s="227" t="s">
        <v>360</v>
      </c>
      <c r="K355" s="189"/>
    </row>
    <row r="356" spans="1:11" hidden="1">
      <c r="A356" s="223" t="s">
        <v>291</v>
      </c>
      <c r="B356" s="223" t="str">
        <f>VLOOKUP(MONTH(C356),'Lookup Tables'!$A$3:$B$14,2,FALSE)</f>
        <v>Jan</v>
      </c>
      <c r="C356" s="225">
        <v>43851</v>
      </c>
      <c r="D356" s="223" t="s">
        <v>452</v>
      </c>
      <c r="E356" s="223" t="str">
        <f>B356&amp;" "&amp;F356</f>
        <v>Jan Fee Credit Card Interest</v>
      </c>
      <c r="F356" s="228" t="s">
        <v>255</v>
      </c>
      <c r="G356" s="223" t="str">
        <f>IFERROR(VLOOKUP(F356,'2020 Budget'!$A$4:$B$462,2,FALSE),"N/F")</f>
        <v>14. Undesired Expenses</v>
      </c>
      <c r="H356" s="223">
        <v>-64.89</v>
      </c>
      <c r="I356" s="224">
        <v>-3926.7</v>
      </c>
      <c r="J356" s="227" t="s">
        <v>360</v>
      </c>
      <c r="K356" s="189"/>
    </row>
    <row r="357" spans="1:11" hidden="1">
      <c r="A357" s="223" t="s">
        <v>291</v>
      </c>
      <c r="B357" s="224" t="str">
        <f>VLOOKUP(MONTH(C357),'Lookup Tables'!$A$3:$B$14,2,FALSE)</f>
        <v>Jan</v>
      </c>
      <c r="C357" s="225">
        <v>43852</v>
      </c>
      <c r="D357" s="223" t="s">
        <v>80</v>
      </c>
      <c r="E357" s="223" t="str">
        <f>B357&amp;" "&amp;F357</f>
        <v>Jan Beginning Balance Other</v>
      </c>
      <c r="F357" s="226" t="s">
        <v>363</v>
      </c>
      <c r="G357" s="223" t="str">
        <f>IFERROR(VLOOKUP(F357,'2020 Budget'!$A$4:$B$462,2,FALSE),"N/F")</f>
        <v>16. Not Tracked</v>
      </c>
      <c r="H357" s="223"/>
      <c r="I357" s="223">
        <v>-3926.7</v>
      </c>
      <c r="J357" s="227" t="s">
        <v>360</v>
      </c>
      <c r="K357" s="189"/>
    </row>
    <row r="358" spans="1:11" hidden="1">
      <c r="A358" s="223" t="s">
        <v>291</v>
      </c>
      <c r="B358" s="224" t="str">
        <f>VLOOKUP(MONTH(C358),'Lookup Tables'!$A$3:$B$14,2,FALSE)</f>
        <v>Feb</v>
      </c>
      <c r="C358" s="225">
        <v>43871</v>
      </c>
      <c r="D358" s="223" t="s">
        <v>28</v>
      </c>
      <c r="E358" s="223" t="str">
        <f>B357&amp;" "&amp;F358</f>
        <v>Jan Payment Other</v>
      </c>
      <c r="F358" s="228" t="s">
        <v>365</v>
      </c>
      <c r="G358" s="223" t="str">
        <f>IFERROR(VLOOKUP(F358,'2020 Budget'!$A$4:$B$462,2,FALSE),"N/F")</f>
        <v>16. Not Tracked</v>
      </c>
      <c r="H358" s="223">
        <v>103.5</v>
      </c>
      <c r="I358" s="224">
        <v>-3823.2</v>
      </c>
      <c r="J358" s="227" t="s">
        <v>360</v>
      </c>
      <c r="K358" s="189"/>
    </row>
    <row r="359" spans="1:11" hidden="1">
      <c r="A359" s="223" t="s">
        <v>291</v>
      </c>
      <c r="B359" s="223" t="str">
        <f>VLOOKUP(MONTH(C359),'Lookup Tables'!$A$3:$B$14,2,FALSE)</f>
        <v>Feb</v>
      </c>
      <c r="C359" s="225">
        <v>43880</v>
      </c>
      <c r="D359" s="223" t="s">
        <v>452</v>
      </c>
      <c r="E359" s="223" t="str">
        <f t="shared" ref="E359:E375" si="10">B359&amp;" "&amp;F359</f>
        <v>Feb Fee Credit Card Interest</v>
      </c>
      <c r="F359" s="228" t="s">
        <v>255</v>
      </c>
      <c r="G359" s="223" t="str">
        <f>IFERROR(VLOOKUP(F359,'2020 Budget'!$A$4:$B$462,2,FALSE),"N/F")</f>
        <v>14. Undesired Expenses</v>
      </c>
      <c r="H359" s="223">
        <v>-58.31</v>
      </c>
      <c r="I359" s="224">
        <v>-3881.5099999999998</v>
      </c>
      <c r="J359" s="227" t="s">
        <v>360</v>
      </c>
      <c r="K359" s="189"/>
    </row>
    <row r="360" spans="1:11" hidden="1">
      <c r="A360" s="223" t="s">
        <v>291</v>
      </c>
      <c r="B360" s="224" t="str">
        <f>VLOOKUP(MONTH(C360),'Lookup Tables'!$A$3:$B$14,2,FALSE)</f>
        <v>Feb</v>
      </c>
      <c r="C360" s="225">
        <v>43881</v>
      </c>
      <c r="D360" s="223" t="s">
        <v>80</v>
      </c>
      <c r="E360" s="223" t="str">
        <f t="shared" si="10"/>
        <v>Feb Beginning Balance Other</v>
      </c>
      <c r="F360" s="226" t="s">
        <v>363</v>
      </c>
      <c r="G360" s="223" t="str">
        <f>IFERROR(VLOOKUP(F360,'2020 Budget'!$A$4:$B$462,2,FALSE),"N/F")</f>
        <v>16. Not Tracked</v>
      </c>
      <c r="H360" s="223"/>
      <c r="I360" s="223">
        <v>-3881.51</v>
      </c>
      <c r="J360" s="227" t="s">
        <v>360</v>
      </c>
      <c r="K360" s="189"/>
    </row>
    <row r="361" spans="1:11" hidden="1">
      <c r="A361" s="223" t="s">
        <v>291</v>
      </c>
      <c r="B361" s="223" t="str">
        <f>VLOOKUP(MONTH(C361),'Lookup Tables'!$A$3:$B$14,2,FALSE)</f>
        <v>Mar</v>
      </c>
      <c r="C361" s="225">
        <v>43900</v>
      </c>
      <c r="D361" s="223" t="s">
        <v>931</v>
      </c>
      <c r="E361" s="223" t="str">
        <f t="shared" si="10"/>
        <v>Mar Payment Other</v>
      </c>
      <c r="F361" s="228" t="s">
        <v>365</v>
      </c>
      <c r="G361" s="223" t="str">
        <f>IFERROR(VLOOKUP(F361,'2020 Budget'!$A$4:$B$462,2,FALSE),"N/F")</f>
        <v>16. Not Tracked</v>
      </c>
      <c r="H361" s="223">
        <v>-96.54</v>
      </c>
      <c r="I361" s="224">
        <v>-3978.05</v>
      </c>
      <c r="J361" s="227" t="s">
        <v>360</v>
      </c>
      <c r="K361" s="189"/>
    </row>
    <row r="362" spans="1:11" hidden="1">
      <c r="A362" s="223" t="s">
        <v>291</v>
      </c>
      <c r="B362" s="223" t="str">
        <f>VLOOKUP(MONTH(C362),'Lookup Tables'!$A$3:$B$14,2,FALSE)</f>
        <v>Mar</v>
      </c>
      <c r="C362" s="225">
        <v>43900</v>
      </c>
      <c r="D362" s="223" t="s">
        <v>28</v>
      </c>
      <c r="E362" s="223" t="str">
        <f t="shared" si="10"/>
        <v>Mar Payment Other</v>
      </c>
      <c r="F362" s="228" t="s">
        <v>365</v>
      </c>
      <c r="G362" s="223" t="str">
        <f>IFERROR(VLOOKUP(F362,'2020 Budget'!$A$4:$B$462,2,FALSE),"N/F")</f>
        <v>16. Not Tracked</v>
      </c>
      <c r="H362" s="223">
        <v>96.54</v>
      </c>
      <c r="I362" s="224">
        <v>-3881.51</v>
      </c>
      <c r="J362" s="227" t="s">
        <v>360</v>
      </c>
      <c r="K362" s="189"/>
    </row>
    <row r="363" spans="1:11" hidden="1">
      <c r="A363" s="223" t="s">
        <v>291</v>
      </c>
      <c r="B363" s="223" t="str">
        <f>VLOOKUP(MONTH(C363),'Lookup Tables'!$A$3:$B$14,2,FALSE)</f>
        <v>Mar</v>
      </c>
      <c r="C363" s="225">
        <v>43902</v>
      </c>
      <c r="D363" s="223" t="s">
        <v>453</v>
      </c>
      <c r="E363" s="223" t="str">
        <f t="shared" si="10"/>
        <v>Mar Fee NSF</v>
      </c>
      <c r="F363" s="228" t="s">
        <v>94</v>
      </c>
      <c r="G363" s="223" t="str">
        <f>IFERROR(VLOOKUP(F363,'2020 Budget'!$A$4:$B$462,2,FALSE),"N/F")</f>
        <v>14. Undesired Expenses</v>
      </c>
      <c r="H363" s="223">
        <v>-28</v>
      </c>
      <c r="I363" s="224">
        <v>-3909.51</v>
      </c>
      <c r="J363" s="227" t="s">
        <v>360</v>
      </c>
      <c r="K363" s="189"/>
    </row>
    <row r="364" spans="1:11" hidden="1">
      <c r="A364" s="223" t="s">
        <v>291</v>
      </c>
      <c r="B364" s="223" t="str">
        <f>VLOOKUP(MONTH(C364),'Lookup Tables'!$A$3:$B$14,2,FALSE)</f>
        <v>Mar</v>
      </c>
      <c r="C364" s="225">
        <v>43910</v>
      </c>
      <c r="D364" s="223" t="s">
        <v>452</v>
      </c>
      <c r="E364" s="223" t="str">
        <f t="shared" si="10"/>
        <v>Mar Fee Credit Card Interest</v>
      </c>
      <c r="F364" s="228" t="s">
        <v>255</v>
      </c>
      <c r="G364" s="223" t="str">
        <f>IFERROR(VLOOKUP(F364,'2020 Budget'!$A$4:$B$462,2,FALSE),"N/F")</f>
        <v>14. Undesired Expenses</v>
      </c>
      <c r="H364" s="223">
        <v>-55.46</v>
      </c>
      <c r="I364" s="224">
        <v>-3964.9700000000003</v>
      </c>
      <c r="J364" s="227" t="s">
        <v>360</v>
      </c>
      <c r="K364" s="189"/>
    </row>
    <row r="365" spans="1:11" hidden="1">
      <c r="A365" s="223" t="s">
        <v>291</v>
      </c>
      <c r="B365" s="224" t="str">
        <f>VLOOKUP(MONTH(C365),'Lookup Tables'!$A$3:$B$14,2,FALSE)</f>
        <v>Mar</v>
      </c>
      <c r="C365" s="225">
        <v>43911</v>
      </c>
      <c r="D365" s="223" t="s">
        <v>80</v>
      </c>
      <c r="E365" s="223" t="str">
        <f t="shared" si="10"/>
        <v>Mar Beginning Balance Other</v>
      </c>
      <c r="F365" s="226" t="s">
        <v>363</v>
      </c>
      <c r="G365" s="223" t="str">
        <f>IFERROR(VLOOKUP(F365,'2020 Budget'!$A$4:$B$462,2,FALSE),"N/F")</f>
        <v>16. Not Tracked</v>
      </c>
      <c r="H365" s="223"/>
      <c r="I365" s="229">
        <v>-3964.97</v>
      </c>
      <c r="J365" s="227" t="s">
        <v>360</v>
      </c>
      <c r="K365" s="189"/>
    </row>
    <row r="366" spans="1:11" hidden="1">
      <c r="A366" s="223" t="s">
        <v>291</v>
      </c>
      <c r="B366" s="223" t="str">
        <f>VLOOKUP(MONTH(C366),'Lookup Tables'!$A$3:$B$14,2,FALSE)</f>
        <v>Apr</v>
      </c>
      <c r="C366" s="225">
        <v>43928</v>
      </c>
      <c r="D366" s="223" t="s">
        <v>637</v>
      </c>
      <c r="E366" s="230" t="str">
        <f t="shared" si="10"/>
        <v>Apr Payment OTHER</v>
      </c>
      <c r="F366" s="228" t="s">
        <v>367</v>
      </c>
      <c r="G366" s="223" t="str">
        <f>IFERROR(VLOOKUP(F366,'2020 Budget'!$A$4:$B$462,2,FALSE),"N/F")</f>
        <v>16. Not Tracked</v>
      </c>
      <c r="H366" s="223">
        <v>500</v>
      </c>
      <c r="I366" s="224">
        <v>-3464.9700000000003</v>
      </c>
      <c r="J366" s="227" t="s">
        <v>360</v>
      </c>
      <c r="K366" s="189"/>
    </row>
    <row r="367" spans="1:11" hidden="1">
      <c r="A367" s="223" t="s">
        <v>291</v>
      </c>
      <c r="B367" s="223" t="str">
        <f>VLOOKUP(MONTH(C367),'Lookup Tables'!$A$3:$B$14,2,FALSE)</f>
        <v>Apr</v>
      </c>
      <c r="C367" s="225">
        <v>43941</v>
      </c>
      <c r="D367" s="223" t="s">
        <v>452</v>
      </c>
      <c r="E367" s="223" t="str">
        <f t="shared" si="10"/>
        <v>Apr Fee Credit Card Interest</v>
      </c>
      <c r="F367" s="228" t="s">
        <v>255</v>
      </c>
      <c r="G367" s="223" t="str">
        <f>IFERROR(VLOOKUP(F367,'2020 Budget'!$A$4:$B$462,2,FALSE),"N/F")</f>
        <v>14. Undesired Expenses</v>
      </c>
      <c r="H367" s="223">
        <v>-55.11</v>
      </c>
      <c r="I367" s="224">
        <v>-3520.0800000000004</v>
      </c>
      <c r="J367" s="227" t="s">
        <v>360</v>
      </c>
      <c r="K367" s="189"/>
    </row>
    <row r="368" spans="1:11" hidden="1">
      <c r="A368" s="223" t="s">
        <v>291</v>
      </c>
      <c r="B368" s="224" t="str">
        <f>VLOOKUP(MONTH(C368),'Lookup Tables'!$A$3:$B$14,2,FALSE)</f>
        <v>Apr</v>
      </c>
      <c r="C368" s="225">
        <v>43942</v>
      </c>
      <c r="D368" s="223" t="s">
        <v>80</v>
      </c>
      <c r="E368" s="223" t="str">
        <f t="shared" si="10"/>
        <v>Apr Beginning Balance Other</v>
      </c>
      <c r="F368" s="226" t="s">
        <v>363</v>
      </c>
      <c r="G368" s="223" t="str">
        <f>IFERROR(VLOOKUP(F368,'2020 Budget'!$A$4:$B$462,2,FALSE),"N/F")</f>
        <v>16. Not Tracked</v>
      </c>
      <c r="H368" s="223"/>
      <c r="I368" s="229">
        <v>-3520.08</v>
      </c>
      <c r="J368" s="227" t="s">
        <v>360</v>
      </c>
      <c r="K368" s="189"/>
    </row>
    <row r="369" spans="1:11" hidden="1">
      <c r="A369" s="223" t="s">
        <v>291</v>
      </c>
      <c r="B369" s="223" t="str">
        <f>VLOOKUP(MONTH(C369),'Lookup Tables'!$A$3:$B$14,2,FALSE)</f>
        <v>May</v>
      </c>
      <c r="C369" s="225">
        <v>43961</v>
      </c>
      <c r="D369" s="223" t="s">
        <v>637</v>
      </c>
      <c r="E369" s="230" t="str">
        <f t="shared" si="10"/>
        <v>May Payment OTHER</v>
      </c>
      <c r="F369" s="228" t="s">
        <v>367</v>
      </c>
      <c r="G369" s="223" t="str">
        <f>IFERROR(VLOOKUP(F369,'2020 Budget'!$A$4:$B$462,2,FALSE),"N/F")</f>
        <v>16. Not Tracked</v>
      </c>
      <c r="H369" s="223">
        <v>89.75</v>
      </c>
      <c r="I369" s="224">
        <v>-3430.3300000000004</v>
      </c>
      <c r="J369" s="227" t="s">
        <v>360</v>
      </c>
      <c r="K369" s="189"/>
    </row>
    <row r="370" spans="1:11" hidden="1">
      <c r="A370" s="223" t="s">
        <v>291</v>
      </c>
      <c r="B370" s="223" t="str">
        <f>VLOOKUP(MONTH(C370),'Lookup Tables'!$A$3:$B$14,2,FALSE)</f>
        <v>May</v>
      </c>
      <c r="C370" s="225">
        <v>43972</v>
      </c>
      <c r="D370" s="223" t="s">
        <v>452</v>
      </c>
      <c r="E370" s="223" t="str">
        <f t="shared" si="10"/>
        <v>May Fee Credit Card Interest</v>
      </c>
      <c r="F370" s="228" t="s">
        <v>255</v>
      </c>
      <c r="G370" s="223" t="str">
        <f>IFERROR(VLOOKUP(F370,'2020 Budget'!$A$4:$B$462,2,FALSE),"N/F")</f>
        <v>14. Undesired Expenses</v>
      </c>
      <c r="H370" s="223">
        <v>-51.36</v>
      </c>
      <c r="I370" s="224">
        <v>-3481.6900000000005</v>
      </c>
      <c r="J370" s="227" t="s">
        <v>360</v>
      </c>
      <c r="K370" s="189"/>
    </row>
    <row r="371" spans="1:11" hidden="1">
      <c r="A371" s="223" t="s">
        <v>291</v>
      </c>
      <c r="B371" s="224" t="str">
        <f>VLOOKUP(MONTH(C371),'Lookup Tables'!$A$3:$B$14,2,FALSE)</f>
        <v>May</v>
      </c>
      <c r="C371" s="225">
        <v>43973</v>
      </c>
      <c r="D371" s="223" t="s">
        <v>80</v>
      </c>
      <c r="E371" s="223" t="str">
        <f t="shared" si="10"/>
        <v>May Beginning Balance Other</v>
      </c>
      <c r="F371" s="226" t="s">
        <v>363</v>
      </c>
      <c r="G371" s="223" t="str">
        <f>IFERROR(VLOOKUP(F371,'2020 Budget'!$A$4:$B$462,2,FALSE),"N/F")</f>
        <v>16. Not Tracked</v>
      </c>
      <c r="H371" s="223"/>
      <c r="I371" s="229">
        <v>-3481.69</v>
      </c>
      <c r="J371" s="227" t="s">
        <v>360</v>
      </c>
      <c r="K371" s="189"/>
    </row>
    <row r="372" spans="1:11" hidden="1">
      <c r="A372" s="223" t="s">
        <v>291</v>
      </c>
      <c r="B372" s="223" t="str">
        <f>VLOOKUP(MONTH(C372),'Lookup Tables'!$A$3:$B$14,2,FALSE)</f>
        <v>Jun</v>
      </c>
      <c r="C372" s="225">
        <v>43983</v>
      </c>
      <c r="D372" s="223" t="s">
        <v>637</v>
      </c>
      <c r="E372" s="230" t="str">
        <f t="shared" si="10"/>
        <v>Jun Payment OTHER</v>
      </c>
      <c r="F372" s="228" t="s">
        <v>367</v>
      </c>
      <c r="G372" s="223" t="str">
        <f>IFERROR(VLOOKUP(F372,'2020 Budget'!$A$4:$B$462,2,FALSE),"N/F")</f>
        <v>16. Not Tracked</v>
      </c>
      <c r="H372" s="223">
        <v>1000</v>
      </c>
      <c r="I372" s="224">
        <v>-2481.6900000000005</v>
      </c>
      <c r="J372" s="227" t="s">
        <v>360</v>
      </c>
      <c r="K372" s="189"/>
    </row>
    <row r="373" spans="1:11" hidden="1">
      <c r="A373" s="223" t="s">
        <v>291</v>
      </c>
      <c r="B373" s="223" t="str">
        <f>VLOOKUP(MONTH(C373),'Lookup Tables'!$A$3:$B$14,2,FALSE)</f>
        <v>Jun</v>
      </c>
      <c r="C373" s="225">
        <v>44001</v>
      </c>
      <c r="D373" s="223" t="s">
        <v>452</v>
      </c>
      <c r="E373" s="223" t="str">
        <f t="shared" si="10"/>
        <v>Jun Fee Credit Card Interest</v>
      </c>
      <c r="F373" s="228" t="s">
        <v>255</v>
      </c>
      <c r="G373" s="223" t="str">
        <f>IFERROR(VLOOKUP(F373,'2020 Budget'!$A$4:$B$462,2,FALSE),"N/F")</f>
        <v>14. Undesired Expenses</v>
      </c>
      <c r="H373" s="223">
        <v>-38.97</v>
      </c>
      <c r="I373" s="224">
        <v>-2520.6600000000003</v>
      </c>
      <c r="J373" s="227" t="s">
        <v>360</v>
      </c>
      <c r="K373" s="189"/>
    </row>
    <row r="374" spans="1:11" hidden="1">
      <c r="A374" s="223" t="s">
        <v>291</v>
      </c>
      <c r="B374" s="224" t="str">
        <f>VLOOKUP(MONTH(C374),'Lookup Tables'!$A$3:$B$14,2,FALSE)</f>
        <v>Jun</v>
      </c>
      <c r="C374" s="225">
        <v>44002</v>
      </c>
      <c r="D374" s="223" t="s">
        <v>80</v>
      </c>
      <c r="E374" s="223" t="str">
        <f t="shared" si="10"/>
        <v>Jun Beginning Balance Other</v>
      </c>
      <c r="F374" s="226" t="s">
        <v>363</v>
      </c>
      <c r="G374" s="223" t="str">
        <f>IFERROR(VLOOKUP(F374,'2020 Budget'!$A$4:$B$462,2,FALSE),"N/F")</f>
        <v>16. Not Tracked</v>
      </c>
      <c r="H374" s="223"/>
      <c r="I374" s="229">
        <v>-2520.66</v>
      </c>
      <c r="J374" s="227" t="s">
        <v>360</v>
      </c>
      <c r="K374" s="189"/>
    </row>
    <row r="375" spans="1:11" hidden="1">
      <c r="A375" s="223" t="s">
        <v>291</v>
      </c>
      <c r="B375" s="224" t="str">
        <f>VLOOKUP(MONTH(C375),'Lookup Tables'!$A$3:$B$14,2,FALSE)</f>
        <v>Jul</v>
      </c>
      <c r="C375" s="225">
        <v>44021</v>
      </c>
      <c r="D375" s="223" t="s">
        <v>989</v>
      </c>
      <c r="E375" s="223" t="str">
        <f t="shared" si="10"/>
        <v>Jul Payment Other</v>
      </c>
      <c r="F375" s="226" t="s">
        <v>365</v>
      </c>
      <c r="G375" s="223" t="str">
        <f>IFERROR(VLOOKUP(F375,'2020 Budget'!$A$4:$B$462,2,FALSE),"N/F")</f>
        <v>16. Not Tracked</v>
      </c>
      <c r="H375" s="223">
        <v>63.78</v>
      </c>
      <c r="I375" s="229">
        <v>-2520.66</v>
      </c>
      <c r="J375" s="227" t="s">
        <v>360</v>
      </c>
      <c r="K375" s="189"/>
    </row>
    <row r="376" spans="1:11" hidden="1">
      <c r="A376" s="231" t="s">
        <v>30</v>
      </c>
      <c r="B376" s="232" t="str">
        <f>VLOOKUP(MONTH(C376),'Lookup Tables'!$A$3:$B$14,2,FALSE)</f>
        <v>Jan</v>
      </c>
      <c r="C376" s="233">
        <v>43831</v>
      </c>
      <c r="D376" s="231" t="s">
        <v>80</v>
      </c>
      <c r="E376" s="231" t="str">
        <f t="shared" ref="E376:E439" si="11">B376&amp;" "&amp;F376</f>
        <v>Jan Checking Account Beginning Balance</v>
      </c>
      <c r="F376" s="234" t="s">
        <v>362</v>
      </c>
      <c r="G376" s="231" t="str">
        <f>IFERROR(VLOOKUP(F376,'2020 Budget'!$A$4:$B$462,2,FALSE),"N/F")</f>
        <v>01. Checking Account Income</v>
      </c>
      <c r="H376" s="235"/>
      <c r="I376" s="231">
        <v>-157.28</v>
      </c>
      <c r="J376" s="236" t="s">
        <v>360</v>
      </c>
      <c r="K376" s="207">
        <v>-157.28</v>
      </c>
    </row>
    <row r="377" spans="1:11" hidden="1">
      <c r="A377" s="231" t="s">
        <v>30</v>
      </c>
      <c r="B377" s="232" t="str">
        <f>VLOOKUP(MONTH(C377),'Lookup Tables'!$A$3:$B$14,2,FALSE)</f>
        <v>Jan</v>
      </c>
      <c r="C377" s="233">
        <v>43833</v>
      </c>
      <c r="D377" s="231" t="s">
        <v>346</v>
      </c>
      <c r="E377" s="231" t="str">
        <f t="shared" si="11"/>
        <v>Jan Merchandise Computer</v>
      </c>
      <c r="F377" s="237" t="s">
        <v>35</v>
      </c>
      <c r="G377" s="231" t="str">
        <f>IFERROR(VLOOKUP(F377,'2020 Budget'!$A$4:$B$462,2,FALSE),"N/F")</f>
        <v>09. Internet TV Entertainment Electronics</v>
      </c>
      <c r="H377" s="231">
        <v>-70</v>
      </c>
      <c r="I377" s="238">
        <v>-160</v>
      </c>
      <c r="J377" s="236" t="s">
        <v>360</v>
      </c>
      <c r="K377" s="207"/>
    </row>
    <row r="378" spans="1:11" ht="23.1" hidden="1" customHeight="1">
      <c r="A378" s="231" t="s">
        <v>30</v>
      </c>
      <c r="B378" s="232" t="str">
        <f>VLOOKUP(MONTH(C378),'Lookup Tables'!$A$3:$B$14,2,FALSE)</f>
        <v>Jan</v>
      </c>
      <c r="C378" s="233">
        <v>43833</v>
      </c>
      <c r="D378" s="231" t="s">
        <v>261</v>
      </c>
      <c r="E378" s="231" t="str">
        <f t="shared" si="11"/>
        <v>Jan Gifts Given</v>
      </c>
      <c r="F378" s="231" t="s">
        <v>83</v>
      </c>
      <c r="G378" s="231" t="str">
        <f>IFERROR(VLOOKUP(F378,'2020 Budget'!$A$4:$B$462,2,FALSE),"N/F")</f>
        <v>04. Family Expenses</v>
      </c>
      <c r="H378" s="231">
        <v>-150</v>
      </c>
      <c r="I378" s="238">
        <v>-90</v>
      </c>
      <c r="J378" s="236" t="s">
        <v>360</v>
      </c>
      <c r="K378" s="207"/>
    </row>
    <row r="379" spans="1:11" hidden="1">
      <c r="A379" s="231" t="s">
        <v>30</v>
      </c>
      <c r="B379" s="232" t="str">
        <f>VLOOKUP(MONTH(C379),'Lookup Tables'!$A$3:$B$14,2,FALSE)</f>
        <v>Jan</v>
      </c>
      <c r="C379" s="233">
        <v>43833</v>
      </c>
      <c r="D379" s="231" t="s">
        <v>361</v>
      </c>
      <c r="E379" s="231" t="str">
        <f t="shared" si="11"/>
        <v>Jan BoA Acct Transfer From Savings</v>
      </c>
      <c r="F379" s="231" t="s">
        <v>631</v>
      </c>
      <c r="G379" s="231" t="str">
        <f>IFERROR(VLOOKUP(F379,'2020 Budget'!$A$4:$B$462,2,FALSE),"N/F")</f>
        <v>01. Checking Account Income</v>
      </c>
      <c r="H379" s="231">
        <v>165.17</v>
      </c>
      <c r="I379" s="238">
        <v>7.8899999999999864</v>
      </c>
      <c r="J379" s="236" t="s">
        <v>360</v>
      </c>
      <c r="K379" s="207"/>
    </row>
    <row r="380" spans="1:11" hidden="1">
      <c r="A380" s="231" t="s">
        <v>30</v>
      </c>
      <c r="B380" s="232" t="str">
        <f>VLOOKUP(MONTH(C380),'Lookup Tables'!$A$3:$B$14,2,FALSE)</f>
        <v>Jan</v>
      </c>
      <c r="C380" s="233">
        <v>43833</v>
      </c>
      <c r="D380" s="231" t="s">
        <v>276</v>
      </c>
      <c r="E380" s="231" t="str">
        <f t="shared" si="11"/>
        <v>Jan BoA Acct Transfer From Savings</v>
      </c>
      <c r="F380" s="231" t="s">
        <v>631</v>
      </c>
      <c r="G380" s="231" t="str">
        <f>IFERROR(VLOOKUP(F380,'2020 Budget'!$A$4:$B$462,2,FALSE),"N/F")</f>
        <v>01. Checking Account Income</v>
      </c>
      <c r="H380" s="231">
        <v>-160</v>
      </c>
      <c r="I380" s="238">
        <v>-152.11000000000001</v>
      </c>
      <c r="J380" s="236" t="s">
        <v>360</v>
      </c>
      <c r="K380" s="207"/>
    </row>
    <row r="381" spans="1:11" hidden="1">
      <c r="A381" s="231" t="s">
        <v>30</v>
      </c>
      <c r="B381" s="232" t="str">
        <f>VLOOKUP(MONTH(C381),'Lookup Tables'!$A$3:$B$14,2,FALSE)</f>
        <v>Jan</v>
      </c>
      <c r="C381" s="233">
        <v>43833</v>
      </c>
      <c r="D381" s="231" t="s">
        <v>31</v>
      </c>
      <c r="E381" s="231" t="str">
        <f t="shared" si="11"/>
        <v>Jan Child support</v>
      </c>
      <c r="F381" s="237" t="s">
        <v>260</v>
      </c>
      <c r="G381" s="231" t="str">
        <f>IFERROR(VLOOKUP(F381,'2020 Budget'!$A$4:$B$462,2,FALSE),"N/F")</f>
        <v>04. Family Expenses</v>
      </c>
      <c r="H381" s="231">
        <v>212.11</v>
      </c>
      <c r="I381" s="238">
        <v>60</v>
      </c>
      <c r="J381" s="236" t="s">
        <v>360</v>
      </c>
      <c r="K381" s="207"/>
    </row>
    <row r="382" spans="1:11" hidden="1">
      <c r="A382" s="231" t="s">
        <v>30</v>
      </c>
      <c r="B382" s="232" t="str">
        <f>VLOOKUP(MONTH(C382),'Lookup Tables'!$A$3:$B$14,2,FALSE)</f>
        <v>Jan</v>
      </c>
      <c r="C382" s="233">
        <v>43836</v>
      </c>
      <c r="D382" s="238" t="s">
        <v>880</v>
      </c>
      <c r="E382" s="231" t="str">
        <f t="shared" si="11"/>
        <v>Jan Credit Card Payment AADVANTAGE</v>
      </c>
      <c r="F382" s="231" t="s">
        <v>880</v>
      </c>
      <c r="G382" s="231" t="str">
        <f>IFERROR(VLOOKUP(F382,'2020 Budget'!$A$4:$B$5023,2,FALSE),"N/F")</f>
        <v>02. Checking Account Expenses</v>
      </c>
      <c r="H382" s="231">
        <v>-40</v>
      </c>
      <c r="I382" s="238">
        <v>-200</v>
      </c>
      <c r="J382" s="236" t="s">
        <v>360</v>
      </c>
      <c r="K382" s="207"/>
    </row>
    <row r="383" spans="1:11" hidden="1">
      <c r="A383" s="231" t="s">
        <v>30</v>
      </c>
      <c r="B383" s="232" t="str">
        <f>VLOOKUP(MONTH(C383),'Lookup Tables'!$A$3:$B$14,2,FALSE)</f>
        <v>Jan</v>
      </c>
      <c r="C383" s="233">
        <v>43836</v>
      </c>
      <c r="D383" s="231" t="s">
        <v>259</v>
      </c>
      <c r="E383" s="231" t="str">
        <f t="shared" si="11"/>
        <v>Jan Merchandise Home</v>
      </c>
      <c r="F383" s="231" t="s">
        <v>19</v>
      </c>
      <c r="G383" s="231" t="str">
        <f>IFERROR(VLOOKUP(F383,'2020 Budget'!$A$4:$B$462,2,FALSE),"N/F")</f>
        <v>04. Household Expenses</v>
      </c>
      <c r="H383" s="231">
        <v>-62</v>
      </c>
      <c r="I383" s="238">
        <v>-262</v>
      </c>
      <c r="J383" s="236" t="s">
        <v>360</v>
      </c>
      <c r="K383" s="207"/>
    </row>
    <row r="384" spans="1:11" hidden="1">
      <c r="A384" s="231" t="s">
        <v>30</v>
      </c>
      <c r="B384" s="232" t="str">
        <f>VLOOKUP(MONTH(C384),'Lookup Tables'!$A$3:$B$14,2,FALSE)</f>
        <v>Jan</v>
      </c>
      <c r="C384" s="233">
        <v>43836</v>
      </c>
      <c r="D384" s="231" t="s">
        <v>258</v>
      </c>
      <c r="E384" s="231" t="str">
        <f t="shared" si="11"/>
        <v>Jan Retirement Funds</v>
      </c>
      <c r="F384" s="237" t="s">
        <v>10</v>
      </c>
      <c r="G384" s="231" t="str">
        <f>IFERROR(VLOOKUP(F384,'2020 Budget'!$A$4:$B$462,2,FALSE),"N/F")</f>
        <v>01. Checking Account Income</v>
      </c>
      <c r="H384" s="231">
        <v>7075</v>
      </c>
      <c r="I384" s="238">
        <v>6813</v>
      </c>
      <c r="J384" s="236" t="s">
        <v>360</v>
      </c>
      <c r="K384" s="207"/>
    </row>
    <row r="385" spans="1:11" hidden="1">
      <c r="A385" s="231" t="s">
        <v>30</v>
      </c>
      <c r="B385" s="232" t="str">
        <f>VLOOKUP(MONTH(C385),'Lookup Tables'!$A$3:$B$14,2,FALSE)</f>
        <v>Jan</v>
      </c>
      <c r="C385" s="233">
        <v>43837</v>
      </c>
      <c r="D385" s="231" t="s">
        <v>586</v>
      </c>
      <c r="E385" s="231" t="str">
        <f t="shared" si="11"/>
        <v>Jan CPBA Service Computer</v>
      </c>
      <c r="F385" s="237" t="s">
        <v>528</v>
      </c>
      <c r="G385" s="231" t="str">
        <f>IFERROR(VLOOKUP(F385,'2020 Budget'!$A$4:$B$462,2,FALSE),"N/F")</f>
        <v>03. CP Business Analysis Expenses</v>
      </c>
      <c r="H385" s="231">
        <v>104.8</v>
      </c>
      <c r="I385" s="238">
        <v>6983.6900000000005</v>
      </c>
      <c r="J385" s="236" t="s">
        <v>360</v>
      </c>
      <c r="K385" s="207"/>
    </row>
    <row r="386" spans="1:11">
      <c r="A386" s="231" t="s">
        <v>30</v>
      </c>
      <c r="B386" s="232" t="str">
        <f>VLOOKUP(MONTH(C386),'Lookup Tables'!$A$3:$B$14,2,FALSE)</f>
        <v>Jan</v>
      </c>
      <c r="C386" s="233">
        <v>43837</v>
      </c>
      <c r="D386" s="231" t="s">
        <v>277</v>
      </c>
      <c r="E386" s="231" t="str">
        <f t="shared" si="11"/>
        <v>Jan Ford Fusion Auto Purchase</v>
      </c>
      <c r="F386" s="238" t="s">
        <v>150</v>
      </c>
      <c r="G386" s="231" t="str">
        <f>IFERROR(VLOOKUP(F386,'2020 Budget'!$A$4:$B$462,2,FALSE),"N/F")</f>
        <v>15.  Ford Fusion</v>
      </c>
      <c r="H386" s="231">
        <v>-100</v>
      </c>
      <c r="I386" s="238">
        <v>6883.6900000000005</v>
      </c>
      <c r="J386" s="236" t="s">
        <v>360</v>
      </c>
      <c r="K386" s="207"/>
    </row>
    <row r="387" spans="1:11" hidden="1">
      <c r="A387" s="231" t="s">
        <v>30</v>
      </c>
      <c r="B387" s="232" t="str">
        <f>VLOOKUP(MONTH(C387),'Lookup Tables'!$A$3:$B$14,2,FALSE)</f>
        <v>Jan</v>
      </c>
      <c r="C387" s="233">
        <v>43837</v>
      </c>
      <c r="D387" s="231" t="s">
        <v>278</v>
      </c>
      <c r="E387" s="231" t="str">
        <f t="shared" si="11"/>
        <v>Jan Charity Church Donation</v>
      </c>
      <c r="F387" s="231" t="s">
        <v>954</v>
      </c>
      <c r="G387" s="231" t="str">
        <f>IFERROR(VLOOKUP(F387,'2020 Budget'!$A$4:$B$462,2,FALSE),"N/F")</f>
        <v>04. Family Expenses</v>
      </c>
      <c r="H387" s="231">
        <v>-10</v>
      </c>
      <c r="I387" s="238">
        <v>6803</v>
      </c>
      <c r="J387" s="236" t="s">
        <v>360</v>
      </c>
      <c r="K387" s="207"/>
    </row>
    <row r="388" spans="1:11" hidden="1">
      <c r="A388" s="231" t="s">
        <v>30</v>
      </c>
      <c r="B388" s="232" t="str">
        <f>VLOOKUP(MONTH(C388),'Lookup Tables'!$A$3:$B$14,2,FALSE)</f>
        <v>Jan</v>
      </c>
      <c r="C388" s="233">
        <v>43837</v>
      </c>
      <c r="D388" s="231" t="s">
        <v>279</v>
      </c>
      <c r="E388" s="231" t="str">
        <f t="shared" si="11"/>
        <v>Jan Merchandise Home</v>
      </c>
      <c r="F388" s="231" t="s">
        <v>19</v>
      </c>
      <c r="G388" s="231" t="str">
        <f>IFERROR(VLOOKUP(F388,'2020 Budget'!$A$4:$B$462,2,FALSE),"N/F")</f>
        <v>04. Household Expenses</v>
      </c>
      <c r="H388" s="231">
        <v>-40</v>
      </c>
      <c r="I388" s="238">
        <v>6843.6900000000005</v>
      </c>
      <c r="J388" s="236" t="s">
        <v>360</v>
      </c>
      <c r="K388" s="207"/>
    </row>
    <row r="389" spans="1:11" hidden="1">
      <c r="A389" s="231" t="s">
        <v>30</v>
      </c>
      <c r="B389" s="232" t="str">
        <f>VLOOKUP(MONTH(C389),'Lookup Tables'!$A$3:$B$14,2,FALSE)</f>
        <v>Jan</v>
      </c>
      <c r="C389" s="233">
        <v>43837</v>
      </c>
      <c r="D389" s="231" t="s">
        <v>31</v>
      </c>
      <c r="E389" s="231" t="str">
        <f t="shared" si="11"/>
        <v>Jan Child support</v>
      </c>
      <c r="F389" s="237" t="s">
        <v>260</v>
      </c>
      <c r="G389" s="231" t="str">
        <f>IFERROR(VLOOKUP(F389,'2020 Budget'!$A$4:$B$462,2,FALSE),"N/F")</f>
        <v>04. Family Expenses</v>
      </c>
      <c r="H389" s="231">
        <v>75.89</v>
      </c>
      <c r="I389" s="238">
        <v>6878.89</v>
      </c>
      <c r="J389" s="236" t="s">
        <v>360</v>
      </c>
      <c r="K389" s="207"/>
    </row>
    <row r="390" spans="1:11" hidden="1">
      <c r="A390" s="231" t="s">
        <v>30</v>
      </c>
      <c r="B390" s="232" t="str">
        <f>VLOOKUP(MONTH(C390),'Lookup Tables'!$A$3:$B$14,2,FALSE)</f>
        <v>Jan</v>
      </c>
      <c r="C390" s="233">
        <v>43838</v>
      </c>
      <c r="D390" s="231" t="s">
        <v>280</v>
      </c>
      <c r="E390" s="231" t="str">
        <f t="shared" si="11"/>
        <v>Jan Merchandise Computer</v>
      </c>
      <c r="F390" s="231" t="s">
        <v>35</v>
      </c>
      <c r="G390" s="231" t="str">
        <f>IFERROR(VLOOKUP(F390,'2020 Budget'!$A$4:$B$462,2,FALSE),"N/F")</f>
        <v>09. Internet TV Entertainment Electronics</v>
      </c>
      <c r="H390" s="231">
        <v>-24.78</v>
      </c>
      <c r="I390" s="238">
        <v>6818.9100000000008</v>
      </c>
      <c r="J390" s="236" t="s">
        <v>360</v>
      </c>
      <c r="K390" s="207"/>
    </row>
    <row r="391" spans="1:11" hidden="1">
      <c r="A391" s="231" t="s">
        <v>30</v>
      </c>
      <c r="B391" s="232" t="str">
        <f>VLOOKUP(MONTH(C391),'Lookup Tables'!$A$3:$B$14,2,FALSE)</f>
        <v>Jan</v>
      </c>
      <c r="C391" s="233">
        <v>43839</v>
      </c>
      <c r="D391" s="231" t="s">
        <v>283</v>
      </c>
      <c r="E391" s="231" t="str">
        <f t="shared" si="11"/>
        <v>Jan Credit Card Payment Marriott AMEX</v>
      </c>
      <c r="F391" s="237" t="s">
        <v>616</v>
      </c>
      <c r="G391" s="231" t="str">
        <f>IFERROR(VLOOKUP(F391,'2020 Budget'!$A$4:$B$462,2,FALSE),"N/F")</f>
        <v>02. Checking Account Expenses</v>
      </c>
      <c r="H391" s="231">
        <v>-100.46</v>
      </c>
      <c r="I391" s="238">
        <v>6668.4500000000007</v>
      </c>
      <c r="J391" s="236" t="s">
        <v>360</v>
      </c>
      <c r="K391" s="207"/>
    </row>
    <row r="392" spans="1:11" hidden="1">
      <c r="A392" s="231" t="s">
        <v>30</v>
      </c>
      <c r="B392" s="232" t="str">
        <f>VLOOKUP(MONTH(C392),'Lookup Tables'!$A$3:$B$14,2,FALSE)</f>
        <v>Jan</v>
      </c>
      <c r="C392" s="233">
        <v>43839</v>
      </c>
      <c r="D392" s="231" t="s">
        <v>281</v>
      </c>
      <c r="E392" s="231" t="str">
        <f t="shared" si="11"/>
        <v>Jan Ford Fusion Auto Repair</v>
      </c>
      <c r="F392" s="231" t="s">
        <v>149</v>
      </c>
      <c r="G392" s="231" t="str">
        <f>IFERROR(VLOOKUP(F392,'2020 Budget'!$A$4:$B$462,2,FALSE),"N/F")</f>
        <v>15.  Ford Fusion</v>
      </c>
      <c r="H392" s="231">
        <v>-500</v>
      </c>
      <c r="I392" s="238">
        <v>6168.4500000000007</v>
      </c>
      <c r="J392" s="236" t="s">
        <v>360</v>
      </c>
      <c r="K392" s="207"/>
    </row>
    <row r="393" spans="1:11" hidden="1">
      <c r="A393" s="231" t="s">
        <v>30</v>
      </c>
      <c r="B393" s="232" t="str">
        <f>VLOOKUP(MONTH(C393),'Lookup Tables'!$A$3:$B$14,2,FALSE)</f>
        <v>Jan</v>
      </c>
      <c r="C393" s="233">
        <v>43839</v>
      </c>
      <c r="D393" s="231" t="s">
        <v>288</v>
      </c>
      <c r="E393" s="231" t="str">
        <f t="shared" si="11"/>
        <v>Jan Mortgage + Property Taxes</v>
      </c>
      <c r="F393" s="231" t="s">
        <v>347</v>
      </c>
      <c r="G393" s="231" t="str">
        <f>IFERROR(VLOOKUP(F393,'2020 Budget'!$A$4:$B$462,2,FALSE),"N/F")</f>
        <v>02. Checking Account Expenses</v>
      </c>
      <c r="H393" s="231">
        <v>-1463</v>
      </c>
      <c r="I393" s="238">
        <v>4705.4500000000007</v>
      </c>
      <c r="J393" s="236" t="s">
        <v>360</v>
      </c>
      <c r="K393" s="207"/>
    </row>
    <row r="394" spans="1:11" hidden="1">
      <c r="A394" s="231" t="s">
        <v>30</v>
      </c>
      <c r="B394" s="232" t="str">
        <f>VLOOKUP(MONTH(C394),'Lookup Tables'!$A$3:$B$14,2,FALSE)</f>
        <v>Jan</v>
      </c>
      <c r="C394" s="233">
        <v>43839</v>
      </c>
      <c r="D394" s="231" t="s">
        <v>290</v>
      </c>
      <c r="E394" s="231" t="str">
        <f t="shared" si="11"/>
        <v>Jan Mortgage + Property Taxes</v>
      </c>
      <c r="F394" s="231" t="s">
        <v>347</v>
      </c>
      <c r="G394" s="231" t="str">
        <f>IFERROR(VLOOKUP(F394,'2020 Budget'!$A$4:$B$462,2,FALSE),"N/F")</f>
        <v>02. Checking Account Expenses</v>
      </c>
      <c r="H394" s="231">
        <v>-60</v>
      </c>
      <c r="I394" s="238">
        <v>4645.4500000000007</v>
      </c>
      <c r="J394" s="236" t="s">
        <v>360</v>
      </c>
      <c r="K394" s="207"/>
    </row>
    <row r="395" spans="1:11" hidden="1">
      <c r="A395" s="231" t="s">
        <v>30</v>
      </c>
      <c r="B395" s="232" t="str">
        <f>VLOOKUP(MONTH(C395),'Lookup Tables'!$A$3:$B$14,2,FALSE)</f>
        <v>Jan</v>
      </c>
      <c r="C395" s="233">
        <v>43839</v>
      </c>
      <c r="D395" s="231" t="s">
        <v>282</v>
      </c>
      <c r="E395" s="231" t="str">
        <f t="shared" si="11"/>
        <v>Jan Cash WD</v>
      </c>
      <c r="F395" s="231" t="s">
        <v>16</v>
      </c>
      <c r="G395" s="231" t="str">
        <f>IFERROR(VLOOKUP(F395,'2020 Budget'!$A$4:$B$462,2,FALSE),"N/F")</f>
        <v>04. Family Expenses</v>
      </c>
      <c r="H395" s="231">
        <v>-50</v>
      </c>
      <c r="I395" s="238">
        <v>6768.9100000000008</v>
      </c>
      <c r="J395" s="236" t="s">
        <v>360</v>
      </c>
      <c r="K395" s="207"/>
    </row>
    <row r="396" spans="1:11" hidden="1">
      <c r="A396" s="231" t="s">
        <v>30</v>
      </c>
      <c r="B396" s="232" t="str">
        <f>VLOOKUP(MONTH(C396),'Lookup Tables'!$A$3:$B$14,2,FALSE)</f>
        <v>Jan</v>
      </c>
      <c r="C396" s="233">
        <v>43840</v>
      </c>
      <c r="D396" s="238" t="s">
        <v>880</v>
      </c>
      <c r="E396" s="231" t="str">
        <f t="shared" si="11"/>
        <v>Jan Credit Card Payment AADVANTAGE</v>
      </c>
      <c r="F396" s="231" t="s">
        <v>880</v>
      </c>
      <c r="G396" s="231" t="str">
        <f>IFERROR(VLOOKUP(F396,'2020 Budget'!$A$4:$B$462,2,FALSE),"N/F")</f>
        <v>02. Checking Account Expenses</v>
      </c>
      <c r="H396" s="231">
        <v>-2531.31</v>
      </c>
      <c r="I396" s="238">
        <v>2114.1400000000008</v>
      </c>
      <c r="J396" s="236" t="s">
        <v>360</v>
      </c>
      <c r="K396" s="207"/>
    </row>
    <row r="397" spans="1:11" hidden="1">
      <c r="A397" s="231" t="s">
        <v>30</v>
      </c>
      <c r="B397" s="232" t="str">
        <f>VLOOKUP(MONTH(C397),'Lookup Tables'!$A$3:$B$14,2,FALSE)</f>
        <v>Jan</v>
      </c>
      <c r="C397" s="233">
        <v>43843</v>
      </c>
      <c r="D397" s="231" t="s">
        <v>284</v>
      </c>
      <c r="E397" s="231" t="str">
        <f t="shared" si="11"/>
        <v>Jan Charity Church Donation</v>
      </c>
      <c r="F397" s="231" t="s">
        <v>954</v>
      </c>
      <c r="G397" s="231" t="str">
        <f>IFERROR(VLOOKUP(F397,'2020 Budget'!$A$4:$B$462,2,FALSE),"N/F")</f>
        <v>04. Family Expenses</v>
      </c>
      <c r="H397" s="231">
        <v>-10</v>
      </c>
      <c r="I397" s="238">
        <v>2104.1400000000008</v>
      </c>
      <c r="J397" s="236" t="s">
        <v>360</v>
      </c>
      <c r="K397" s="207"/>
    </row>
    <row r="398" spans="1:11" hidden="1">
      <c r="A398" s="231" t="s">
        <v>30</v>
      </c>
      <c r="B398" s="232" t="str">
        <f>VLOOKUP(MONTH(C398),'Lookup Tables'!$A$3:$B$14,2,FALSE)</f>
        <v>Jan</v>
      </c>
      <c r="C398" s="233">
        <v>43844</v>
      </c>
      <c r="D398" s="231" t="s">
        <v>285</v>
      </c>
      <c r="E398" s="231" t="str">
        <f t="shared" si="11"/>
        <v>Jan Water Bill</v>
      </c>
      <c r="F398" s="231" t="s">
        <v>22</v>
      </c>
      <c r="G398" s="231" t="str">
        <f>IFERROR(VLOOKUP(F398,'2020 Budget'!$A$4:$B$462,2,FALSE),"N/F")</f>
        <v>05. Household Expenses</v>
      </c>
      <c r="H398" s="231">
        <v>-143.93</v>
      </c>
      <c r="I398" s="238">
        <v>1960.2100000000007</v>
      </c>
      <c r="J398" s="236" t="s">
        <v>360</v>
      </c>
      <c r="K398" s="207"/>
    </row>
    <row r="399" spans="1:11" hidden="1">
      <c r="A399" s="231" t="s">
        <v>30</v>
      </c>
      <c r="B399" s="232" t="str">
        <f>VLOOKUP(MONTH(C399),'Lookup Tables'!$A$3:$B$14,2,FALSE)</f>
        <v>Jan</v>
      </c>
      <c r="C399" s="233">
        <v>43846</v>
      </c>
      <c r="D399" s="231" t="s">
        <v>287</v>
      </c>
      <c r="E399" s="231" t="str">
        <f t="shared" si="11"/>
        <v>Jan Fee Bank</v>
      </c>
      <c r="F399" s="237" t="s">
        <v>23</v>
      </c>
      <c r="G399" s="231" t="str">
        <f>IFERROR(VLOOKUP(F399,'2020 Budget'!$A$4:$B$462,2,FALSE),"N/F")</f>
        <v>14. Undesired Expense</v>
      </c>
      <c r="H399" s="231">
        <v>-25</v>
      </c>
      <c r="I399" s="238">
        <v>1935.2100000000007</v>
      </c>
      <c r="J399" s="236" t="s">
        <v>360</v>
      </c>
      <c r="K399" s="207"/>
    </row>
    <row r="400" spans="1:11" hidden="1">
      <c r="A400" s="231" t="s">
        <v>30</v>
      </c>
      <c r="B400" s="232" t="str">
        <f>VLOOKUP(MONTH(C400),'Lookup Tables'!$A$3:$B$14,2,FALSE)</f>
        <v>Jan</v>
      </c>
      <c r="C400" s="233">
        <v>43846</v>
      </c>
      <c r="D400" s="231" t="s">
        <v>286</v>
      </c>
      <c r="E400" s="231" t="str">
        <f t="shared" si="11"/>
        <v>Jan Interest Income</v>
      </c>
      <c r="F400" s="231" t="s">
        <v>9</v>
      </c>
      <c r="G400" s="231" t="str">
        <f>IFERROR(VLOOKUP(F400,'2020 Budget'!$A$4:$B$462,2,FALSE),"N/F")</f>
        <v>01. Checking Account Income</v>
      </c>
      <c r="H400" s="231">
        <v>0.01</v>
      </c>
      <c r="I400" s="238">
        <v>1935.2200000000007</v>
      </c>
      <c r="J400" s="236" t="s">
        <v>360</v>
      </c>
      <c r="K400" s="207"/>
    </row>
    <row r="401" spans="1:11" hidden="1">
      <c r="A401" s="231" t="s">
        <v>30</v>
      </c>
      <c r="B401" s="232" t="str">
        <f>VLOOKUP(MONTH(C401),'Lookup Tables'!$A$3:$B$14,2,FALSE)</f>
        <v>Jan</v>
      </c>
      <c r="C401" s="233">
        <v>43847</v>
      </c>
      <c r="D401" s="231" t="s">
        <v>80</v>
      </c>
      <c r="E401" s="231" t="str">
        <f t="shared" si="11"/>
        <v>Jan Checking Account Beginning Balance</v>
      </c>
      <c r="F401" s="234" t="s">
        <v>362</v>
      </c>
      <c r="G401" s="231" t="str">
        <f>IFERROR(VLOOKUP(F401,'2020 Budget'!$A$4:$B$462,2,FALSE),"N/F")</f>
        <v>01. Checking Account Income</v>
      </c>
      <c r="H401" s="235"/>
      <c r="I401" s="239">
        <v>1660.4600000000009</v>
      </c>
      <c r="J401" s="236" t="s">
        <v>360</v>
      </c>
      <c r="K401" s="207"/>
    </row>
    <row r="402" spans="1:11" hidden="1">
      <c r="A402" s="231" t="s">
        <v>30</v>
      </c>
      <c r="B402" s="232" t="str">
        <f>VLOOKUP(MONTH(C402),'Lookup Tables'!$A$3:$B$14,2,FALSE)</f>
        <v>Jan</v>
      </c>
      <c r="C402" s="233">
        <v>43850</v>
      </c>
      <c r="D402" s="231" t="s">
        <v>348</v>
      </c>
      <c r="E402" s="231" t="str">
        <f t="shared" si="11"/>
        <v>Jan Reimbursement Mom Expenses</v>
      </c>
      <c r="F402" s="231" t="s">
        <v>133</v>
      </c>
      <c r="G402" s="231" t="str">
        <f>IFERROR(VLOOKUP(F402,'2020 Budget'!$A$4:$B$462,2,FALSE),"N/F")</f>
        <v>10. Mom's Expenses</v>
      </c>
      <c r="H402" s="231">
        <v>602.66</v>
      </c>
      <c r="I402" s="238">
        <v>2263.1200000000008</v>
      </c>
      <c r="J402" s="236" t="s">
        <v>360</v>
      </c>
      <c r="K402" s="207"/>
    </row>
    <row r="403" spans="1:11" hidden="1">
      <c r="A403" s="231" t="s">
        <v>30</v>
      </c>
      <c r="B403" s="231" t="str">
        <f>VLOOKUP(MONTH(C403),'Lookup Tables'!$A$3:$B$14,2,FALSE)</f>
        <v>Jan</v>
      </c>
      <c r="C403" s="233">
        <v>43851</v>
      </c>
      <c r="D403" s="231" t="s">
        <v>386</v>
      </c>
      <c r="E403" s="231" t="str">
        <f t="shared" si="11"/>
        <v>Jan Charity Church Donation</v>
      </c>
      <c r="F403" s="231" t="s">
        <v>954</v>
      </c>
      <c r="G403" s="231" t="str">
        <f>IFERROR(VLOOKUP(F403,'2020 Budget'!$A$4:$B$462,2,FALSE),"N/F")</f>
        <v>04. Family Expenses</v>
      </c>
      <c r="H403" s="231">
        <v>-10</v>
      </c>
      <c r="I403" s="238">
        <v>2253.1200000000008</v>
      </c>
      <c r="J403" s="236" t="s">
        <v>360</v>
      </c>
      <c r="K403" s="207"/>
    </row>
    <row r="404" spans="1:11" hidden="1">
      <c r="A404" s="231" t="s">
        <v>30</v>
      </c>
      <c r="B404" s="231" t="str">
        <f>VLOOKUP(MONTH(C404),'Lookup Tables'!$A$3:$B$14,2,FALSE)</f>
        <v>Jan</v>
      </c>
      <c r="C404" s="233">
        <v>43851</v>
      </c>
      <c r="D404" s="231" t="s">
        <v>384</v>
      </c>
      <c r="E404" s="231" t="str">
        <f t="shared" si="11"/>
        <v>Jan Sell Ford Fusion</v>
      </c>
      <c r="F404" s="231" t="s">
        <v>124</v>
      </c>
      <c r="G404" s="231" t="str">
        <f>IFERROR(VLOOKUP(F404,'2020 Budget'!$A$4:$B$462,2,FALSE),"N/F")</f>
        <v>15.  Ford Fusion</v>
      </c>
      <c r="H404" s="231">
        <v>2700</v>
      </c>
      <c r="I404" s="238">
        <v>4978.1200000000008</v>
      </c>
      <c r="J404" s="236" t="s">
        <v>360</v>
      </c>
      <c r="K404" s="207"/>
    </row>
    <row r="405" spans="1:11" hidden="1">
      <c r="A405" s="231" t="s">
        <v>30</v>
      </c>
      <c r="B405" s="231" t="str">
        <f>VLOOKUP(MONTH(C405),'Lookup Tables'!$A$3:$B$14,2,FALSE)</f>
        <v>Jan</v>
      </c>
      <c r="C405" s="233">
        <v>43851</v>
      </c>
      <c r="D405" s="231" t="s">
        <v>385</v>
      </c>
      <c r="E405" s="231" t="str">
        <f t="shared" si="11"/>
        <v>Jan Gifts Received</v>
      </c>
      <c r="F405" s="231" t="s">
        <v>84</v>
      </c>
      <c r="G405" s="231" t="str">
        <f>IFERROR(VLOOKUP(F405,'2020 Budget'!$A$4:$B$462,2,FALSE),"N/F")</f>
        <v>01. Checking Account Income</v>
      </c>
      <c r="H405" s="231">
        <v>25</v>
      </c>
      <c r="I405" s="238">
        <v>2278.1200000000008</v>
      </c>
      <c r="J405" s="236" t="s">
        <v>360</v>
      </c>
      <c r="K405" s="207"/>
    </row>
    <row r="406" spans="1:11" hidden="1">
      <c r="A406" s="231" t="s">
        <v>30</v>
      </c>
      <c r="B406" s="231" t="str">
        <f>VLOOKUP(MONTH(C406),'Lookup Tables'!$A$3:$B$14,2,FALSE)</f>
        <v>Jan</v>
      </c>
      <c r="C406" s="233">
        <v>43853</v>
      </c>
      <c r="D406" s="231" t="s">
        <v>387</v>
      </c>
      <c r="E406" s="231" t="str">
        <f t="shared" si="11"/>
        <v>Jan Lauren's Tuition</v>
      </c>
      <c r="F406" s="231" t="s">
        <v>627</v>
      </c>
      <c r="G406" s="231" t="str">
        <f>IFERROR(VLOOKUP(F406,'2020 Budget'!$A$4:$B$462,2,FALSE),"N/F")</f>
        <v>15. Ford Fusion</v>
      </c>
      <c r="H406" s="231">
        <v>-1094.52</v>
      </c>
      <c r="I406" s="238">
        <v>3883.6000000000008</v>
      </c>
      <c r="J406" s="236" t="s">
        <v>360</v>
      </c>
      <c r="K406" s="207"/>
    </row>
    <row r="407" spans="1:11" hidden="1">
      <c r="A407" s="231" t="s">
        <v>30</v>
      </c>
      <c r="B407" s="231" t="str">
        <f>VLOOKUP(MONTH(C407),'Lookup Tables'!$A$3:$B$14,2,FALSE)</f>
        <v>Jan</v>
      </c>
      <c r="C407" s="233">
        <v>43853</v>
      </c>
      <c r="D407" s="231" t="s">
        <v>387</v>
      </c>
      <c r="E407" s="231" t="str">
        <f t="shared" si="11"/>
        <v>Jan Lauren's Tuition</v>
      </c>
      <c r="F407" s="231" t="s">
        <v>627</v>
      </c>
      <c r="G407" s="231" t="str">
        <f>IFERROR(VLOOKUP(F407,'2020 Budget'!$A$4:$B$462,2,FALSE),"N/F")</f>
        <v>15. Ford Fusion</v>
      </c>
      <c r="H407" s="231">
        <v>-24.9</v>
      </c>
      <c r="I407" s="238">
        <v>3858.7000000000007</v>
      </c>
      <c r="J407" s="236" t="s">
        <v>360</v>
      </c>
      <c r="K407" s="207"/>
    </row>
    <row r="408" spans="1:11" hidden="1">
      <c r="A408" s="231" t="s">
        <v>30</v>
      </c>
      <c r="B408" s="231" t="str">
        <f>VLOOKUP(MONTH(C408),'Lookup Tables'!$A$3:$B$14,2,FALSE)</f>
        <v>Jan</v>
      </c>
      <c r="C408" s="233">
        <v>43854</v>
      </c>
      <c r="D408" s="231" t="s">
        <v>388</v>
      </c>
      <c r="E408" s="231" t="str">
        <f t="shared" si="11"/>
        <v>Jan Payment Other</v>
      </c>
      <c r="F408" s="231" t="s">
        <v>365</v>
      </c>
      <c r="G408" s="231" t="str">
        <f>IFERROR(VLOOKUP(F408,'2020 Budget'!$A$4:$B$462,2,FALSE),"N/F")</f>
        <v>16. Not Tracked</v>
      </c>
      <c r="H408" s="231">
        <v>-1000</v>
      </c>
      <c r="I408" s="238">
        <v>2858.7000000000007</v>
      </c>
      <c r="J408" s="236" t="s">
        <v>360</v>
      </c>
      <c r="K408" s="207"/>
    </row>
    <row r="409" spans="1:11" hidden="1">
      <c r="A409" s="231" t="s">
        <v>30</v>
      </c>
      <c r="B409" s="231" t="str">
        <f>VLOOKUP(MONTH(C409),'Lookup Tables'!$A$3:$B$14,2,FALSE)</f>
        <v>Jan</v>
      </c>
      <c r="C409" s="233">
        <v>43858</v>
      </c>
      <c r="D409" s="231" t="s">
        <v>389</v>
      </c>
      <c r="E409" s="231" t="str">
        <f t="shared" si="11"/>
        <v>Jan Charity Church Donation</v>
      </c>
      <c r="F409" s="231" t="s">
        <v>954</v>
      </c>
      <c r="G409" s="231" t="str">
        <f>IFERROR(VLOOKUP(F409,'2020 Budget'!$A$4:$B$462,2,FALSE),"N/F")</f>
        <v>04. Family Expenses</v>
      </c>
      <c r="H409" s="231">
        <v>-10</v>
      </c>
      <c r="I409" s="238">
        <v>2848.7000000000007</v>
      </c>
      <c r="J409" s="236" t="s">
        <v>360</v>
      </c>
      <c r="K409" s="207"/>
    </row>
    <row r="410" spans="1:11" hidden="1">
      <c r="A410" s="231" t="s">
        <v>30</v>
      </c>
      <c r="B410" s="231" t="str">
        <f>VLOOKUP(MONTH(C410),'Lookup Tables'!$A$3:$B$14,2,FALSE)</f>
        <v>Jan</v>
      </c>
      <c r="C410" s="233">
        <v>43861</v>
      </c>
      <c r="D410" s="231" t="s">
        <v>390</v>
      </c>
      <c r="E410" s="231" t="str">
        <f t="shared" si="11"/>
        <v>Jan Mortgage + Property Taxes</v>
      </c>
      <c r="F410" s="231" t="s">
        <v>347</v>
      </c>
      <c r="G410" s="231" t="str">
        <f>IFERROR(VLOOKUP(F410,'2020 Budget'!$A$4:$B$462,2,FALSE),"N/F")</f>
        <v>02. Checking Account Expenses</v>
      </c>
      <c r="H410" s="231">
        <v>-1463</v>
      </c>
      <c r="I410" s="238">
        <v>1385.7000000000007</v>
      </c>
      <c r="J410" s="236" t="s">
        <v>360</v>
      </c>
      <c r="K410" s="207"/>
    </row>
    <row r="411" spans="1:11" hidden="1">
      <c r="A411" s="231" t="s">
        <v>30</v>
      </c>
      <c r="B411" s="231" t="str">
        <f>VLOOKUP(MONTH(C411),'Lookup Tables'!$A$3:$B$14,2,FALSE)</f>
        <v>Feb</v>
      </c>
      <c r="C411" s="233">
        <v>43864</v>
      </c>
      <c r="D411" s="231" t="s">
        <v>391</v>
      </c>
      <c r="E411" s="231" t="str">
        <f t="shared" si="11"/>
        <v>Feb Merchandise Computer</v>
      </c>
      <c r="F411" s="231" t="s">
        <v>35</v>
      </c>
      <c r="G411" s="231" t="str">
        <f>IFERROR(VLOOKUP(F411,'2020 Budget'!$A$4:$B$462,2,FALSE),"N/F")</f>
        <v>09. Internet TV Entertainment Electronics</v>
      </c>
      <c r="H411" s="231">
        <v>-70</v>
      </c>
      <c r="I411" s="238">
        <v>1315.7000000000007</v>
      </c>
      <c r="J411" s="236" t="s">
        <v>360</v>
      </c>
      <c r="K411" s="207"/>
    </row>
    <row r="412" spans="1:11" hidden="1">
      <c r="A412" s="231" t="s">
        <v>30</v>
      </c>
      <c r="B412" s="231" t="str">
        <f>VLOOKUP(MONTH(C412),'Lookup Tables'!$A$3:$B$14,2,FALSE)</f>
        <v>Feb</v>
      </c>
      <c r="C412" s="233">
        <v>43865</v>
      </c>
      <c r="D412" s="231" t="s">
        <v>393</v>
      </c>
      <c r="E412" s="231" t="str">
        <f t="shared" si="11"/>
        <v>Feb Charity Church Donation</v>
      </c>
      <c r="F412" s="231" t="s">
        <v>954</v>
      </c>
      <c r="G412" s="231" t="str">
        <f>IFERROR(VLOOKUP(F412,'2020 Budget'!$A$4:$B$462,2,FALSE),"N/F")</f>
        <v>04. Family Expenses</v>
      </c>
      <c r="H412" s="231">
        <v>-10</v>
      </c>
      <c r="I412" s="238">
        <v>1305.7000000000007</v>
      </c>
      <c r="J412" s="236" t="s">
        <v>360</v>
      </c>
      <c r="K412" s="207"/>
    </row>
    <row r="413" spans="1:11" hidden="1">
      <c r="A413" s="231" t="s">
        <v>30</v>
      </c>
      <c r="B413" s="231" t="str">
        <f>VLOOKUP(MONTH(C413),'Lookup Tables'!$A$3:$B$14,2,FALSE)</f>
        <v>Feb</v>
      </c>
      <c r="C413" s="233">
        <v>43865</v>
      </c>
      <c r="D413" s="231" t="s">
        <v>392</v>
      </c>
      <c r="E413" s="231" t="str">
        <f t="shared" si="11"/>
        <v>Feb Income Tax Refund</v>
      </c>
      <c r="F413" s="231" t="s">
        <v>587</v>
      </c>
      <c r="G413" s="231" t="str">
        <f>IFERROR(VLOOKUP(F413,'2020 Budget'!$A$4:$B$462,2,FALSE),"N/F")</f>
        <v>01. Checking Account Income</v>
      </c>
      <c r="H413" s="231">
        <v>3614.77</v>
      </c>
      <c r="I413" s="238">
        <v>5208.4700000000012</v>
      </c>
      <c r="J413" s="236" t="s">
        <v>360</v>
      </c>
      <c r="K413" s="207"/>
    </row>
    <row r="414" spans="1:11" hidden="1">
      <c r="A414" s="231" t="s">
        <v>30</v>
      </c>
      <c r="B414" s="231" t="str">
        <f>VLOOKUP(MONTH(C414),'Lookup Tables'!$A$3:$B$14,2,FALSE)</f>
        <v>Feb</v>
      </c>
      <c r="C414" s="233">
        <v>43865</v>
      </c>
      <c r="D414" s="231" t="s">
        <v>31</v>
      </c>
      <c r="E414" s="231" t="str">
        <f t="shared" si="11"/>
        <v>Feb Child support</v>
      </c>
      <c r="F414" s="237" t="s">
        <v>260</v>
      </c>
      <c r="G414" s="231" t="str">
        <f>IFERROR(VLOOKUP(F414,'2020 Budget'!$A$4:$B$462,2,FALSE),"N/F")</f>
        <v>04. Family Expenses</v>
      </c>
      <c r="H414" s="231">
        <v>288</v>
      </c>
      <c r="I414" s="238">
        <v>1593.7000000000007</v>
      </c>
      <c r="J414" s="236" t="s">
        <v>360</v>
      </c>
      <c r="K414" s="207"/>
    </row>
    <row r="415" spans="1:11" hidden="1">
      <c r="A415" s="231" t="s">
        <v>30</v>
      </c>
      <c r="B415" s="231" t="str">
        <f>VLOOKUP(MONTH(C415),'Lookup Tables'!$A$3:$B$14,2,FALSE)</f>
        <v>Feb</v>
      </c>
      <c r="C415" s="233">
        <v>43871</v>
      </c>
      <c r="D415" s="231" t="s">
        <v>394</v>
      </c>
      <c r="E415" s="231" t="str">
        <f t="shared" si="11"/>
        <v>Feb Credit Card Payment Marriott AMEX</v>
      </c>
      <c r="F415" s="237" t="s">
        <v>616</v>
      </c>
      <c r="G415" s="231" t="str">
        <f>IFERROR(VLOOKUP(F415,'2020 Budget'!$A$4:$B$462,2,FALSE),"N/F")</f>
        <v>02. Checking Account Expenses</v>
      </c>
      <c r="H415" s="231">
        <v>-103.5</v>
      </c>
      <c r="I415" s="238">
        <v>5104.9700000000012</v>
      </c>
      <c r="J415" s="236" t="s">
        <v>360</v>
      </c>
      <c r="K415" s="207"/>
    </row>
    <row r="416" spans="1:11" hidden="1">
      <c r="A416" s="231" t="s">
        <v>30</v>
      </c>
      <c r="B416" s="231" t="str">
        <f>VLOOKUP(MONTH(C416),'Lookup Tables'!$A$3:$B$14,2,FALSE)</f>
        <v>Feb</v>
      </c>
      <c r="C416" s="233">
        <v>43873</v>
      </c>
      <c r="D416" s="231" t="s">
        <v>395</v>
      </c>
      <c r="E416" s="231" t="str">
        <f t="shared" si="11"/>
        <v>Feb Charity Church Donation</v>
      </c>
      <c r="F416" s="231" t="s">
        <v>954</v>
      </c>
      <c r="G416" s="231" t="str">
        <f>IFERROR(VLOOKUP(F416,'2020 Budget'!$A$4:$B$462,2,FALSE),"N/F")</f>
        <v>04. Family Expenses</v>
      </c>
      <c r="H416" s="231">
        <v>-10</v>
      </c>
      <c r="I416" s="238">
        <v>5094.9700000000012</v>
      </c>
      <c r="J416" s="236" t="s">
        <v>360</v>
      </c>
      <c r="K416" s="207"/>
    </row>
    <row r="417" spans="1:11" hidden="1">
      <c r="A417" s="231" t="s">
        <v>30</v>
      </c>
      <c r="B417" s="231" t="str">
        <f>VLOOKUP(MONTH(C417),'Lookup Tables'!$A$3:$B$14,2,FALSE)</f>
        <v>Feb</v>
      </c>
      <c r="C417" s="233">
        <v>43874</v>
      </c>
      <c r="D417" s="231" t="s">
        <v>287</v>
      </c>
      <c r="E417" s="231" t="str">
        <f t="shared" si="11"/>
        <v>Feb Fee Bank</v>
      </c>
      <c r="F417" s="237" t="s">
        <v>23</v>
      </c>
      <c r="G417" s="231" t="str">
        <f>IFERROR(VLOOKUP(F417,'2020 Budget'!$A$4:$B$462,2,FALSE),"N/F")</f>
        <v>14. Undesired Expense</v>
      </c>
      <c r="H417" s="231">
        <v>-25</v>
      </c>
      <c r="I417" s="238">
        <v>5069.9700000000012</v>
      </c>
      <c r="J417" s="236" t="s">
        <v>360</v>
      </c>
      <c r="K417" s="207"/>
    </row>
    <row r="418" spans="1:11" hidden="1">
      <c r="A418" s="231" t="s">
        <v>30</v>
      </c>
      <c r="B418" s="231" t="str">
        <f>VLOOKUP(MONTH(C418),'Lookup Tables'!$A$3:$B$14,2,FALSE)</f>
        <v>Feb</v>
      </c>
      <c r="C418" s="233">
        <v>43874</v>
      </c>
      <c r="D418" s="231" t="s">
        <v>286</v>
      </c>
      <c r="E418" s="231" t="str">
        <f t="shared" si="11"/>
        <v>Feb Interest Income</v>
      </c>
      <c r="F418" s="231" t="s">
        <v>9</v>
      </c>
      <c r="G418" s="231" t="str">
        <f>IFERROR(VLOOKUP(F418,'2020 Budget'!$A$4:$B$462,2,FALSE),"N/F")</f>
        <v>01. Checking Account Income</v>
      </c>
      <c r="H418" s="231">
        <v>0.03</v>
      </c>
      <c r="I418" s="238">
        <v>5070.0000000000009</v>
      </c>
      <c r="J418" s="236" t="s">
        <v>360</v>
      </c>
      <c r="K418" s="207"/>
    </row>
    <row r="419" spans="1:11" hidden="1">
      <c r="A419" s="231" t="s">
        <v>30</v>
      </c>
      <c r="B419" s="232" t="str">
        <f>VLOOKUP(MONTH(C419),'Lookup Tables'!$A$3:$B$14,2,FALSE)</f>
        <v>Feb</v>
      </c>
      <c r="C419" s="233">
        <v>43875</v>
      </c>
      <c r="D419" s="231" t="s">
        <v>80</v>
      </c>
      <c r="E419" s="231" t="str">
        <f t="shared" si="11"/>
        <v>Feb Checking Account Beginning Balance</v>
      </c>
      <c r="F419" s="234" t="s">
        <v>362</v>
      </c>
      <c r="G419" s="231" t="str">
        <f>IFERROR(VLOOKUP(F419,'2020 Budget'!$A$4:$B$462,2,FALSE),"N/F")</f>
        <v>01. Checking Account Income</v>
      </c>
      <c r="H419" s="235"/>
      <c r="I419" s="239">
        <v>-1462.96</v>
      </c>
      <c r="J419" s="236" t="s">
        <v>360</v>
      </c>
      <c r="K419" s="207"/>
    </row>
    <row r="420" spans="1:11">
      <c r="A420" s="231" t="s">
        <v>30</v>
      </c>
      <c r="B420" s="231" t="str">
        <f>VLOOKUP(MONTH(C420),'Lookup Tables'!$A$3:$B$14,2,FALSE)</f>
        <v>Feb</v>
      </c>
      <c r="C420" s="233">
        <v>43875</v>
      </c>
      <c r="D420" s="231" t="s">
        <v>396</v>
      </c>
      <c r="E420" s="231" t="str">
        <f t="shared" si="11"/>
        <v>Feb Ford Fusion Auto Purchase</v>
      </c>
      <c r="F420" s="231" t="s">
        <v>150</v>
      </c>
      <c r="G420" s="231" t="str">
        <f>IFERROR(VLOOKUP(F420,'2020 Budget'!$A$4:$B$462,2,FALSE),"N/F")</f>
        <v>15.  Ford Fusion</v>
      </c>
      <c r="H420" s="231">
        <v>-100</v>
      </c>
      <c r="I420" s="238">
        <v>-1562.96</v>
      </c>
      <c r="J420" s="236" t="s">
        <v>360</v>
      </c>
      <c r="K420" s="207"/>
    </row>
    <row r="421" spans="1:11" hidden="1">
      <c r="A421" s="231" t="s">
        <v>30</v>
      </c>
      <c r="B421" s="231" t="str">
        <f>VLOOKUP(MONTH(C421),'Lookup Tables'!$A$3:$B$14,2,FALSE)</f>
        <v>Feb</v>
      </c>
      <c r="C421" s="233">
        <v>43879</v>
      </c>
      <c r="D421" s="231" t="s">
        <v>397</v>
      </c>
      <c r="E421" s="231" t="str">
        <f t="shared" si="11"/>
        <v>Feb Charity Church Donation</v>
      </c>
      <c r="F421" s="231" t="s">
        <v>954</v>
      </c>
      <c r="G421" s="231" t="str">
        <f>IFERROR(VLOOKUP(F421,'2020 Budget'!$A$4:$B$462,2,FALSE),"N/F")</f>
        <v>04. Family Expenses</v>
      </c>
      <c r="H421" s="231">
        <v>-10</v>
      </c>
      <c r="I421" s="238">
        <v>-1572.96</v>
      </c>
      <c r="J421" s="236" t="s">
        <v>360</v>
      </c>
      <c r="K421" s="207"/>
    </row>
    <row r="422" spans="1:11" hidden="1">
      <c r="A422" s="231" t="s">
        <v>30</v>
      </c>
      <c r="B422" s="231" t="str">
        <f>VLOOKUP(MONTH(C422),'Lookup Tables'!$A$3:$B$14,2,FALSE)</f>
        <v>Feb</v>
      </c>
      <c r="C422" s="233">
        <v>43879</v>
      </c>
      <c r="D422" s="231" t="s">
        <v>398</v>
      </c>
      <c r="E422" s="231" t="str">
        <f t="shared" si="11"/>
        <v>Feb Payment Other</v>
      </c>
      <c r="F422" s="231" t="s">
        <v>365</v>
      </c>
      <c r="G422" s="231" t="str">
        <f>IFERROR(VLOOKUP(F422,'2020 Budget'!$A$4:$B$462,2,FALSE),"N/F")</f>
        <v>16. Not Tracked</v>
      </c>
      <c r="H422" s="231">
        <v>-5592.72</v>
      </c>
      <c r="I422" s="238">
        <v>-7200.68</v>
      </c>
      <c r="J422" s="236" t="s">
        <v>360</v>
      </c>
      <c r="K422" s="207"/>
    </row>
    <row r="423" spans="1:11" hidden="1">
      <c r="A423" s="231" t="s">
        <v>30</v>
      </c>
      <c r="B423" s="231" t="str">
        <f>VLOOKUP(MONTH(C423),'Lookup Tables'!$A$3:$B$14,2,FALSE)</f>
        <v>Feb</v>
      </c>
      <c r="C423" s="233">
        <v>43879</v>
      </c>
      <c r="D423" s="231" t="s">
        <v>399</v>
      </c>
      <c r="E423" s="231" t="str">
        <f t="shared" si="11"/>
        <v>Feb Fee NSF</v>
      </c>
      <c r="F423" s="231" t="s">
        <v>94</v>
      </c>
      <c r="G423" s="231" t="str">
        <f>IFERROR(VLOOKUP(F423,'2020 Budget'!$A$4:$B$462,2,FALSE),"N/F")</f>
        <v>14. Undesired Expenses</v>
      </c>
      <c r="H423" s="231">
        <v>-35</v>
      </c>
      <c r="I423" s="238">
        <v>-1607.96</v>
      </c>
      <c r="J423" s="236" t="s">
        <v>360</v>
      </c>
      <c r="K423" s="207"/>
    </row>
    <row r="424" spans="1:11" hidden="1">
      <c r="A424" s="231" t="s">
        <v>30</v>
      </c>
      <c r="B424" s="231" t="str">
        <f>VLOOKUP(MONTH(C424),'Lookup Tables'!$A$3:$B$14,2,FALSE)</f>
        <v>Feb</v>
      </c>
      <c r="C424" s="233">
        <v>43886</v>
      </c>
      <c r="D424" s="231" t="s">
        <v>400</v>
      </c>
      <c r="E424" s="231" t="str">
        <f t="shared" si="11"/>
        <v>Feb Payment Other</v>
      </c>
      <c r="F424" s="231" t="s">
        <v>365</v>
      </c>
      <c r="G424" s="231" t="str">
        <f>IFERROR(VLOOKUP(F424,'2020 Budget'!$A$4:$B$462,2,FALSE),"N/F")</f>
        <v>16. Not Tracked</v>
      </c>
      <c r="H424" s="231">
        <v>-1000</v>
      </c>
      <c r="I424" s="238">
        <v>-8235.68</v>
      </c>
      <c r="J424" s="236" t="s">
        <v>360</v>
      </c>
      <c r="K424" s="207"/>
    </row>
    <row r="425" spans="1:11" hidden="1">
      <c r="A425" s="231" t="s">
        <v>30</v>
      </c>
      <c r="B425" s="231" t="str">
        <f>VLOOKUP(MONTH(C425),'Lookup Tables'!$A$3:$B$14,2,FALSE)</f>
        <v>Feb</v>
      </c>
      <c r="C425" s="233">
        <v>43886</v>
      </c>
      <c r="D425" s="231" t="s">
        <v>401</v>
      </c>
      <c r="E425" s="231" t="str">
        <f t="shared" si="11"/>
        <v>Feb Fee NSF</v>
      </c>
      <c r="F425" s="231" t="s">
        <v>94</v>
      </c>
      <c r="G425" s="231" t="str">
        <f>IFERROR(VLOOKUP(F425,'2020 Budget'!$A$4:$B$462,2,FALSE),"N/F")</f>
        <v>14. Undesired Expenses</v>
      </c>
      <c r="H425" s="231">
        <v>-35</v>
      </c>
      <c r="I425" s="238">
        <v>-7235.68</v>
      </c>
      <c r="J425" s="236" t="s">
        <v>360</v>
      </c>
      <c r="K425" s="207"/>
    </row>
    <row r="426" spans="1:11" hidden="1">
      <c r="A426" s="231" t="s">
        <v>30</v>
      </c>
      <c r="B426" s="231" t="str">
        <f>VLOOKUP(MONTH(C426),'Lookup Tables'!$A$3:$B$14,2,FALSE)</f>
        <v>Feb</v>
      </c>
      <c r="C426" s="233">
        <v>43887</v>
      </c>
      <c r="D426" s="231" t="s">
        <v>402</v>
      </c>
      <c r="E426" s="231" t="str">
        <f t="shared" si="11"/>
        <v xml:space="preserve">Feb Credit Card Payment Costco Visa </v>
      </c>
      <c r="F426" s="231" t="s">
        <v>615</v>
      </c>
      <c r="G426" s="231" t="str">
        <f>IFERROR(VLOOKUP(F426,'2020 Budget'!$A$4:$B$462,2,FALSE),"N/F")</f>
        <v>02. Checking Account Expenses</v>
      </c>
      <c r="H426" s="231">
        <v>1000</v>
      </c>
      <c r="I426" s="238">
        <v>-7235.68</v>
      </c>
      <c r="J426" s="236" t="s">
        <v>360</v>
      </c>
      <c r="K426" s="207"/>
    </row>
    <row r="427" spans="1:11" hidden="1">
      <c r="A427" s="231" t="s">
        <v>30</v>
      </c>
      <c r="B427" s="231" t="str">
        <f>VLOOKUP(MONTH(C427),'Lookup Tables'!$A$3:$B$14,2,FALSE)</f>
        <v>Feb</v>
      </c>
      <c r="C427" s="233">
        <v>43889</v>
      </c>
      <c r="D427" s="231" t="s">
        <v>403</v>
      </c>
      <c r="E427" s="231" t="str">
        <f t="shared" si="11"/>
        <v>Feb Payment Other</v>
      </c>
      <c r="F427" s="231" t="s">
        <v>365</v>
      </c>
      <c r="G427" s="231" t="str">
        <f>IFERROR(VLOOKUP(F427,'2020 Budget'!$A$4:$B$462,2,FALSE),"N/F")</f>
        <v>16. Not Tracked</v>
      </c>
      <c r="H427" s="231">
        <v>-1000</v>
      </c>
      <c r="I427" s="238">
        <v>-8270.68</v>
      </c>
      <c r="J427" s="236" t="s">
        <v>360</v>
      </c>
      <c r="K427" s="207"/>
    </row>
    <row r="428" spans="1:11" hidden="1">
      <c r="A428" s="231" t="s">
        <v>30</v>
      </c>
      <c r="B428" s="231" t="str">
        <f>VLOOKUP(MONTH(C428),'Lookup Tables'!$A$3:$B$14,2,FALSE)</f>
        <v>Feb</v>
      </c>
      <c r="C428" s="233">
        <v>43889</v>
      </c>
      <c r="D428" s="231" t="s">
        <v>404</v>
      </c>
      <c r="E428" s="231" t="str">
        <f t="shared" si="11"/>
        <v>Feb Fee NSF</v>
      </c>
      <c r="F428" s="231" t="s">
        <v>94</v>
      </c>
      <c r="G428" s="231" t="str">
        <f>IFERROR(VLOOKUP(F428,'2020 Budget'!$A$4:$B$462,2,FALSE),"N/F")</f>
        <v>14. Undesired Expenses</v>
      </c>
      <c r="H428" s="231">
        <v>-35</v>
      </c>
      <c r="I428" s="238">
        <v>-7270.68</v>
      </c>
      <c r="J428" s="236" t="s">
        <v>360</v>
      </c>
      <c r="K428" s="207"/>
    </row>
    <row r="429" spans="1:11" hidden="1">
      <c r="A429" s="231" t="s">
        <v>30</v>
      </c>
      <c r="B429" s="231" t="str">
        <f>VLOOKUP(MONTH(C429),'Lookup Tables'!$A$3:$B$14,2,FALSE)</f>
        <v>Mar</v>
      </c>
      <c r="C429" s="233">
        <v>43892</v>
      </c>
      <c r="D429" s="231" t="s">
        <v>406</v>
      </c>
      <c r="E429" s="231" t="str">
        <f t="shared" si="11"/>
        <v>Mar Merchandise Computer</v>
      </c>
      <c r="F429" s="231" t="s">
        <v>35</v>
      </c>
      <c r="G429" s="231" t="str">
        <f>IFERROR(VLOOKUP(F429,'2020 Budget'!$A$4:$B$462,2,FALSE),"N/F")</f>
        <v>09. Internet TV Entertainment Electronics</v>
      </c>
      <c r="H429" s="231">
        <v>-70</v>
      </c>
      <c r="I429" s="238">
        <v>-7375.68</v>
      </c>
      <c r="J429" s="236" t="s">
        <v>360</v>
      </c>
      <c r="K429" s="207"/>
    </row>
    <row r="430" spans="1:11" ht="20.100000000000001" hidden="1" customHeight="1">
      <c r="A430" s="231" t="s">
        <v>30</v>
      </c>
      <c r="B430" s="231" t="str">
        <f>VLOOKUP(MONTH(C430),'Lookup Tables'!$A$3:$B$14,2,FALSE)</f>
        <v>Mar</v>
      </c>
      <c r="C430" s="233">
        <v>43892</v>
      </c>
      <c r="D430" s="231" t="s">
        <v>407</v>
      </c>
      <c r="E430" s="231" t="str">
        <f t="shared" si="11"/>
        <v>Mar Fee NSF</v>
      </c>
      <c r="F430" s="231" t="s">
        <v>94</v>
      </c>
      <c r="G430" s="231" t="str">
        <f>IFERROR(VLOOKUP(F430,'2020 Budget'!$A$4:$B$462,2,FALSE),"N/F")</f>
        <v>14. Undesired Expenses</v>
      </c>
      <c r="H430" s="231">
        <v>-35</v>
      </c>
      <c r="I430" s="238">
        <v>-7305.68</v>
      </c>
      <c r="J430" s="236" t="s">
        <v>360</v>
      </c>
      <c r="K430" s="207"/>
    </row>
    <row r="431" spans="1:11" hidden="1">
      <c r="A431" s="231" t="s">
        <v>30</v>
      </c>
      <c r="B431" s="231" t="str">
        <f>VLOOKUP(MONTH(C431),'Lookup Tables'!$A$3:$B$14,2,FALSE)</f>
        <v>Mar</v>
      </c>
      <c r="C431" s="233">
        <v>43892</v>
      </c>
      <c r="D431" s="231" t="s">
        <v>405</v>
      </c>
      <c r="E431" s="231" t="str">
        <f t="shared" si="11"/>
        <v xml:space="preserve">Mar Credit Card Payment Costco Visa </v>
      </c>
      <c r="F431" s="231" t="s">
        <v>615</v>
      </c>
      <c r="G431" s="231" t="str">
        <f>IFERROR(VLOOKUP(F431,'2020 Budget'!$A$4:$B$462,2,FALSE),"N/F")</f>
        <v>02. Checking Account Expenses</v>
      </c>
      <c r="H431" s="231">
        <v>1000</v>
      </c>
      <c r="I431" s="238">
        <v>-7270.68</v>
      </c>
      <c r="J431" s="236" t="s">
        <v>360</v>
      </c>
      <c r="K431" s="207"/>
    </row>
    <row r="432" spans="1:11" ht="20.100000000000001" hidden="1" customHeight="1">
      <c r="A432" s="231" t="s">
        <v>30</v>
      </c>
      <c r="B432" s="231" t="str">
        <f>VLOOKUP(MONTH(C432),'Lookup Tables'!$A$3:$B$14,2,FALSE)</f>
        <v>Mar</v>
      </c>
      <c r="C432" s="233">
        <v>43893</v>
      </c>
      <c r="D432" s="231" t="s">
        <v>409</v>
      </c>
      <c r="E432" s="231" t="str">
        <f t="shared" si="11"/>
        <v>Mar Mortgage + Property Taxes</v>
      </c>
      <c r="F432" s="231" t="s">
        <v>347</v>
      </c>
      <c r="G432" s="231" t="str">
        <f>IFERROR(VLOOKUP(F432,'2020 Budget'!$A$4:$B$462,2,FALSE),"N/F")</f>
        <v>02. Checking Account Expenses</v>
      </c>
      <c r="H432" s="231">
        <v>-1463</v>
      </c>
      <c r="I432" s="238">
        <v>-8608.4700000000012</v>
      </c>
      <c r="J432" s="236" t="s">
        <v>360</v>
      </c>
      <c r="K432" s="207"/>
    </row>
    <row r="433" spans="1:11" hidden="1">
      <c r="A433" s="231" t="s">
        <v>30</v>
      </c>
      <c r="B433" s="231" t="str">
        <f>VLOOKUP(MONTH(C433),'Lookup Tables'!$A$3:$B$14,2,FALSE)</f>
        <v>Mar</v>
      </c>
      <c r="C433" s="233">
        <v>43893</v>
      </c>
      <c r="D433" s="231" t="s">
        <v>410</v>
      </c>
      <c r="E433" s="231" t="str">
        <f t="shared" si="11"/>
        <v>Mar Charity Church Donation</v>
      </c>
      <c r="F433" s="231" t="s">
        <v>954</v>
      </c>
      <c r="G433" s="231" t="str">
        <f>IFERROR(VLOOKUP(F433,'2020 Budget'!$A$4:$B$462,2,FALSE),"N/F")</f>
        <v>04. Family Expenses</v>
      </c>
      <c r="H433" s="231">
        <v>-10</v>
      </c>
      <c r="I433" s="238">
        <v>-7385.68</v>
      </c>
      <c r="J433" s="236" t="s">
        <v>360</v>
      </c>
      <c r="K433" s="207"/>
    </row>
    <row r="434" spans="1:11" hidden="1">
      <c r="A434" s="231" t="s">
        <v>30</v>
      </c>
      <c r="B434" s="231" t="str">
        <f>VLOOKUP(MONTH(C434),'Lookup Tables'!$A$3:$B$14,2,FALSE)</f>
        <v>Mar</v>
      </c>
      <c r="C434" s="233">
        <v>43893</v>
      </c>
      <c r="D434" s="231" t="s">
        <v>411</v>
      </c>
      <c r="E434" s="231" t="str">
        <f t="shared" si="11"/>
        <v>Mar Charity Church Donation</v>
      </c>
      <c r="F434" s="231" t="s">
        <v>954</v>
      </c>
      <c r="G434" s="231" t="str">
        <f>IFERROR(VLOOKUP(F434,'2020 Budget'!$A$4:$B$462,2,FALSE),"N/F")</f>
        <v>04. Family Expenses</v>
      </c>
      <c r="H434" s="231">
        <v>-10</v>
      </c>
      <c r="I434" s="238">
        <v>-7395.68</v>
      </c>
      <c r="J434" s="236" t="s">
        <v>360</v>
      </c>
      <c r="K434" s="207"/>
    </row>
    <row r="435" spans="1:11" hidden="1">
      <c r="A435" s="231" t="s">
        <v>30</v>
      </c>
      <c r="B435" s="231" t="str">
        <f>VLOOKUP(MONTH(C435),'Lookup Tables'!$A$3:$B$14,2,FALSE)</f>
        <v>Mar</v>
      </c>
      <c r="C435" s="233">
        <v>43893</v>
      </c>
      <c r="D435" s="231" t="s">
        <v>412</v>
      </c>
      <c r="E435" s="231" t="str">
        <f t="shared" si="11"/>
        <v>Mar Fee NSF</v>
      </c>
      <c r="F435" s="231" t="s">
        <v>94</v>
      </c>
      <c r="G435" s="231" t="str">
        <f>IFERROR(VLOOKUP(F435,'2020 Budget'!$A$4:$B$462,2,FALSE),"N/F")</f>
        <v>14. Undesired Expenses</v>
      </c>
      <c r="H435" s="231">
        <v>-35</v>
      </c>
      <c r="I435" s="238">
        <v>-7075.47</v>
      </c>
      <c r="J435" s="236" t="s">
        <v>360</v>
      </c>
      <c r="K435" s="207"/>
    </row>
    <row r="436" spans="1:11" hidden="1">
      <c r="A436" s="231" t="s">
        <v>30</v>
      </c>
      <c r="B436" s="231" t="str">
        <f>VLOOKUP(MONTH(C436),'Lookup Tables'!$A$3:$B$14,2,FALSE)</f>
        <v>Mar</v>
      </c>
      <c r="C436" s="233">
        <v>43893</v>
      </c>
      <c r="D436" s="231" t="s">
        <v>413</v>
      </c>
      <c r="E436" s="231" t="str">
        <f t="shared" si="11"/>
        <v>Mar Fee NSF</v>
      </c>
      <c r="F436" s="231" t="s">
        <v>94</v>
      </c>
      <c r="G436" s="231" t="str">
        <f>IFERROR(VLOOKUP(F436,'2020 Budget'!$A$4:$B$462,2,FALSE),"N/F")</f>
        <v>14. Undesired Expenses</v>
      </c>
      <c r="H436" s="231">
        <v>-35</v>
      </c>
      <c r="I436" s="238">
        <v>-7110.47</v>
      </c>
      <c r="J436" s="236" t="s">
        <v>360</v>
      </c>
      <c r="K436" s="207"/>
    </row>
    <row r="437" spans="1:11" hidden="1">
      <c r="A437" s="231" t="s">
        <v>30</v>
      </c>
      <c r="B437" s="231" t="str">
        <f>VLOOKUP(MONTH(C437),'Lookup Tables'!$A$3:$B$14,2,FALSE)</f>
        <v>Mar</v>
      </c>
      <c r="C437" s="233">
        <v>43893</v>
      </c>
      <c r="D437" s="231" t="s">
        <v>414</v>
      </c>
      <c r="E437" s="231" t="str">
        <f t="shared" si="11"/>
        <v>Mar Fee NSF</v>
      </c>
      <c r="F437" s="231" t="s">
        <v>94</v>
      </c>
      <c r="G437" s="231" t="str">
        <f>IFERROR(VLOOKUP(F437,'2020 Budget'!$A$4:$B$462,2,FALSE),"N/F")</f>
        <v>14. Undesired Expenses</v>
      </c>
      <c r="H437" s="231">
        <v>-35</v>
      </c>
      <c r="I437" s="238">
        <v>-7145.47</v>
      </c>
      <c r="J437" s="236" t="s">
        <v>360</v>
      </c>
      <c r="K437" s="207"/>
    </row>
    <row r="438" spans="1:11" hidden="1">
      <c r="A438" s="231" t="s">
        <v>30</v>
      </c>
      <c r="B438" s="231" t="str">
        <f>VLOOKUP(MONTH(C438),'Lookup Tables'!$A$3:$B$14,2,FALSE)</f>
        <v>Mar</v>
      </c>
      <c r="C438" s="233">
        <v>43893</v>
      </c>
      <c r="D438" s="231" t="s">
        <v>408</v>
      </c>
      <c r="E438" s="231" t="str">
        <f t="shared" si="11"/>
        <v>Mar Charity Church Donation</v>
      </c>
      <c r="F438" s="231" t="s">
        <v>954</v>
      </c>
      <c r="G438" s="231" t="str">
        <f>IFERROR(VLOOKUP(F438,'2020 Budget'!$A$4:$B$462,2,FALSE),"N/F")</f>
        <v>04. Family Expenses</v>
      </c>
      <c r="H438" s="231">
        <v>70</v>
      </c>
      <c r="I438" s="238">
        <v>-7325.68</v>
      </c>
      <c r="J438" s="236" t="s">
        <v>360</v>
      </c>
      <c r="K438" s="207"/>
    </row>
    <row r="439" spans="1:11" hidden="1">
      <c r="A439" s="231" t="s">
        <v>30</v>
      </c>
      <c r="B439" s="231" t="str">
        <f>VLOOKUP(MONTH(C439),'Lookup Tables'!$A$3:$B$14,2,FALSE)</f>
        <v>Mar</v>
      </c>
      <c r="C439" s="233">
        <v>43893</v>
      </c>
      <c r="D439" s="231" t="s">
        <v>31</v>
      </c>
      <c r="E439" s="231" t="str">
        <f t="shared" si="11"/>
        <v>Mar Child support</v>
      </c>
      <c r="F439" s="237" t="s">
        <v>260</v>
      </c>
      <c r="G439" s="231" t="str">
        <f>IFERROR(VLOOKUP(F439,'2020 Budget'!$A$4:$B$462,2,FALSE),"N/F")</f>
        <v>04. Family Expenses</v>
      </c>
      <c r="H439" s="231">
        <v>285.20999999999998</v>
      </c>
      <c r="I439" s="238">
        <v>-7040.47</v>
      </c>
      <c r="J439" s="236" t="s">
        <v>360</v>
      </c>
      <c r="K439" s="207"/>
    </row>
    <row r="440" spans="1:11" hidden="1">
      <c r="A440" s="231" t="s">
        <v>30</v>
      </c>
      <c r="B440" s="231" t="str">
        <f>VLOOKUP(MONTH(C440),'Lookup Tables'!$A$3:$B$14,2,FALSE)</f>
        <v>Mar</v>
      </c>
      <c r="C440" s="233">
        <v>43894</v>
      </c>
      <c r="D440" s="231" t="s">
        <v>588</v>
      </c>
      <c r="E440" s="231" t="str">
        <f t="shared" ref="E440:E503" si="12">B440&amp;" "&amp;F440</f>
        <v>Mar Merchandise Computer</v>
      </c>
      <c r="F440" s="231" t="s">
        <v>35</v>
      </c>
      <c r="G440" s="231" t="str">
        <f>IFERROR(VLOOKUP(F440,'2020 Budget'!$A$4:$B$462,2,FALSE),"N/F")</f>
        <v>09. Internet TV Entertainment Electronics</v>
      </c>
      <c r="H440" s="231">
        <v>-70</v>
      </c>
      <c r="I440" s="238">
        <v>-8728.4700000000012</v>
      </c>
      <c r="J440" s="236" t="s">
        <v>360</v>
      </c>
      <c r="K440" s="207"/>
    </row>
    <row r="441" spans="1:11" hidden="1">
      <c r="A441" s="231" t="s">
        <v>30</v>
      </c>
      <c r="B441" s="231" t="str">
        <f>VLOOKUP(MONTH(C441),'Lookup Tables'!$A$3:$B$14,2,FALSE)</f>
        <v>Mar</v>
      </c>
      <c r="C441" s="233">
        <v>43894</v>
      </c>
      <c r="D441" s="231" t="s">
        <v>403</v>
      </c>
      <c r="E441" s="231" t="str">
        <f t="shared" si="12"/>
        <v>Mar Payment Other</v>
      </c>
      <c r="F441" s="231" t="s">
        <v>365</v>
      </c>
      <c r="G441" s="231" t="str">
        <f>IFERROR(VLOOKUP(F441,'2020 Budget'!$A$4:$B$462,2,FALSE),"N/F")</f>
        <v>16. Not Tracked</v>
      </c>
      <c r="H441" s="231">
        <v>-1000</v>
      </c>
      <c r="I441" s="238">
        <v>-8265.4700000000012</v>
      </c>
      <c r="J441" s="236" t="s">
        <v>360</v>
      </c>
      <c r="K441" s="207"/>
    </row>
    <row r="442" spans="1:11" hidden="1">
      <c r="A442" s="231" t="s">
        <v>30</v>
      </c>
      <c r="B442" s="231" t="str">
        <f>VLOOKUP(MONTH(C442),'Lookup Tables'!$A$3:$B$14,2,FALSE)</f>
        <v>Mar</v>
      </c>
      <c r="C442" s="233">
        <v>43894</v>
      </c>
      <c r="D442" s="231" t="s">
        <v>418</v>
      </c>
      <c r="E442" s="231" t="str">
        <f t="shared" si="12"/>
        <v>Mar Fee NSF</v>
      </c>
      <c r="F442" s="231" t="s">
        <v>94</v>
      </c>
      <c r="G442" s="231" t="str">
        <f>IFERROR(VLOOKUP(F442,'2020 Budget'!$A$4:$B$462,2,FALSE),"N/F")</f>
        <v>14. Undesired Expenses</v>
      </c>
      <c r="H442" s="231">
        <v>-35</v>
      </c>
      <c r="I442" s="238">
        <v>-8623.4700000000012</v>
      </c>
      <c r="J442" s="236" t="s">
        <v>360</v>
      </c>
      <c r="K442" s="207"/>
    </row>
    <row r="443" spans="1:11" hidden="1">
      <c r="A443" s="231" t="s">
        <v>30</v>
      </c>
      <c r="B443" s="231" t="str">
        <f>VLOOKUP(MONTH(C443),'Lookup Tables'!$A$3:$B$14,2,FALSE)</f>
        <v>Mar</v>
      </c>
      <c r="C443" s="233">
        <v>43894</v>
      </c>
      <c r="D443" s="231" t="s">
        <v>419</v>
      </c>
      <c r="E443" s="231" t="str">
        <f t="shared" si="12"/>
        <v>Mar Fee NSF</v>
      </c>
      <c r="F443" s="231" t="s">
        <v>94</v>
      </c>
      <c r="G443" s="231" t="str">
        <f>IFERROR(VLOOKUP(F443,'2020 Budget'!$A$4:$B$462,2,FALSE),"N/F")</f>
        <v>14. Undesired Expenses</v>
      </c>
      <c r="H443" s="231">
        <v>-35</v>
      </c>
      <c r="I443" s="238">
        <v>-8658.4700000000012</v>
      </c>
      <c r="J443" s="236" t="s">
        <v>360</v>
      </c>
      <c r="K443" s="207"/>
    </row>
    <row r="444" spans="1:11" hidden="1">
      <c r="A444" s="231" t="s">
        <v>30</v>
      </c>
      <c r="B444" s="231" t="str">
        <f>VLOOKUP(MONTH(C444),'Lookup Tables'!$A$3:$B$14,2,FALSE)</f>
        <v>Mar</v>
      </c>
      <c r="C444" s="233">
        <v>43894</v>
      </c>
      <c r="D444" s="231" t="s">
        <v>415</v>
      </c>
      <c r="E444" s="231" t="str">
        <f t="shared" si="12"/>
        <v>Mar Mortgage + Property Taxes</v>
      </c>
      <c r="F444" s="231" t="s">
        <v>347</v>
      </c>
      <c r="G444" s="231" t="str">
        <f>IFERROR(VLOOKUP(F444,'2020 Budget'!$A$4:$B$462,2,FALSE),"N/F")</f>
        <v>02. Checking Account Expenses</v>
      </c>
      <c r="H444" s="231">
        <v>1463</v>
      </c>
      <c r="I444" s="238">
        <v>-7265.4700000000012</v>
      </c>
      <c r="J444" s="236" t="s">
        <v>360</v>
      </c>
      <c r="K444" s="207"/>
    </row>
    <row r="445" spans="1:11" hidden="1">
      <c r="A445" s="231" t="s">
        <v>30</v>
      </c>
      <c r="B445" s="231" t="str">
        <f>VLOOKUP(MONTH(C445),'Lookup Tables'!$A$3:$B$14,2,FALSE)</f>
        <v>Mar</v>
      </c>
      <c r="C445" s="233">
        <v>43894</v>
      </c>
      <c r="D445" s="231" t="s">
        <v>416</v>
      </c>
      <c r="E445" s="231" t="str">
        <f t="shared" si="12"/>
        <v>Mar Charity Church Donation</v>
      </c>
      <c r="F445" s="231" t="s">
        <v>954</v>
      </c>
      <c r="G445" s="231" t="str">
        <f>IFERROR(VLOOKUP(F445,'2020 Budget'!$A$4:$B$462,2,FALSE),"N/F")</f>
        <v>04. Family Expenses</v>
      </c>
      <c r="H445" s="231">
        <v>10</v>
      </c>
      <c r="I445" s="238">
        <v>-8598.4700000000012</v>
      </c>
      <c r="J445" s="236" t="s">
        <v>360</v>
      </c>
      <c r="K445" s="207"/>
    </row>
    <row r="446" spans="1:11" hidden="1">
      <c r="A446" s="231" t="s">
        <v>30</v>
      </c>
      <c r="B446" s="231" t="str">
        <f>VLOOKUP(MONTH(C446),'Lookup Tables'!$A$3:$B$14,2,FALSE)</f>
        <v>Mar</v>
      </c>
      <c r="C446" s="233">
        <v>43894</v>
      </c>
      <c r="D446" s="231" t="s">
        <v>417</v>
      </c>
      <c r="E446" s="231" t="str">
        <f t="shared" si="12"/>
        <v>Mar Charity Church Donation</v>
      </c>
      <c r="F446" s="231" t="s">
        <v>954</v>
      </c>
      <c r="G446" s="231" t="str">
        <f>IFERROR(VLOOKUP(F446,'2020 Budget'!$A$4:$B$462,2,FALSE),"N/F")</f>
        <v>04. Family Expenses</v>
      </c>
      <c r="H446" s="231">
        <v>10</v>
      </c>
      <c r="I446" s="238">
        <v>-8588.4700000000012</v>
      </c>
      <c r="J446" s="236" t="s">
        <v>360</v>
      </c>
      <c r="K446" s="207"/>
    </row>
    <row r="447" spans="1:11" hidden="1">
      <c r="A447" s="231" t="s">
        <v>30</v>
      </c>
      <c r="B447" s="231" t="str">
        <f>VLOOKUP(MONTH(C447),'Lookup Tables'!$A$3:$B$14,2,FALSE)</f>
        <v>Mar</v>
      </c>
      <c r="C447" s="233">
        <v>43895</v>
      </c>
      <c r="D447" s="231" t="s">
        <v>422</v>
      </c>
      <c r="E447" s="231" t="str">
        <f t="shared" si="12"/>
        <v>Mar Mortgage + Property Taxes</v>
      </c>
      <c r="F447" s="231" t="s">
        <v>347</v>
      </c>
      <c r="G447" s="231" t="str">
        <f>IFERROR(VLOOKUP(F447,'2020 Budget'!$A$4:$B$462,2,FALSE),"N/F")</f>
        <v>02. Checking Account Expenses</v>
      </c>
      <c r="H447" s="231">
        <v>-1463</v>
      </c>
      <c r="I447" s="238">
        <v>-8693.4700000000012</v>
      </c>
      <c r="J447" s="236" t="s">
        <v>360</v>
      </c>
      <c r="K447" s="207"/>
    </row>
    <row r="448" spans="1:11" hidden="1">
      <c r="A448" s="231" t="s">
        <v>30</v>
      </c>
      <c r="B448" s="231" t="str">
        <f>VLOOKUP(MONTH(C448),'Lookup Tables'!$A$3:$B$14,2,FALSE)</f>
        <v>Mar</v>
      </c>
      <c r="C448" s="233">
        <v>43895</v>
      </c>
      <c r="D448" s="231" t="s">
        <v>423</v>
      </c>
      <c r="E448" s="231" t="str">
        <f t="shared" si="12"/>
        <v>Mar Fee NSF</v>
      </c>
      <c r="F448" s="231" t="s">
        <v>94</v>
      </c>
      <c r="G448" s="231" t="str">
        <f>IFERROR(VLOOKUP(F448,'2020 Budget'!$A$4:$B$462,2,FALSE),"N/F")</f>
        <v>14. Undesired Expenses</v>
      </c>
      <c r="H448" s="231">
        <v>-35</v>
      </c>
      <c r="I448" s="238">
        <v>-7230.4700000000012</v>
      </c>
      <c r="J448" s="236" t="s">
        <v>360</v>
      </c>
      <c r="K448" s="207"/>
    </row>
    <row r="449" spans="1:11" hidden="1">
      <c r="A449" s="231" t="s">
        <v>30</v>
      </c>
      <c r="B449" s="231" t="str">
        <f>VLOOKUP(MONTH(C449),'Lookup Tables'!$A$3:$B$14,2,FALSE)</f>
        <v>Mar</v>
      </c>
      <c r="C449" s="233">
        <v>43895</v>
      </c>
      <c r="D449" s="231" t="s">
        <v>421</v>
      </c>
      <c r="E449" s="231" t="str">
        <f t="shared" si="12"/>
        <v>Mar Charity Church Donation</v>
      </c>
      <c r="F449" s="231" t="s">
        <v>954</v>
      </c>
      <c r="G449" s="231" t="str">
        <f>IFERROR(VLOOKUP(F449,'2020 Budget'!$A$4:$B$462,2,FALSE),"N/F")</f>
        <v>04. Family Expenses</v>
      </c>
      <c r="H449" s="231">
        <v>70</v>
      </c>
      <c r="I449" s="238">
        <v>-8195.4700000000012</v>
      </c>
      <c r="J449" s="236" t="s">
        <v>360</v>
      </c>
      <c r="K449" s="207"/>
    </row>
    <row r="450" spans="1:11" hidden="1">
      <c r="A450" s="231" t="s">
        <v>30</v>
      </c>
      <c r="B450" s="231" t="str">
        <f>VLOOKUP(MONTH(C450),'Lookup Tables'!$A$3:$B$14,2,FALSE)</f>
        <v>Mar</v>
      </c>
      <c r="C450" s="233">
        <v>43895</v>
      </c>
      <c r="D450" s="231" t="s">
        <v>420</v>
      </c>
      <c r="E450" s="231" t="str">
        <f t="shared" si="12"/>
        <v xml:space="preserve">Mar Credit Card Payment Costco Visa </v>
      </c>
      <c r="F450" s="231" t="s">
        <v>615</v>
      </c>
      <c r="G450" s="231" t="str">
        <f>IFERROR(VLOOKUP(F450,'2020 Budget'!$A$4:$B$462,2,FALSE),"N/F")</f>
        <v>02. Checking Account Expenses</v>
      </c>
      <c r="H450" s="231">
        <v>1000</v>
      </c>
      <c r="I450" s="238">
        <v>-7195.4700000000012</v>
      </c>
      <c r="J450" s="236" t="s">
        <v>360</v>
      </c>
      <c r="K450" s="207"/>
    </row>
    <row r="451" spans="1:11" hidden="1">
      <c r="A451" s="231" t="s">
        <v>30</v>
      </c>
      <c r="B451" s="231" t="str">
        <f>VLOOKUP(MONTH(C451),'Lookup Tables'!$A$3:$B$14,2,FALSE)</f>
        <v>Mar</v>
      </c>
      <c r="C451" s="233">
        <v>43896</v>
      </c>
      <c r="D451" s="231" t="s">
        <v>424</v>
      </c>
      <c r="E451" s="231" t="str">
        <f t="shared" si="12"/>
        <v>Mar Mortgage + Property Taxes</v>
      </c>
      <c r="F451" s="231" t="s">
        <v>347</v>
      </c>
      <c r="G451" s="231" t="str">
        <f>IFERROR(VLOOKUP(F451,'2020 Budget'!$A$4:$B$462,2,FALSE),"N/F")</f>
        <v>02. Checking Account Expenses</v>
      </c>
      <c r="H451" s="231">
        <v>1463</v>
      </c>
      <c r="I451" s="238">
        <v>-7230.4700000000012</v>
      </c>
      <c r="J451" s="236" t="s">
        <v>360</v>
      </c>
      <c r="K451" s="207"/>
    </row>
    <row r="452" spans="1:11">
      <c r="A452" s="231" t="s">
        <v>30</v>
      </c>
      <c r="B452" s="231" t="str">
        <f>VLOOKUP(MONTH(C452),'Lookup Tables'!$A$3:$B$14,2,FALSE)</f>
        <v>Mar</v>
      </c>
      <c r="C452" s="233">
        <v>43899</v>
      </c>
      <c r="D452" s="231" t="s">
        <v>425</v>
      </c>
      <c r="E452" s="231" t="str">
        <f t="shared" si="12"/>
        <v>Mar Ford Fusion Auto Purchase</v>
      </c>
      <c r="F452" s="231" t="s">
        <v>150</v>
      </c>
      <c r="G452" s="231" t="str">
        <f>IFERROR(VLOOKUP(F452,'2020 Budget'!$A$4:$B$462,2,FALSE),"N/F")</f>
        <v>15.  Ford Fusion</v>
      </c>
      <c r="H452" s="231">
        <v>-100</v>
      </c>
      <c r="I452" s="238">
        <v>-7365.4700000000012</v>
      </c>
      <c r="J452" s="236" t="s">
        <v>360</v>
      </c>
      <c r="K452" s="207"/>
    </row>
    <row r="453" spans="1:11" hidden="1">
      <c r="A453" s="231" t="s">
        <v>30</v>
      </c>
      <c r="B453" s="231" t="str">
        <f>VLOOKUP(MONTH(C453),'Lookup Tables'!$A$3:$B$14,2,FALSE)</f>
        <v>Mar</v>
      </c>
      <c r="C453" s="233">
        <v>43899</v>
      </c>
      <c r="D453" s="231" t="s">
        <v>426</v>
      </c>
      <c r="E453" s="231" t="str">
        <f t="shared" si="12"/>
        <v>Mar Fee NSF</v>
      </c>
      <c r="F453" s="231" t="s">
        <v>94</v>
      </c>
      <c r="G453" s="231" t="str">
        <f>IFERROR(VLOOKUP(F453,'2020 Budget'!$A$4:$B$462,2,FALSE),"N/F")</f>
        <v>14. Undesired Expenses</v>
      </c>
      <c r="H453" s="231">
        <v>-35</v>
      </c>
      <c r="I453" s="238">
        <v>-7265.4700000000012</v>
      </c>
      <c r="J453" s="236" t="s">
        <v>360</v>
      </c>
      <c r="K453" s="207"/>
    </row>
    <row r="454" spans="1:11" hidden="1">
      <c r="A454" s="231" t="s">
        <v>30</v>
      </c>
      <c r="B454" s="231" t="str">
        <f>VLOOKUP(MONTH(C454),'Lookup Tables'!$A$3:$B$14,2,FALSE)</f>
        <v>Mar</v>
      </c>
      <c r="C454" s="233">
        <v>43900</v>
      </c>
      <c r="D454" s="231" t="s">
        <v>428</v>
      </c>
      <c r="E454" s="231" t="str">
        <f t="shared" si="12"/>
        <v>Mar Credit Card Payment Marriott AMEX</v>
      </c>
      <c r="F454" s="237" t="s">
        <v>616</v>
      </c>
      <c r="G454" s="231" t="str">
        <f>IFERROR(VLOOKUP(F454,'2020 Budget'!$A$4:$B$462,2,FALSE),"N/F")</f>
        <v>02. Checking Account Expenses</v>
      </c>
      <c r="H454" s="231">
        <v>-96.54</v>
      </c>
      <c r="I454" s="238">
        <v>-7462.0100000000011</v>
      </c>
      <c r="J454" s="236" t="s">
        <v>360</v>
      </c>
      <c r="K454" s="207"/>
    </row>
    <row r="455" spans="1:11" hidden="1">
      <c r="A455" s="231" t="s">
        <v>30</v>
      </c>
      <c r="B455" s="231" t="str">
        <f>VLOOKUP(MONTH(C455),'Lookup Tables'!$A$3:$B$14,2,FALSE)</f>
        <v>Mar</v>
      </c>
      <c r="C455" s="233">
        <v>43900</v>
      </c>
      <c r="D455" s="231" t="s">
        <v>429</v>
      </c>
      <c r="E455" s="231" t="str">
        <f t="shared" si="12"/>
        <v>Mar Fee NSF</v>
      </c>
      <c r="F455" s="231" t="s">
        <v>94</v>
      </c>
      <c r="G455" s="231" t="str">
        <f>IFERROR(VLOOKUP(F455,'2020 Budget'!$A$4:$B$462,2,FALSE),"N/F")</f>
        <v>14. Undesired Expenses</v>
      </c>
      <c r="H455" s="231">
        <v>-35</v>
      </c>
      <c r="I455" s="238">
        <v>-7497.0100000000011</v>
      </c>
      <c r="J455" s="236" t="s">
        <v>360</v>
      </c>
      <c r="K455" s="207"/>
    </row>
    <row r="456" spans="1:11">
      <c r="A456" s="231" t="s">
        <v>30</v>
      </c>
      <c r="B456" s="231" t="str">
        <f>VLOOKUP(MONTH(C456),'Lookup Tables'!$A$3:$B$14,2,FALSE)</f>
        <v>Mar</v>
      </c>
      <c r="C456" s="233">
        <v>43900</v>
      </c>
      <c r="D456" s="231" t="s">
        <v>427</v>
      </c>
      <c r="E456" s="231" t="str">
        <f t="shared" si="12"/>
        <v>Mar Ford Fusion Auto Purchase</v>
      </c>
      <c r="F456" s="231" t="s">
        <v>150</v>
      </c>
      <c r="G456" s="231" t="str">
        <f>IFERROR(VLOOKUP(F456,'2020 Budget'!$A$4:$B$462,2,FALSE),"N/F")</f>
        <v>15.  Ford Fusion</v>
      </c>
      <c r="H456" s="231">
        <v>100</v>
      </c>
      <c r="I456" s="238">
        <v>-7397.0100000000011</v>
      </c>
      <c r="J456" s="236" t="s">
        <v>360</v>
      </c>
      <c r="K456" s="207"/>
    </row>
    <row r="457" spans="1:11" hidden="1">
      <c r="A457" s="231" t="s">
        <v>30</v>
      </c>
      <c r="B457" s="231" t="str">
        <f>VLOOKUP(MONTH(C457),'Lookup Tables'!$A$3:$B$14,2,FALSE)</f>
        <v>Mar</v>
      </c>
      <c r="C457" s="233">
        <v>43901</v>
      </c>
      <c r="D457" s="231" t="s">
        <v>430</v>
      </c>
      <c r="E457" s="231" t="str">
        <f t="shared" si="12"/>
        <v>Mar Credit Card Payment Marriott AMEX</v>
      </c>
      <c r="F457" s="231" t="s">
        <v>616</v>
      </c>
      <c r="G457" s="231" t="str">
        <f>IFERROR(VLOOKUP(F457,'2020 Budget'!$A$4:$B$462,2,FALSE),"N/F")</f>
        <v>02. Checking Account Expenses</v>
      </c>
      <c r="H457" s="231">
        <v>96.54</v>
      </c>
      <c r="I457" s="238">
        <v>-7300.4700000000012</v>
      </c>
      <c r="J457" s="236" t="s">
        <v>360</v>
      </c>
      <c r="K457" s="207"/>
    </row>
    <row r="458" spans="1:11" hidden="1">
      <c r="A458" s="231" t="s">
        <v>30</v>
      </c>
      <c r="B458" s="231" t="str">
        <f>VLOOKUP(MONTH(C458),'Lookup Tables'!$A$3:$B$14,2,FALSE)</f>
        <v>Mar</v>
      </c>
      <c r="C458" s="233">
        <v>43902</v>
      </c>
      <c r="D458" s="231" t="s">
        <v>431</v>
      </c>
      <c r="E458" s="231" t="str">
        <f t="shared" si="12"/>
        <v>Mar Payment Other</v>
      </c>
      <c r="F458" s="237" t="s">
        <v>365</v>
      </c>
      <c r="G458" s="231" t="str">
        <f>IFERROR(VLOOKUP(F458,'2020 Budget'!$A$4:$B$462,2,FALSE),"N/F")</f>
        <v>16. Not Tracked</v>
      </c>
      <c r="H458" s="231">
        <v>-96.54</v>
      </c>
      <c r="I458" s="238">
        <v>-7432.0100000000011</v>
      </c>
      <c r="J458" s="236" t="s">
        <v>360</v>
      </c>
      <c r="K458" s="207"/>
    </row>
    <row r="459" spans="1:11" hidden="1">
      <c r="A459" s="231" t="s">
        <v>30</v>
      </c>
      <c r="B459" s="231" t="str">
        <f>VLOOKUP(MONTH(C459),'Lookup Tables'!$A$3:$B$14,2,FALSE)</f>
        <v>Mar</v>
      </c>
      <c r="C459" s="233">
        <v>43902</v>
      </c>
      <c r="D459" s="231" t="s">
        <v>432</v>
      </c>
      <c r="E459" s="231" t="str">
        <f t="shared" si="12"/>
        <v>Mar Fee NSF</v>
      </c>
      <c r="F459" s="231" t="s">
        <v>94</v>
      </c>
      <c r="G459" s="231" t="str">
        <f>IFERROR(VLOOKUP(F459,'2020 Budget'!$A$4:$B$462,2,FALSE),"N/F")</f>
        <v>14. Undesired Expenses</v>
      </c>
      <c r="H459" s="231">
        <v>-35</v>
      </c>
      <c r="I459" s="238">
        <v>-7335.4700000000012</v>
      </c>
      <c r="J459" s="236" t="s">
        <v>360</v>
      </c>
      <c r="K459" s="207"/>
    </row>
    <row r="460" spans="1:11" hidden="1">
      <c r="A460" s="231" t="s">
        <v>30</v>
      </c>
      <c r="B460" s="231" t="str">
        <f>VLOOKUP(MONTH(C460),'Lookup Tables'!$A$3:$B$14,2,FALSE)</f>
        <v>Mar</v>
      </c>
      <c r="C460" s="233">
        <v>43903</v>
      </c>
      <c r="D460" s="231" t="s">
        <v>433</v>
      </c>
      <c r="E460" s="231" t="str">
        <f t="shared" si="12"/>
        <v>Mar Credit Card Payment Marriott AMEX</v>
      </c>
      <c r="F460" s="231" t="s">
        <v>616</v>
      </c>
      <c r="G460" s="231" t="str">
        <f>IFERROR(VLOOKUP(F460,'2020 Budget'!$A$4:$B$462,2,FALSE),"N/F")</f>
        <v>02. Checking Account Expenses</v>
      </c>
      <c r="H460" s="231">
        <v>96.54</v>
      </c>
      <c r="I460" s="238">
        <v>-7335.4700000000012</v>
      </c>
      <c r="J460" s="236" t="s">
        <v>360</v>
      </c>
      <c r="K460" s="207"/>
    </row>
    <row r="461" spans="1:11" hidden="1">
      <c r="A461" s="231" t="s">
        <v>30</v>
      </c>
      <c r="B461" s="231" t="str">
        <f>VLOOKUP(MONTH(C461),'Lookup Tables'!$A$3:$B$14,2,FALSE)</f>
        <v>Mar</v>
      </c>
      <c r="C461" s="233">
        <v>43906</v>
      </c>
      <c r="D461" s="231" t="s">
        <v>431</v>
      </c>
      <c r="E461" s="231" t="str">
        <f t="shared" si="12"/>
        <v>Mar Payment Other</v>
      </c>
      <c r="F461" s="237" t="s">
        <v>365</v>
      </c>
      <c r="G461" s="231" t="str">
        <f>IFERROR(VLOOKUP(F461,'2020 Budget'!$A$4:$B$462,2,FALSE),"N/F")</f>
        <v>16. Not Tracked</v>
      </c>
      <c r="H461" s="231">
        <v>-96.54</v>
      </c>
      <c r="I461" s="238">
        <v>-7467.0100000000011</v>
      </c>
      <c r="J461" s="236" t="s">
        <v>360</v>
      </c>
      <c r="K461" s="207"/>
    </row>
    <row r="462" spans="1:11" hidden="1">
      <c r="A462" s="231" t="s">
        <v>30</v>
      </c>
      <c r="B462" s="231" t="str">
        <f>VLOOKUP(MONTH(C462),'Lookup Tables'!$A$3:$B$14,2,FALSE)</f>
        <v>Mar</v>
      </c>
      <c r="C462" s="233">
        <v>43906</v>
      </c>
      <c r="D462" s="231" t="s">
        <v>434</v>
      </c>
      <c r="E462" s="231" t="str">
        <f t="shared" si="12"/>
        <v>Mar Fee NSF</v>
      </c>
      <c r="F462" s="231" t="s">
        <v>94</v>
      </c>
      <c r="G462" s="231" t="str">
        <f>IFERROR(VLOOKUP(F462,'2020 Budget'!$A$4:$B$462,2,FALSE),"N/F")</f>
        <v>14. Undesired Expenses</v>
      </c>
      <c r="H462" s="231">
        <v>-35</v>
      </c>
      <c r="I462" s="238">
        <v>-7370.4700000000012</v>
      </c>
      <c r="J462" s="236" t="s">
        <v>360</v>
      </c>
      <c r="K462" s="207"/>
    </row>
    <row r="463" spans="1:11" hidden="1">
      <c r="A463" s="231" t="s">
        <v>30</v>
      </c>
      <c r="B463" s="231" t="str">
        <f>VLOOKUP(MONTH(C463),'Lookup Tables'!$A$3:$B$14,2,FALSE)</f>
        <v>Mar</v>
      </c>
      <c r="C463" s="233">
        <v>43907</v>
      </c>
      <c r="D463" s="231" t="s">
        <v>287</v>
      </c>
      <c r="E463" s="231" t="str">
        <f t="shared" si="12"/>
        <v>Mar Fee Bank</v>
      </c>
      <c r="F463" s="237" t="s">
        <v>23</v>
      </c>
      <c r="G463" s="231" t="str">
        <f>IFERROR(VLOOKUP(F463,'2020 Budget'!$A$4:$B$462,2,FALSE),"N/F")</f>
        <v>14. Undesired Expense</v>
      </c>
      <c r="H463" s="231">
        <v>-25</v>
      </c>
      <c r="I463" s="238">
        <v>-7412.6800000000012</v>
      </c>
      <c r="J463" s="236" t="s">
        <v>360</v>
      </c>
      <c r="K463" s="207"/>
    </row>
    <row r="464" spans="1:11" hidden="1">
      <c r="A464" s="231" t="s">
        <v>30</v>
      </c>
      <c r="B464" s="231" t="str">
        <f>VLOOKUP(MONTH(C464),'Lookup Tables'!$A$3:$B$14,2,FALSE)</f>
        <v>Mar</v>
      </c>
      <c r="C464" s="233">
        <v>43907</v>
      </c>
      <c r="D464" s="231" t="s">
        <v>436</v>
      </c>
      <c r="E464" s="231" t="str">
        <f t="shared" si="12"/>
        <v>Mar Charity Church Donation</v>
      </c>
      <c r="F464" s="231" t="s">
        <v>954</v>
      </c>
      <c r="G464" s="231" t="str">
        <f>IFERROR(VLOOKUP(F464,'2020 Budget'!$A$4:$B$462,2,FALSE),"N/F")</f>
        <v>04. Family Expenses</v>
      </c>
      <c r="H464" s="231">
        <v>-10</v>
      </c>
      <c r="I464" s="238">
        <v>-7477.0100000000011</v>
      </c>
      <c r="J464" s="236" t="s">
        <v>360</v>
      </c>
      <c r="K464" s="207"/>
    </row>
    <row r="465" spans="1:11" hidden="1">
      <c r="A465" s="231" t="s">
        <v>30</v>
      </c>
      <c r="B465" s="231" t="str">
        <f>VLOOKUP(MONTH(C465),'Lookup Tables'!$A$3:$B$14,2,FALSE)</f>
        <v>Mar</v>
      </c>
      <c r="C465" s="233">
        <v>43907</v>
      </c>
      <c r="D465" s="231" t="s">
        <v>437</v>
      </c>
      <c r="E465" s="231" t="str">
        <f t="shared" si="12"/>
        <v>Mar Charity Church Donation</v>
      </c>
      <c r="F465" s="231" t="s">
        <v>954</v>
      </c>
      <c r="G465" s="231" t="str">
        <f>IFERROR(VLOOKUP(F465,'2020 Budget'!$A$4:$B$462,2,FALSE),"N/F")</f>
        <v>04. Family Expenses</v>
      </c>
      <c r="H465" s="231">
        <v>-10</v>
      </c>
      <c r="I465" s="238">
        <v>-7487.0100000000011</v>
      </c>
      <c r="J465" s="236" t="s">
        <v>360</v>
      </c>
      <c r="K465" s="207"/>
    </row>
    <row r="466" spans="1:11" hidden="1">
      <c r="A466" s="231" t="s">
        <v>30</v>
      </c>
      <c r="B466" s="231" t="str">
        <f>VLOOKUP(MONTH(C466),'Lookup Tables'!$A$3:$B$14,2,FALSE)</f>
        <v>Mar</v>
      </c>
      <c r="C466" s="233">
        <v>43907</v>
      </c>
      <c r="D466" s="231" t="s">
        <v>438</v>
      </c>
      <c r="E466" s="231" t="str">
        <f t="shared" si="12"/>
        <v>Mar Payment Other</v>
      </c>
      <c r="F466" s="231" t="s">
        <v>365</v>
      </c>
      <c r="G466" s="231" t="str">
        <f>IFERROR(VLOOKUP(F466,'2020 Budget'!$A$4:$B$462,2,FALSE),"N/F")</f>
        <v>16. Not Tracked</v>
      </c>
      <c r="H466" s="231">
        <v>-1627.13</v>
      </c>
      <c r="I466" s="238">
        <v>-9144.8000000000011</v>
      </c>
      <c r="J466" s="236" t="s">
        <v>360</v>
      </c>
      <c r="K466" s="207"/>
    </row>
    <row r="467" spans="1:11" hidden="1">
      <c r="A467" s="231" t="s">
        <v>30</v>
      </c>
      <c r="B467" s="231" t="str">
        <f>VLOOKUP(MONTH(C467),'Lookup Tables'!$A$3:$B$14,2,FALSE)</f>
        <v>Mar</v>
      </c>
      <c r="C467" s="233">
        <v>43907</v>
      </c>
      <c r="D467" s="231" t="s">
        <v>286</v>
      </c>
      <c r="E467" s="231" t="str">
        <f t="shared" si="12"/>
        <v>Mar Interest Income</v>
      </c>
      <c r="F467" s="231" t="s">
        <v>9</v>
      </c>
      <c r="G467" s="231" t="str">
        <f>IFERROR(VLOOKUP(F467,'2020 Budget'!$A$4:$B$462,2,FALSE),"N/F")</f>
        <v>01. Checking Account Income</v>
      </c>
      <c r="H467" s="231">
        <v>0.01</v>
      </c>
      <c r="I467" s="238">
        <v>-7517.670000000001</v>
      </c>
      <c r="J467" s="236" t="s">
        <v>360</v>
      </c>
      <c r="K467" s="207"/>
    </row>
    <row r="468" spans="1:11" hidden="1">
      <c r="A468" s="231" t="s">
        <v>30</v>
      </c>
      <c r="B468" s="231" t="str">
        <f>VLOOKUP(MONTH(C468),'Lookup Tables'!$A$3:$B$14,2,FALSE)</f>
        <v>Mar</v>
      </c>
      <c r="C468" s="233">
        <v>43907</v>
      </c>
      <c r="D468" s="231" t="s">
        <v>439</v>
      </c>
      <c r="E468" s="231" t="str">
        <f t="shared" si="12"/>
        <v>Mar Fee NSF</v>
      </c>
      <c r="F468" s="231" t="s">
        <v>94</v>
      </c>
      <c r="G468" s="231" t="str">
        <f>IFERROR(VLOOKUP(F468,'2020 Budget'!$A$4:$B$462,2,FALSE),"N/F")</f>
        <v>14. Undesired Expenses</v>
      </c>
      <c r="H468" s="231">
        <v>-35</v>
      </c>
      <c r="I468" s="238">
        <v>-7447.6800000000012</v>
      </c>
      <c r="J468" s="236" t="s">
        <v>360</v>
      </c>
      <c r="K468" s="207"/>
    </row>
    <row r="469" spans="1:11" hidden="1">
      <c r="A469" s="231" t="s">
        <v>30</v>
      </c>
      <c r="B469" s="231" t="str">
        <f>VLOOKUP(MONTH(C469),'Lookup Tables'!$A$3:$B$14,2,FALSE)</f>
        <v>Mar</v>
      </c>
      <c r="C469" s="233">
        <v>43907</v>
      </c>
      <c r="D469" s="231" t="s">
        <v>440</v>
      </c>
      <c r="E469" s="231" t="str">
        <f t="shared" si="12"/>
        <v>Mar Fee NSF</v>
      </c>
      <c r="F469" s="231" t="s">
        <v>94</v>
      </c>
      <c r="G469" s="231" t="str">
        <f>IFERROR(VLOOKUP(F469,'2020 Budget'!$A$4:$B$462,2,FALSE),"N/F")</f>
        <v>14. Undesired Expenses</v>
      </c>
      <c r="H469" s="231">
        <v>-35</v>
      </c>
      <c r="I469" s="238">
        <v>-7482.6800000000012</v>
      </c>
      <c r="J469" s="236" t="s">
        <v>360</v>
      </c>
      <c r="K469" s="207"/>
    </row>
    <row r="470" spans="1:11" hidden="1">
      <c r="A470" s="231" t="s">
        <v>30</v>
      </c>
      <c r="B470" s="231" t="str">
        <f>VLOOKUP(MONTH(C470),'Lookup Tables'!$A$3:$B$14,2,FALSE)</f>
        <v>Mar</v>
      </c>
      <c r="C470" s="233">
        <v>43907</v>
      </c>
      <c r="D470" s="231" t="s">
        <v>441</v>
      </c>
      <c r="E470" s="231" t="str">
        <f t="shared" si="12"/>
        <v>Mar Fee NSF</v>
      </c>
      <c r="F470" s="231" t="s">
        <v>94</v>
      </c>
      <c r="G470" s="231" t="str">
        <f>IFERROR(VLOOKUP(F470,'2020 Budget'!$A$4:$B$462,2,FALSE),"N/F")</f>
        <v>14. Undesired Expenses</v>
      </c>
      <c r="H470" s="231">
        <v>-35</v>
      </c>
      <c r="I470" s="238">
        <v>-7517.6800000000012</v>
      </c>
      <c r="J470" s="236" t="s">
        <v>360</v>
      </c>
      <c r="K470" s="207"/>
    </row>
    <row r="471" spans="1:11" hidden="1">
      <c r="A471" s="231" t="s">
        <v>30</v>
      </c>
      <c r="B471" s="231" t="str">
        <f>VLOOKUP(MONTH(C471),'Lookup Tables'!$A$3:$B$14,2,FALSE)</f>
        <v>Mar</v>
      </c>
      <c r="C471" s="233">
        <v>43907</v>
      </c>
      <c r="D471" s="231" t="s">
        <v>435</v>
      </c>
      <c r="E471" s="231" t="str">
        <f t="shared" si="12"/>
        <v>Mar Credit Card Payment Marriott AMEX</v>
      </c>
      <c r="F471" s="231" t="s">
        <v>616</v>
      </c>
      <c r="G471" s="231" t="str">
        <f>IFERROR(VLOOKUP(F471,'2020 Budget'!$A$4:$B$462,2,FALSE),"N/F")</f>
        <v>02. Checking Account Expenses</v>
      </c>
      <c r="H471" s="231">
        <v>96.54</v>
      </c>
      <c r="I471" s="238">
        <v>-7387.6800000000012</v>
      </c>
      <c r="J471" s="236" t="s">
        <v>360</v>
      </c>
      <c r="K471" s="207"/>
    </row>
    <row r="472" spans="1:11" hidden="1">
      <c r="A472" s="231" t="s">
        <v>30</v>
      </c>
      <c r="B472" s="231" t="str">
        <f>VLOOKUP(MONTH(C472),'Lookup Tables'!$A$3:$B$14,2,FALSE)</f>
        <v>Mar</v>
      </c>
      <c r="C472" s="233">
        <v>43907</v>
      </c>
      <c r="D472" s="231" t="s">
        <v>31</v>
      </c>
      <c r="E472" s="231" t="str">
        <f t="shared" si="12"/>
        <v>Mar Child support</v>
      </c>
      <c r="F472" s="237" t="s">
        <v>260</v>
      </c>
      <c r="G472" s="231" t="str">
        <f>IFERROR(VLOOKUP(F472,'2020 Budget'!$A$4:$B$462,2,FALSE),"N/F")</f>
        <v>04. Family Expenses</v>
      </c>
      <c r="H472" s="231">
        <v>2.79</v>
      </c>
      <c r="I472" s="238">
        <v>-7484.2200000000012</v>
      </c>
      <c r="J472" s="236" t="s">
        <v>360</v>
      </c>
      <c r="K472" s="207"/>
    </row>
    <row r="473" spans="1:11" hidden="1">
      <c r="A473" s="231" t="s">
        <v>30</v>
      </c>
      <c r="B473" s="232" t="str">
        <f>VLOOKUP(MONTH(C473),'Lookup Tables'!$A$3:$B$14,2,FALSE)</f>
        <v>Mar</v>
      </c>
      <c r="C473" s="233">
        <v>43908</v>
      </c>
      <c r="D473" s="231" t="s">
        <v>80</v>
      </c>
      <c r="E473" s="231" t="str">
        <f t="shared" si="12"/>
        <v>Mar Checking Account Beginning Balance</v>
      </c>
      <c r="F473" s="234" t="s">
        <v>362</v>
      </c>
      <c r="G473" s="231" t="str">
        <f>IFERROR(VLOOKUP(F473,'2020 Budget'!$A$4:$B$462,2,FALSE),"N/F")</f>
        <v>01. Checking Account Income</v>
      </c>
      <c r="H473" s="235"/>
      <c r="I473" s="238">
        <v>-9144.8000000000011</v>
      </c>
      <c r="J473" s="236" t="s">
        <v>360</v>
      </c>
      <c r="K473" s="207"/>
    </row>
    <row r="474" spans="1:11" hidden="1">
      <c r="A474" s="231" t="s">
        <v>30</v>
      </c>
      <c r="B474" s="231" t="str">
        <f>VLOOKUP(MONTH(C474),'Lookup Tables'!$A$3:$B$14,2,FALSE)</f>
        <v>Mar</v>
      </c>
      <c r="C474" s="233">
        <v>43908</v>
      </c>
      <c r="D474" s="231" t="s">
        <v>443</v>
      </c>
      <c r="E474" s="231" t="str">
        <f t="shared" si="12"/>
        <v>Mar Charity Church Donation</v>
      </c>
      <c r="F474" s="231" t="s">
        <v>954</v>
      </c>
      <c r="G474" s="231" t="str">
        <f>IFERROR(VLOOKUP(F474,'2020 Budget'!$A$4:$B$462,2,FALSE),"N/F")</f>
        <v>04. Family Expenses</v>
      </c>
      <c r="H474" s="231">
        <v>10</v>
      </c>
      <c r="I474" s="238">
        <v>-9134.8000000000011</v>
      </c>
      <c r="J474" s="236" t="s">
        <v>360</v>
      </c>
      <c r="K474" s="207"/>
    </row>
    <row r="475" spans="1:11" hidden="1">
      <c r="A475" s="231" t="s">
        <v>30</v>
      </c>
      <c r="B475" s="231" t="str">
        <f>VLOOKUP(MONTH(C475),'Lookup Tables'!$A$3:$B$14,2,FALSE)</f>
        <v>Mar</v>
      </c>
      <c r="C475" s="233">
        <v>43908</v>
      </c>
      <c r="D475" s="231" t="s">
        <v>444</v>
      </c>
      <c r="E475" s="231" t="str">
        <f t="shared" si="12"/>
        <v>Mar Charity Church Donation</v>
      </c>
      <c r="F475" s="231" t="s">
        <v>954</v>
      </c>
      <c r="G475" s="231" t="str">
        <f>IFERROR(VLOOKUP(F475,'2020 Budget'!$A$4:$B$462,2,FALSE),"N/F")</f>
        <v>04. Family Expenses</v>
      </c>
      <c r="H475" s="231">
        <v>10</v>
      </c>
      <c r="I475" s="238">
        <v>-9124.8000000000011</v>
      </c>
      <c r="J475" s="236" t="s">
        <v>360</v>
      </c>
      <c r="K475" s="207"/>
    </row>
    <row r="476" spans="1:11" hidden="1">
      <c r="A476" s="231" t="s">
        <v>30</v>
      </c>
      <c r="B476" s="231" t="str">
        <f>VLOOKUP(MONTH(C476),'Lookup Tables'!$A$3:$B$14,2,FALSE)</f>
        <v>Mar</v>
      </c>
      <c r="C476" s="233">
        <v>43908</v>
      </c>
      <c r="D476" s="231" t="s">
        <v>442</v>
      </c>
      <c r="E476" s="231" t="str">
        <f t="shared" si="12"/>
        <v>Mar Credit Card Payment AADVANTAGE</v>
      </c>
      <c r="F476" s="231" t="s">
        <v>880</v>
      </c>
      <c r="G476" s="231" t="str">
        <f>IFERROR(VLOOKUP(F476,'2020 Budget'!$A$4:$B$462,2,FALSE),"N/F")</f>
        <v>02. Checking Account Expenses</v>
      </c>
      <c r="H476" s="231">
        <v>1627.13</v>
      </c>
      <c r="I476" s="238">
        <v>-7497.670000000001</v>
      </c>
      <c r="J476" s="236" t="s">
        <v>360</v>
      </c>
      <c r="K476" s="207"/>
    </row>
    <row r="477" spans="1:11" hidden="1">
      <c r="A477" s="231" t="s">
        <v>30</v>
      </c>
      <c r="B477" s="231" t="str">
        <f>VLOOKUP(MONTH(C477),'Lookup Tables'!$A$3:$B$14,2,FALSE)</f>
        <v>Mar</v>
      </c>
      <c r="C477" s="233">
        <v>43910</v>
      </c>
      <c r="D477" s="231" t="s">
        <v>445</v>
      </c>
      <c r="E477" s="231" t="str">
        <f t="shared" si="12"/>
        <v>Mar Payment Other</v>
      </c>
      <c r="F477" s="231" t="s">
        <v>365</v>
      </c>
      <c r="G477" s="231" t="str">
        <f>IFERROR(VLOOKUP(F477,'2020 Budget'!$A$4:$B$462,2,FALSE),"N/F")</f>
        <v>16. Not Tracked</v>
      </c>
      <c r="H477" s="231">
        <v>-1627.13</v>
      </c>
      <c r="I477" s="238">
        <v>-9159.8000000000011</v>
      </c>
      <c r="J477" s="236" t="s">
        <v>360</v>
      </c>
      <c r="K477" s="207"/>
    </row>
    <row r="478" spans="1:11" hidden="1">
      <c r="A478" s="231" t="s">
        <v>30</v>
      </c>
      <c r="B478" s="231" t="str">
        <f>VLOOKUP(MONTH(C478),'Lookup Tables'!$A$3:$B$14,2,FALSE)</f>
        <v>Mar</v>
      </c>
      <c r="C478" s="233">
        <v>43910</v>
      </c>
      <c r="D478" s="231" t="s">
        <v>446</v>
      </c>
      <c r="E478" s="231" t="str">
        <f t="shared" si="12"/>
        <v>Mar Fee NSF</v>
      </c>
      <c r="F478" s="231" t="s">
        <v>94</v>
      </c>
      <c r="G478" s="231" t="str">
        <f>IFERROR(VLOOKUP(F478,'2020 Budget'!$A$4:$B$462,2,FALSE),"N/F")</f>
        <v>14. Undesired Expenses</v>
      </c>
      <c r="H478" s="231">
        <v>-35</v>
      </c>
      <c r="I478" s="238">
        <v>-7532.670000000001</v>
      </c>
      <c r="J478" s="236" t="s">
        <v>360</v>
      </c>
      <c r="K478" s="207"/>
    </row>
    <row r="479" spans="1:11" hidden="1">
      <c r="A479" s="231" t="s">
        <v>30</v>
      </c>
      <c r="B479" s="231" t="str">
        <f>VLOOKUP(MONTH(C479),'Lookup Tables'!$A$3:$B$14,2,FALSE)</f>
        <v>Mar</v>
      </c>
      <c r="C479" s="233">
        <v>43913</v>
      </c>
      <c r="D479" s="231" t="s">
        <v>447</v>
      </c>
      <c r="E479" s="231" t="str">
        <f t="shared" si="12"/>
        <v>Mar Credit Card Payment AADVANTAGE</v>
      </c>
      <c r="F479" s="231" t="s">
        <v>880</v>
      </c>
      <c r="G479" s="231" t="str">
        <f>IFERROR(VLOOKUP(F479,'2020 Budget'!$A$4:$B$462,2,FALSE),"N/F")</f>
        <v>02. Checking Account Expenses</v>
      </c>
      <c r="H479" s="231">
        <v>1627.13</v>
      </c>
      <c r="I479" s="238">
        <v>-7532.670000000001</v>
      </c>
      <c r="J479" s="236" t="s">
        <v>360</v>
      </c>
      <c r="K479" s="207"/>
    </row>
    <row r="480" spans="1:11" hidden="1">
      <c r="A480" s="231" t="s">
        <v>30</v>
      </c>
      <c r="B480" s="231" t="str">
        <f>VLOOKUP(MONTH(C480),'Lookup Tables'!$A$3:$B$14,2,FALSE)</f>
        <v>Mar</v>
      </c>
      <c r="C480" s="233">
        <v>43914</v>
      </c>
      <c r="D480" s="231" t="s">
        <v>448</v>
      </c>
      <c r="E480" s="231" t="str">
        <f t="shared" si="12"/>
        <v>Mar Charity Church Donation</v>
      </c>
      <c r="F480" s="231" t="s">
        <v>954</v>
      </c>
      <c r="G480" s="231" t="str">
        <f>IFERROR(VLOOKUP(F480,'2020 Budget'!$A$4:$B$462,2,FALSE),"N/F")</f>
        <v>04. Family Expenses</v>
      </c>
      <c r="H480" s="231">
        <v>-10</v>
      </c>
      <c r="I480" s="238">
        <v>-7542.670000000001</v>
      </c>
      <c r="J480" s="236" t="s">
        <v>360</v>
      </c>
      <c r="K480" s="207"/>
    </row>
    <row r="481" spans="1:11" hidden="1">
      <c r="A481" s="231" t="s">
        <v>30</v>
      </c>
      <c r="B481" s="231" t="str">
        <f>VLOOKUP(MONTH(C481),'Lookup Tables'!$A$3:$B$14,2,FALSE)</f>
        <v>Mar</v>
      </c>
      <c r="C481" s="233">
        <v>43914</v>
      </c>
      <c r="D481" s="231" t="s">
        <v>449</v>
      </c>
      <c r="E481" s="231" t="str">
        <f t="shared" si="12"/>
        <v>Mar Payment Other</v>
      </c>
      <c r="F481" s="231" t="s">
        <v>365</v>
      </c>
      <c r="G481" s="231" t="str">
        <f>IFERROR(VLOOKUP(F481,'2020 Budget'!$A$4:$B$462,2,FALSE),"N/F")</f>
        <v>16. Not Tracked</v>
      </c>
      <c r="H481" s="231">
        <v>-1000</v>
      </c>
      <c r="I481" s="238">
        <v>-8612.6700000000019</v>
      </c>
      <c r="J481" s="236" t="s">
        <v>360</v>
      </c>
      <c r="K481" s="207"/>
    </row>
    <row r="482" spans="1:11" hidden="1">
      <c r="A482" s="231" t="s">
        <v>30</v>
      </c>
      <c r="B482" s="231" t="str">
        <f>VLOOKUP(MONTH(C482),'Lookup Tables'!$A$3:$B$14,2,FALSE)</f>
        <v>Mar</v>
      </c>
      <c r="C482" s="233">
        <v>43914</v>
      </c>
      <c r="D482" s="231" t="s">
        <v>450</v>
      </c>
      <c r="E482" s="231" t="str">
        <f t="shared" si="12"/>
        <v>Mar Fee NSF</v>
      </c>
      <c r="F482" s="231" t="s">
        <v>94</v>
      </c>
      <c r="G482" s="231" t="str">
        <f>IFERROR(VLOOKUP(F482,'2020 Budget'!$A$4:$B$462,2,FALSE),"N/F")</f>
        <v>14. Undesired Expenses</v>
      </c>
      <c r="H482" s="231">
        <v>-35</v>
      </c>
      <c r="I482" s="238">
        <v>-7577.670000000001</v>
      </c>
      <c r="J482" s="236" t="s">
        <v>360</v>
      </c>
      <c r="K482" s="207"/>
    </row>
    <row r="483" spans="1:11" hidden="1">
      <c r="A483" s="231" t="s">
        <v>30</v>
      </c>
      <c r="B483" s="231" t="str">
        <f>VLOOKUP(MONTH(C483),'Lookup Tables'!$A$3:$B$14,2,FALSE)</f>
        <v>Mar</v>
      </c>
      <c r="C483" s="233">
        <v>43914</v>
      </c>
      <c r="D483" s="231" t="s">
        <v>451</v>
      </c>
      <c r="E483" s="231" t="str">
        <f t="shared" si="12"/>
        <v>Mar Fee NSF</v>
      </c>
      <c r="F483" s="231" t="s">
        <v>94</v>
      </c>
      <c r="G483" s="231" t="str">
        <f>IFERROR(VLOOKUP(F483,'2020 Budget'!$A$4:$B$462,2,FALSE),"N/F")</f>
        <v>14. Undesired Expenses</v>
      </c>
      <c r="H483" s="231">
        <v>-35</v>
      </c>
      <c r="I483" s="238">
        <v>-7612.670000000001</v>
      </c>
      <c r="J483" s="236" t="s">
        <v>360</v>
      </c>
      <c r="K483" s="207"/>
    </row>
    <row r="484" spans="1:11" hidden="1">
      <c r="A484" s="231" t="s">
        <v>30</v>
      </c>
      <c r="B484" s="231" t="str">
        <f>VLOOKUP(MONTH(C484),'Lookup Tables'!$A$3:$B$14,2,FALSE)</f>
        <v>Mar</v>
      </c>
      <c r="C484" s="233">
        <v>43915</v>
      </c>
      <c r="D484" s="231" t="s">
        <v>612</v>
      </c>
      <c r="E484" s="231" t="str">
        <f t="shared" si="12"/>
        <v>Mar Gifts Received</v>
      </c>
      <c r="F484" s="231" t="s">
        <v>84</v>
      </c>
      <c r="G484" s="231" t="str">
        <f>IFERROR(VLOOKUP(F484,'2020 Budget'!$A$4:$B$462,2,FALSE),"N/F")</f>
        <v>01. Checking Account Income</v>
      </c>
      <c r="H484" s="231">
        <v>20</v>
      </c>
      <c r="I484" s="238">
        <v>-7617.6700000000019</v>
      </c>
      <c r="J484" s="236" t="s">
        <v>360</v>
      </c>
      <c r="K484" s="207"/>
    </row>
    <row r="485" spans="1:11" hidden="1">
      <c r="A485" s="231" t="s">
        <v>30</v>
      </c>
      <c r="B485" s="231" t="str">
        <f>VLOOKUP(MONTH(C485),'Lookup Tables'!$A$3:$B$14,2,FALSE)</f>
        <v>Mar</v>
      </c>
      <c r="C485" s="233">
        <v>43915</v>
      </c>
      <c r="D485" s="231" t="s">
        <v>445</v>
      </c>
      <c r="E485" s="231" t="str">
        <f t="shared" si="12"/>
        <v>Mar Payment Other</v>
      </c>
      <c r="F485" s="231" t="s">
        <v>365</v>
      </c>
      <c r="G485" s="231" t="str">
        <f>IFERROR(VLOOKUP(F485,'2020 Budget'!$A$4:$B$462,2,FALSE),"N/F")</f>
        <v>16. Not Tracked</v>
      </c>
      <c r="H485" s="231">
        <v>-1627.13</v>
      </c>
      <c r="I485" s="238">
        <v>-9244.8000000000029</v>
      </c>
      <c r="J485" s="236" t="s">
        <v>360</v>
      </c>
      <c r="K485" s="207"/>
    </row>
    <row r="486" spans="1:11" hidden="1">
      <c r="A486" s="231" t="s">
        <v>30</v>
      </c>
      <c r="B486" s="231" t="str">
        <f>VLOOKUP(MONTH(C486),'Lookup Tables'!$A$3:$B$14,2,FALSE)</f>
        <v>Mar</v>
      </c>
      <c r="C486" s="233">
        <v>43915</v>
      </c>
      <c r="D486" s="231" t="s">
        <v>592</v>
      </c>
      <c r="E486" s="231" t="str">
        <f t="shared" si="12"/>
        <v>Mar Fee NSF</v>
      </c>
      <c r="F486" s="231" t="s">
        <v>94</v>
      </c>
      <c r="G486" s="231" t="str">
        <f>IFERROR(VLOOKUP(F486,'2020 Budget'!$A$4:$B$462,2,FALSE),"N/F")</f>
        <v>14. Undesired Expenses</v>
      </c>
      <c r="H486" s="231">
        <v>-35</v>
      </c>
      <c r="I486" s="238">
        <v>-7637.6700000000019</v>
      </c>
      <c r="J486" s="236" t="s">
        <v>360</v>
      </c>
      <c r="K486" s="207"/>
    </row>
    <row r="487" spans="1:11" hidden="1">
      <c r="A487" s="231" t="s">
        <v>30</v>
      </c>
      <c r="B487" s="231" t="str">
        <f>VLOOKUP(MONTH(C487),'Lookup Tables'!$A$3:$B$14,2,FALSE)</f>
        <v>Mar</v>
      </c>
      <c r="C487" s="233">
        <v>43915</v>
      </c>
      <c r="D487" s="231" t="s">
        <v>591</v>
      </c>
      <c r="E487" s="231" t="str">
        <f t="shared" si="12"/>
        <v>Mar Charity Church Donation</v>
      </c>
      <c r="F487" s="231" t="s">
        <v>954</v>
      </c>
      <c r="G487" s="231" t="str">
        <f>IFERROR(VLOOKUP(F487,'2020 Budget'!$A$4:$B$462,2,FALSE),"N/F")</f>
        <v>04. Family Expenses</v>
      </c>
      <c r="H487" s="231">
        <v>10</v>
      </c>
      <c r="I487" s="238">
        <v>-8602.6700000000019</v>
      </c>
      <c r="J487" s="236" t="s">
        <v>360</v>
      </c>
      <c r="K487" s="207"/>
    </row>
    <row r="488" spans="1:11" hidden="1">
      <c r="A488" s="231" t="s">
        <v>30</v>
      </c>
      <c r="B488" s="231" t="str">
        <f>VLOOKUP(MONTH(C488),'Lookup Tables'!$A$3:$B$14,2,FALSE)</f>
        <v>Mar</v>
      </c>
      <c r="C488" s="233">
        <v>43915</v>
      </c>
      <c r="D488" s="231" t="s">
        <v>590</v>
      </c>
      <c r="E488" s="231" t="str">
        <f t="shared" si="12"/>
        <v xml:space="preserve">Mar Credit Card Payment Costco Visa </v>
      </c>
      <c r="F488" s="238" t="s">
        <v>615</v>
      </c>
      <c r="G488" s="231" t="str">
        <f>IFERROR(VLOOKUP(F488,'2020 Budget'!$A$4:$B$462,2,FALSE),"N/F")</f>
        <v>02. Checking Account Expenses</v>
      </c>
      <c r="H488" s="231">
        <v>1000</v>
      </c>
      <c r="I488" s="238">
        <v>-7602.6700000000019</v>
      </c>
      <c r="J488" s="236" t="s">
        <v>360</v>
      </c>
      <c r="K488" s="207"/>
    </row>
    <row r="489" spans="1:11" hidden="1">
      <c r="A489" s="231" t="s">
        <v>30</v>
      </c>
      <c r="B489" s="231" t="str">
        <f>VLOOKUP(MONTH(C489),'Lookup Tables'!$A$3:$B$14,2,FALSE)</f>
        <v>Mar</v>
      </c>
      <c r="C489" s="233">
        <v>43916</v>
      </c>
      <c r="D489" s="231" t="s">
        <v>593</v>
      </c>
      <c r="E489" s="231" t="str">
        <f t="shared" si="12"/>
        <v>Mar Credit Card Payment AADVANTAGE</v>
      </c>
      <c r="F489" s="238" t="s">
        <v>880</v>
      </c>
      <c r="G489" s="231" t="str">
        <f>IFERROR(VLOOKUP(F489,'2020 Budget'!$A$4:$B$462,2,FALSE),"N/F")</f>
        <v>02. Checking Account Expenses</v>
      </c>
      <c r="H489" s="231">
        <v>1627.13</v>
      </c>
      <c r="I489" s="238">
        <v>-7617.6700000000028</v>
      </c>
      <c r="J489" s="236" t="s">
        <v>360</v>
      </c>
      <c r="K489" s="207"/>
    </row>
    <row r="490" spans="1:11" hidden="1">
      <c r="A490" s="231" t="s">
        <v>30</v>
      </c>
      <c r="B490" s="231" t="str">
        <f>VLOOKUP(MONTH(C490),'Lookup Tables'!$A$3:$B$14,2,FALSE)</f>
        <v>Mar</v>
      </c>
      <c r="C490" s="233">
        <v>43917</v>
      </c>
      <c r="D490" s="231" t="s">
        <v>594</v>
      </c>
      <c r="E490" s="231" t="str">
        <f t="shared" si="12"/>
        <v>Mar Payment Other</v>
      </c>
      <c r="F490" s="231" t="s">
        <v>365</v>
      </c>
      <c r="G490" s="231" t="str">
        <f>IFERROR(VLOOKUP(F490,'2020 Budget'!$A$4:$B$462,2,FALSE),"N/F")</f>
        <v>16. Not Tracked</v>
      </c>
      <c r="H490" s="231">
        <v>-1000</v>
      </c>
      <c r="I490" s="238">
        <v>-8652.6700000000019</v>
      </c>
      <c r="J490" s="236" t="s">
        <v>360</v>
      </c>
      <c r="K490" s="207"/>
    </row>
    <row r="491" spans="1:11" hidden="1">
      <c r="A491" s="231" t="s">
        <v>30</v>
      </c>
      <c r="B491" s="231" t="str">
        <f>VLOOKUP(MONTH(C491),'Lookup Tables'!$A$3:$B$14,2,FALSE)</f>
        <v>Mar</v>
      </c>
      <c r="C491" s="233">
        <v>43917</v>
      </c>
      <c r="D491" s="231" t="s">
        <v>595</v>
      </c>
      <c r="E491" s="231" t="str">
        <f t="shared" si="12"/>
        <v>Mar Fee NSF</v>
      </c>
      <c r="F491" s="231" t="s">
        <v>94</v>
      </c>
      <c r="G491" s="231" t="str">
        <f>IFERROR(VLOOKUP(F491,'2020 Budget'!$A$4:$B$462,2,FALSE),"N/F")</f>
        <v>14. Undesired Expenses</v>
      </c>
      <c r="H491" s="231">
        <v>-35</v>
      </c>
      <c r="I491" s="238">
        <v>-7652.6700000000028</v>
      </c>
      <c r="J491" s="236" t="s">
        <v>360</v>
      </c>
      <c r="K491" s="207"/>
    </row>
    <row r="492" spans="1:11" hidden="1">
      <c r="A492" s="231" t="s">
        <v>30</v>
      </c>
      <c r="B492" s="231" t="str">
        <f>VLOOKUP(MONTH(C492),'Lookup Tables'!$A$3:$B$14,2,FALSE)</f>
        <v>Mar</v>
      </c>
      <c r="C492" s="233">
        <v>43920</v>
      </c>
      <c r="D492" s="231" t="s">
        <v>597</v>
      </c>
      <c r="E492" s="231" t="str">
        <f t="shared" si="12"/>
        <v>Mar Misc Income</v>
      </c>
      <c r="F492" s="231" t="s">
        <v>358</v>
      </c>
      <c r="G492" s="231" t="str">
        <f>IFERROR(VLOOKUP(F492,'2020 Budget'!$A$4:$B$462,2,FALSE),"N/F")</f>
        <v>01. Checking Account Income</v>
      </c>
      <c r="H492" s="231">
        <v>50</v>
      </c>
      <c r="I492" s="238">
        <v>-7602.6700000000019</v>
      </c>
      <c r="J492" s="236" t="s">
        <v>360</v>
      </c>
      <c r="K492" s="207"/>
    </row>
    <row r="493" spans="1:11" hidden="1">
      <c r="A493" s="231" t="s">
        <v>30</v>
      </c>
      <c r="B493" s="231" t="str">
        <f>VLOOKUP(MONTH(C493),'Lookup Tables'!$A$3:$B$14,2,FALSE)</f>
        <v>Mar</v>
      </c>
      <c r="C493" s="233">
        <v>43920</v>
      </c>
      <c r="D493" s="231" t="s">
        <v>596</v>
      </c>
      <c r="E493" s="231" t="str">
        <f t="shared" si="12"/>
        <v xml:space="preserve">Mar Credit Card Payment Costco Visa </v>
      </c>
      <c r="F493" s="238" t="s">
        <v>615</v>
      </c>
      <c r="G493" s="231" t="str">
        <f>IFERROR(VLOOKUP(F493,'2020 Budget'!$A$4:$B$462,2,FALSE),"N/F")</f>
        <v>02. Checking Account Expenses</v>
      </c>
      <c r="H493" s="231">
        <v>1000</v>
      </c>
      <c r="I493" s="238">
        <v>-7652.6700000000019</v>
      </c>
      <c r="J493" s="236" t="s">
        <v>360</v>
      </c>
      <c r="K493" s="207"/>
    </row>
    <row r="494" spans="1:11" hidden="1">
      <c r="A494" s="231" t="s">
        <v>30</v>
      </c>
      <c r="B494" s="232" t="str">
        <f>VLOOKUP(MONTH(C494),'Lookup Tables'!$A$3:$B$14,2,FALSE)</f>
        <v>Apr</v>
      </c>
      <c r="C494" s="233">
        <v>43922</v>
      </c>
      <c r="D494" s="231" t="s">
        <v>80</v>
      </c>
      <c r="E494" s="231" t="str">
        <f t="shared" si="12"/>
        <v>Apr Checking Account Beginning Balance</v>
      </c>
      <c r="F494" s="234" t="s">
        <v>362</v>
      </c>
      <c r="G494" s="231" t="str">
        <f>IFERROR(VLOOKUP(F494,'2020 Budget'!$A$4:$B$462,2,FALSE),"N/F")</f>
        <v>01. Checking Account Income</v>
      </c>
      <c r="H494" s="235"/>
      <c r="I494" s="240">
        <v>-794.95</v>
      </c>
      <c r="J494" s="236" t="s">
        <v>360</v>
      </c>
      <c r="K494" s="207"/>
    </row>
    <row r="495" spans="1:11" hidden="1">
      <c r="A495" s="231" t="s">
        <v>30</v>
      </c>
      <c r="B495" s="231" t="str">
        <f>VLOOKUP(MONTH(C495),'Lookup Tables'!$A$3:$B$14,2,FALSE)</f>
        <v>Apr</v>
      </c>
      <c r="C495" s="233">
        <v>43922</v>
      </c>
      <c r="D495" s="231" t="s">
        <v>594</v>
      </c>
      <c r="E495" s="231" t="str">
        <f t="shared" si="12"/>
        <v>Apr Payment Other</v>
      </c>
      <c r="F495" s="231" t="s">
        <v>365</v>
      </c>
      <c r="G495" s="231" t="str">
        <f>IFERROR(VLOOKUP(F495,'2020 Budget'!$A$4:$B$462,2,FALSE),"N/F")</f>
        <v>16. Not Tracked</v>
      </c>
      <c r="H495" s="231">
        <v>-1000</v>
      </c>
      <c r="I495" s="238">
        <v>-1829.95</v>
      </c>
      <c r="J495" s="236" t="s">
        <v>360</v>
      </c>
      <c r="K495" s="207"/>
    </row>
    <row r="496" spans="1:11" hidden="1">
      <c r="A496" s="231" t="s">
        <v>30</v>
      </c>
      <c r="B496" s="231" t="str">
        <f>VLOOKUP(MONTH(C496),'Lookup Tables'!$A$3:$B$14,2,FALSE)</f>
        <v>Apr</v>
      </c>
      <c r="C496" s="233">
        <v>43922</v>
      </c>
      <c r="D496" s="231" t="s">
        <v>598</v>
      </c>
      <c r="E496" s="231" t="str">
        <f t="shared" si="12"/>
        <v>Apr Fee NSF</v>
      </c>
      <c r="F496" s="231" t="s">
        <v>94</v>
      </c>
      <c r="G496" s="231" t="str">
        <f>IFERROR(VLOOKUP(F496,'2020 Budget'!$A$4:$B$462,2,FALSE),"N/F")</f>
        <v>14. Undesired Expenses</v>
      </c>
      <c r="H496" s="231">
        <v>-35</v>
      </c>
      <c r="I496" s="238">
        <v>-829.95</v>
      </c>
      <c r="J496" s="236" t="s">
        <v>360</v>
      </c>
      <c r="K496" s="207"/>
    </row>
    <row r="497" spans="1:11" hidden="1">
      <c r="A497" s="231" t="s">
        <v>30</v>
      </c>
      <c r="B497" s="231" t="str">
        <f>VLOOKUP(MONTH(C497),'Lookup Tables'!$A$3:$B$14,2,FALSE)</f>
        <v>Apr</v>
      </c>
      <c r="C497" s="233">
        <v>43923</v>
      </c>
      <c r="D497" s="231" t="s">
        <v>599</v>
      </c>
      <c r="E497" s="231" t="str">
        <f t="shared" si="12"/>
        <v xml:space="preserve">Apr Credit Card Payment Costco Visa </v>
      </c>
      <c r="F497" s="238" t="s">
        <v>615</v>
      </c>
      <c r="G497" s="231" t="str">
        <f>IFERROR(VLOOKUP(F497,'2020 Budget'!$A$4:$B$462,2,FALSE),"N/F")</f>
        <v>02. Checking Account Expenses</v>
      </c>
      <c r="H497" s="231">
        <v>1000</v>
      </c>
      <c r="I497" s="238">
        <v>-829.95</v>
      </c>
      <c r="J497" s="236" t="s">
        <v>360</v>
      </c>
      <c r="K497" s="207"/>
    </row>
    <row r="498" spans="1:11" hidden="1">
      <c r="A498" s="231" t="s">
        <v>30</v>
      </c>
      <c r="B498" s="231" t="str">
        <f>VLOOKUP(MONTH(C498),'Lookup Tables'!$A$3:$B$14,2,FALSE)</f>
        <v>Apr</v>
      </c>
      <c r="C498" s="233">
        <v>43924</v>
      </c>
      <c r="D498" s="231" t="s">
        <v>600</v>
      </c>
      <c r="E498" s="231" t="str">
        <f t="shared" si="12"/>
        <v>Apr Mortgage + Property Taxes</v>
      </c>
      <c r="F498" s="231" t="s">
        <v>347</v>
      </c>
      <c r="G498" s="231" t="str">
        <f>IFERROR(VLOOKUP(F498,'2020 Budget'!$A$4:$B$462,2,FALSE),"N/F")</f>
        <v>02. Checking Account Expenses</v>
      </c>
      <c r="H498" s="231">
        <v>-1463</v>
      </c>
      <c r="I498" s="238">
        <v>-2062.6999999999998</v>
      </c>
      <c r="J498" s="236" t="s">
        <v>360</v>
      </c>
      <c r="K498" s="207"/>
    </row>
    <row r="499" spans="1:11" hidden="1">
      <c r="A499" s="231" t="s">
        <v>30</v>
      </c>
      <c r="B499" s="231" t="str">
        <f>VLOOKUP(MONTH(C499),'Lookup Tables'!$A$3:$B$14,2,FALSE)</f>
        <v>Apr</v>
      </c>
      <c r="C499" s="233">
        <v>43924</v>
      </c>
      <c r="D499" s="231" t="s">
        <v>601</v>
      </c>
      <c r="E499" s="231" t="str">
        <f t="shared" si="12"/>
        <v>Apr Fee NSF</v>
      </c>
      <c r="F499" s="231" t="s">
        <v>94</v>
      </c>
      <c r="G499" s="231" t="str">
        <f>IFERROR(VLOOKUP(F499,'2020 Budget'!$A$4:$B$462,2,FALSE),"N/F")</f>
        <v>14. Undesired Expenses</v>
      </c>
      <c r="H499" s="231">
        <v>-35</v>
      </c>
      <c r="I499" s="238">
        <v>-599.70000000000005</v>
      </c>
      <c r="J499" s="236" t="s">
        <v>360</v>
      </c>
      <c r="K499" s="207"/>
    </row>
    <row r="500" spans="1:11" hidden="1">
      <c r="A500" s="231" t="s">
        <v>30</v>
      </c>
      <c r="B500" s="231" t="str">
        <f>VLOOKUP(MONTH(C500),'Lookup Tables'!$A$3:$B$14,2,FALSE)</f>
        <v>Apr</v>
      </c>
      <c r="C500" s="233">
        <v>43924</v>
      </c>
      <c r="D500" s="231" t="s">
        <v>31</v>
      </c>
      <c r="E500" s="231" t="str">
        <f t="shared" si="12"/>
        <v>Apr Child support</v>
      </c>
      <c r="F500" s="231" t="s">
        <v>260</v>
      </c>
      <c r="G500" s="231" t="str">
        <f>IFERROR(VLOOKUP(F500,'2020 Budget'!$A$4:$B$462,2,FALSE),"N/F")</f>
        <v>04. Family Expenses</v>
      </c>
      <c r="H500" s="231">
        <v>265.25</v>
      </c>
      <c r="I500" s="238">
        <v>-564.70000000000005</v>
      </c>
      <c r="J500" s="236" t="s">
        <v>360</v>
      </c>
      <c r="K500" s="207"/>
    </row>
    <row r="501" spans="1:11" hidden="1">
      <c r="A501" s="231" t="s">
        <v>30</v>
      </c>
      <c r="B501" s="231" t="str">
        <f>VLOOKUP(MONTH(C501),'Lookup Tables'!$A$3:$B$14,2,FALSE)</f>
        <v>Apr</v>
      </c>
      <c r="C501" s="233">
        <v>43927</v>
      </c>
      <c r="D501" s="231" t="s">
        <v>602</v>
      </c>
      <c r="E501" s="231" t="str">
        <f t="shared" si="12"/>
        <v>Apr Mortgage + Property Taxes</v>
      </c>
      <c r="F501" s="238" t="s">
        <v>347</v>
      </c>
      <c r="G501" s="231" t="str">
        <f>IFERROR(VLOOKUP(F501,'2020 Budget'!$A$4:$B$462,2,FALSE),"N/F")</f>
        <v>02. Checking Account Expenses</v>
      </c>
      <c r="H501" s="231">
        <v>1463</v>
      </c>
      <c r="I501" s="238">
        <v>-599.69999999999982</v>
      </c>
      <c r="J501" s="236" t="s">
        <v>360</v>
      </c>
      <c r="K501" s="207"/>
    </row>
    <row r="502" spans="1:11" hidden="1">
      <c r="A502" s="231" t="s">
        <v>30</v>
      </c>
      <c r="B502" s="231" t="str">
        <f>VLOOKUP(MONTH(C502),'Lookup Tables'!$A$3:$B$14,2,FALSE)</f>
        <v>Apr</v>
      </c>
      <c r="C502" s="233">
        <v>43927</v>
      </c>
      <c r="D502" s="231" t="s">
        <v>603</v>
      </c>
      <c r="E502" s="231" t="str">
        <f t="shared" si="12"/>
        <v>Apr Retirement Funds</v>
      </c>
      <c r="F502" s="231" t="s">
        <v>10</v>
      </c>
      <c r="G502" s="231" t="str">
        <f>IFERROR(VLOOKUP(F502,'2020 Budget'!$A$4:$B$462,2,FALSE),"N/F")</f>
        <v>01. Checking Account Income</v>
      </c>
      <c r="H502" s="231">
        <v>5900</v>
      </c>
      <c r="I502" s="238">
        <v>5300.3</v>
      </c>
      <c r="J502" s="236" t="s">
        <v>360</v>
      </c>
      <c r="K502" s="207"/>
    </row>
    <row r="503" spans="1:11">
      <c r="A503" s="231" t="s">
        <v>30</v>
      </c>
      <c r="B503" s="231" t="str">
        <f>VLOOKUP(MONTH(C503),'Lookup Tables'!$A$3:$B$14,2,FALSE)</f>
        <v>Apr</v>
      </c>
      <c r="C503" s="233">
        <v>43928</v>
      </c>
      <c r="D503" s="231" t="s">
        <v>604</v>
      </c>
      <c r="E503" s="231" t="str">
        <f t="shared" si="12"/>
        <v>Apr Ford Fusion Auto Purchase</v>
      </c>
      <c r="F503" s="231" t="s">
        <v>150</v>
      </c>
      <c r="G503" s="231" t="str">
        <f>IFERROR(VLOOKUP(F503,'2020 Budget'!$A$4:$B$462,2,FALSE),"N/F")</f>
        <v>15.  Ford Fusion</v>
      </c>
      <c r="H503" s="231">
        <v>-100</v>
      </c>
      <c r="I503" s="238">
        <v>4147.5200000000004</v>
      </c>
      <c r="J503" s="236" t="s">
        <v>360</v>
      </c>
      <c r="K503" s="207"/>
    </row>
    <row r="504" spans="1:11" hidden="1">
      <c r="A504" s="231" t="s">
        <v>30</v>
      </c>
      <c r="B504" s="231" t="str">
        <f>VLOOKUP(MONTH(C504),'Lookup Tables'!$A$3:$B$14,2,FALSE)</f>
        <v>Apr</v>
      </c>
      <c r="C504" s="233">
        <v>43928</v>
      </c>
      <c r="D504" s="231" t="s">
        <v>605</v>
      </c>
      <c r="E504" s="231" t="str">
        <f t="shared" ref="E504:E567" si="13">B504&amp;" "&amp;F504</f>
        <v>Apr Mortgage + Property Taxes</v>
      </c>
      <c r="F504" s="231" t="s">
        <v>347</v>
      </c>
      <c r="G504" s="231" t="str">
        <f>IFERROR(VLOOKUP(F504,'2020 Budget'!$A$4:$B$462,2,FALSE),"N/F")</f>
        <v>02. Checking Account Expenses</v>
      </c>
      <c r="H504" s="231">
        <v>-1463</v>
      </c>
      <c r="I504" s="238">
        <v>2684.5200000000004</v>
      </c>
      <c r="J504" s="236" t="s">
        <v>360</v>
      </c>
      <c r="K504" s="207"/>
    </row>
    <row r="505" spans="1:11" hidden="1">
      <c r="A505" s="231" t="s">
        <v>30</v>
      </c>
      <c r="B505" s="231" t="str">
        <f>VLOOKUP(MONTH(C505),'Lookup Tables'!$A$3:$B$14,2,FALSE)</f>
        <v>Apr</v>
      </c>
      <c r="C505" s="233">
        <v>43928</v>
      </c>
      <c r="D505" s="231" t="s">
        <v>608</v>
      </c>
      <c r="E505" s="231" t="str">
        <f t="shared" si="13"/>
        <v xml:space="preserve">Apr Credit Card Payment Costco Visa </v>
      </c>
      <c r="F505" s="231" t="s">
        <v>615</v>
      </c>
      <c r="G505" s="231" t="str">
        <f>IFERROR(VLOOKUP(F505,'2020 Budget'!$A$4:$B$462,2,FALSE),"N/F")</f>
        <v>02. Checking Account Expenses</v>
      </c>
      <c r="H505" s="231">
        <v>-500</v>
      </c>
      <c r="I505" s="238">
        <v>4800.3</v>
      </c>
      <c r="J505" s="236" t="s">
        <v>360</v>
      </c>
      <c r="K505" s="207"/>
    </row>
    <row r="506" spans="1:11" hidden="1">
      <c r="A506" s="231" t="s">
        <v>30</v>
      </c>
      <c r="B506" s="231" t="str">
        <f>VLOOKUP(MONTH(C506),'Lookup Tables'!$A$3:$B$14,2,FALSE)</f>
        <v>Apr</v>
      </c>
      <c r="C506" s="233">
        <v>43928</v>
      </c>
      <c r="D506" s="231" t="s">
        <v>606</v>
      </c>
      <c r="E506" s="231" t="str">
        <f t="shared" si="13"/>
        <v>Apr Credit Card Payment Mom's Visa</v>
      </c>
      <c r="F506" s="231" t="s">
        <v>619</v>
      </c>
      <c r="G506" s="231" t="str">
        <f>IFERROR(VLOOKUP(F506,'2020 Budget'!$A$4:$B$462,2,FALSE),"N/F")</f>
        <v>02. Checking Account Expenses</v>
      </c>
      <c r="H506" s="231">
        <v>-552.78</v>
      </c>
      <c r="I506" s="238">
        <v>4247.5200000000004</v>
      </c>
      <c r="J506" s="236" t="s">
        <v>360</v>
      </c>
      <c r="K506" s="207"/>
    </row>
    <row r="507" spans="1:11" hidden="1">
      <c r="A507" s="231" t="s">
        <v>30</v>
      </c>
      <c r="B507" s="231" t="str">
        <f>VLOOKUP(MONTH(C507),'Lookup Tables'!$A$3:$B$14,2,FALSE)</f>
        <v>Apr</v>
      </c>
      <c r="C507" s="233">
        <v>43928</v>
      </c>
      <c r="D507" s="231" t="s">
        <v>607</v>
      </c>
      <c r="E507" s="231" t="str">
        <f t="shared" si="13"/>
        <v>Apr Payment Other</v>
      </c>
      <c r="F507" s="231" t="s">
        <v>365</v>
      </c>
      <c r="G507" s="231" t="str">
        <f>IFERROR(VLOOKUP(F507,'2020 Budget'!$A$4:$B$462,2,FALSE),"N/F")</f>
        <v>16. Not Tracked</v>
      </c>
      <c r="H507" s="231">
        <v>-500</v>
      </c>
      <c r="I507" s="238">
        <v>2184.5200000000004</v>
      </c>
      <c r="J507" s="236" t="s">
        <v>360</v>
      </c>
      <c r="K507" s="207"/>
    </row>
    <row r="508" spans="1:11" hidden="1">
      <c r="A508" s="231" t="s">
        <v>30</v>
      </c>
      <c r="B508" s="231" t="str">
        <f>VLOOKUP(MONTH(C508),'Lookup Tables'!$A$3:$B$14,2,FALSE)</f>
        <v>Apr</v>
      </c>
      <c r="C508" s="233">
        <v>43929</v>
      </c>
      <c r="D508" s="231" t="s">
        <v>609</v>
      </c>
      <c r="E508" s="231" t="str">
        <f t="shared" si="13"/>
        <v>Apr Credit Card Payment Marriott AMEX</v>
      </c>
      <c r="F508" s="231" t="s">
        <v>616</v>
      </c>
      <c r="G508" s="231" t="str">
        <f>IFERROR(VLOOKUP(F508,'2020 Budget'!$A$4:$B$462,2,FALSE),"N/F")</f>
        <v>02. Checking Account Expenses</v>
      </c>
      <c r="H508" s="231">
        <v>-500</v>
      </c>
      <c r="I508" s="238">
        <v>1684.5200000000004</v>
      </c>
      <c r="J508" s="236" t="s">
        <v>360</v>
      </c>
      <c r="K508" s="207"/>
    </row>
    <row r="509" spans="1:11" hidden="1">
      <c r="A509" s="231" t="s">
        <v>30</v>
      </c>
      <c r="B509" s="231" t="str">
        <f>VLOOKUP(MONTH(C509),'Lookup Tables'!$A$3:$B$14,2,FALSE)</f>
        <v>Apr</v>
      </c>
      <c r="C509" s="233">
        <v>43929</v>
      </c>
      <c r="D509" s="231" t="s">
        <v>610</v>
      </c>
      <c r="E509" s="231" t="str">
        <f t="shared" si="13"/>
        <v>Apr Payment Other</v>
      </c>
      <c r="F509" s="231" t="s">
        <v>365</v>
      </c>
      <c r="G509" s="231" t="str">
        <f>IFERROR(VLOOKUP(F509,'2020 Budget'!$A$4:$B$462,2,FALSE),"N/F")</f>
        <v>16. Not Tracked</v>
      </c>
      <c r="H509" s="231">
        <v>-50</v>
      </c>
      <c r="I509" s="238">
        <v>1634.5200000000004</v>
      </c>
      <c r="J509" s="236" t="s">
        <v>360</v>
      </c>
      <c r="K509" s="207"/>
    </row>
    <row r="510" spans="1:11" hidden="1">
      <c r="A510" s="231" t="s">
        <v>30</v>
      </c>
      <c r="B510" s="231" t="str">
        <f>VLOOKUP(MONTH(C510),'Lookup Tables'!$A$3:$B$14,2,FALSE)</f>
        <v>Apr</v>
      </c>
      <c r="C510" s="233">
        <v>43930</v>
      </c>
      <c r="D510" s="231" t="s">
        <v>611</v>
      </c>
      <c r="E510" s="231" t="str">
        <f t="shared" si="13"/>
        <v>Apr Merchandise Home</v>
      </c>
      <c r="F510" s="231" t="s">
        <v>19</v>
      </c>
      <c r="G510" s="231" t="str">
        <f>IFERROR(VLOOKUP(F510,'2020 Budget'!$A$4:$B$462,2,FALSE),"N/F")</f>
        <v>04. Household Expenses</v>
      </c>
      <c r="H510" s="231">
        <v>-460.08</v>
      </c>
      <c r="I510" s="238">
        <v>1174.4400000000005</v>
      </c>
      <c r="J510" s="236" t="s">
        <v>360</v>
      </c>
      <c r="K510" s="207"/>
    </row>
    <row r="511" spans="1:11" hidden="1">
      <c r="A511" s="235" t="s">
        <v>30</v>
      </c>
      <c r="B511" s="235" t="str">
        <f>VLOOKUP(MONTH(C511),'Lookup Tables'!$A$3:$B$14,2,FALSE)</f>
        <v>Apr</v>
      </c>
      <c r="C511" s="241">
        <v>43931</v>
      </c>
      <c r="D511" s="237" t="s">
        <v>608</v>
      </c>
      <c r="E511" s="237" t="str">
        <f t="shared" si="13"/>
        <v xml:space="preserve">Apr Credit Card Payment Costco Visa </v>
      </c>
      <c r="F511" s="231" t="s">
        <v>615</v>
      </c>
      <c r="G511" s="237" t="str">
        <f>IFERROR(VLOOKUP(F511,'2020 Budget'!$A$4:$B$462,2,FALSE),"N/F")</f>
        <v>02. Checking Account Expenses</v>
      </c>
      <c r="H511" s="237">
        <v>-452.66</v>
      </c>
      <c r="I511" s="238">
        <v>721.78000000000043</v>
      </c>
      <c r="J511" s="236" t="s">
        <v>360</v>
      </c>
      <c r="K511" s="207"/>
    </row>
    <row r="512" spans="1:11" hidden="1">
      <c r="A512" s="235" t="s">
        <v>30</v>
      </c>
      <c r="B512" s="235" t="str">
        <f>VLOOKUP(MONTH(C512),'Lookup Tables'!$A$3:$B$14,2,FALSE)</f>
        <v>Apr</v>
      </c>
      <c r="C512" s="241">
        <v>43931</v>
      </c>
      <c r="D512" s="237" t="s">
        <v>617</v>
      </c>
      <c r="E512" s="237" t="str">
        <f t="shared" si="13"/>
        <v>Apr Transfer Other</v>
      </c>
      <c r="F512" s="237" t="s">
        <v>364</v>
      </c>
      <c r="G512" s="237" t="str">
        <f>IFERROR(VLOOKUP(F512,'2020 Budget'!$A$4:$B$462,2,FALSE),"N/F")</f>
        <v>16. Not Tracked</v>
      </c>
      <c r="H512" s="237">
        <v>-60</v>
      </c>
      <c r="I512" s="238">
        <v>661.78000000000043</v>
      </c>
      <c r="J512" s="236" t="s">
        <v>360</v>
      </c>
      <c r="K512" s="207"/>
    </row>
    <row r="513" spans="1:11" hidden="1">
      <c r="A513" s="235" t="s">
        <v>30</v>
      </c>
      <c r="B513" s="235" t="str">
        <f>VLOOKUP(MONTH(C513),'Lookup Tables'!$A$3:$B$14,2,FALSE)</f>
        <v>Apr</v>
      </c>
      <c r="C513" s="241">
        <v>43934</v>
      </c>
      <c r="D513" s="237" t="s">
        <v>31</v>
      </c>
      <c r="E513" s="237" t="str">
        <f t="shared" si="13"/>
        <v>Apr Child support</v>
      </c>
      <c r="F513" s="231" t="s">
        <v>260</v>
      </c>
      <c r="G513" s="237" t="str">
        <f>IFERROR(VLOOKUP(F513,'2020 Budget'!$A$4:$B$462,2,FALSE),"N/F")</f>
        <v>04. Family Expenses</v>
      </c>
      <c r="H513" s="237">
        <v>22.75</v>
      </c>
      <c r="I513" s="238">
        <v>684.53000000000043</v>
      </c>
      <c r="J513" s="236" t="s">
        <v>360</v>
      </c>
      <c r="K513" s="207"/>
    </row>
    <row r="514" spans="1:11" hidden="1">
      <c r="A514" s="235" t="s">
        <v>30</v>
      </c>
      <c r="B514" s="235" t="str">
        <f>VLOOKUP(MONTH(C514),'Lookup Tables'!$A$3:$B$14,2,FALSE)</f>
        <v>Apr</v>
      </c>
      <c r="C514" s="241">
        <v>43935</v>
      </c>
      <c r="D514" s="237" t="s">
        <v>966</v>
      </c>
      <c r="E514" s="237" t="str">
        <f t="shared" si="13"/>
        <v>Apr Auto Fuel</v>
      </c>
      <c r="F514" s="231" t="s">
        <v>558</v>
      </c>
      <c r="G514" s="237" t="str">
        <f>IFERROR(VLOOKUP(F514,'2020 Budget'!$A$4:$B$462,2,FALSE),"N/F")</f>
        <v>05. Dodge Dart Auto Expenses</v>
      </c>
      <c r="H514" s="237">
        <v>-11.6</v>
      </c>
      <c r="I514" s="238">
        <v>672.9300000000004</v>
      </c>
      <c r="J514" s="236" t="s">
        <v>360</v>
      </c>
      <c r="K514" s="207"/>
    </row>
    <row r="515" spans="1:11" hidden="1">
      <c r="A515" s="235" t="s">
        <v>30</v>
      </c>
      <c r="B515" s="235" t="str">
        <f>VLOOKUP(MONTH(C515),'Lookup Tables'!$A$3:$B$14,2,FALSE)</f>
        <v>Apr</v>
      </c>
      <c r="C515" s="241">
        <v>43937</v>
      </c>
      <c r="D515" s="237" t="s">
        <v>287</v>
      </c>
      <c r="E515" s="237" t="str">
        <f t="shared" si="13"/>
        <v>Apr Fee Bank</v>
      </c>
      <c r="F515" s="231" t="s">
        <v>23</v>
      </c>
      <c r="G515" s="237" t="str">
        <f>IFERROR(VLOOKUP(F515,'2020 Budget'!$A$4:$B$462,2,FALSE),"N/F")</f>
        <v>14. Undesired Expense</v>
      </c>
      <c r="H515" s="237">
        <v>-25</v>
      </c>
      <c r="I515" s="238">
        <v>647.9300000000004</v>
      </c>
      <c r="J515" s="236" t="s">
        <v>360</v>
      </c>
      <c r="K515" s="207"/>
    </row>
    <row r="516" spans="1:11" hidden="1">
      <c r="A516" s="235" t="s">
        <v>30</v>
      </c>
      <c r="B516" s="235" t="str">
        <f>VLOOKUP(MONTH(C516),'Lookup Tables'!$A$3:$B$14,2,FALSE)</f>
        <v>Apr</v>
      </c>
      <c r="C516" s="242">
        <v>43949</v>
      </c>
      <c r="D516" s="238" t="s">
        <v>740</v>
      </c>
      <c r="E516" s="231" t="str">
        <f t="shared" si="13"/>
        <v>Apr Water Bill</v>
      </c>
      <c r="F516" s="231" t="s">
        <v>22</v>
      </c>
      <c r="G516" s="237" t="str">
        <f>IFERROR(VLOOKUP(F516,'2020 Budget'!$A$4:$B$462,2,FALSE),"N/F")</f>
        <v>05. Household Expenses</v>
      </c>
      <c r="H516" s="238">
        <v>-259.36</v>
      </c>
      <c r="I516" s="238">
        <v>388.57000000000039</v>
      </c>
      <c r="J516" s="236" t="s">
        <v>360</v>
      </c>
      <c r="K516" s="207"/>
    </row>
    <row r="517" spans="1:11" hidden="1">
      <c r="A517" s="235" t="s">
        <v>30</v>
      </c>
      <c r="B517" s="235" t="str">
        <f>VLOOKUP(MONTH(C517),'Lookup Tables'!$A$3:$B$14,2,FALSE)</f>
        <v>May</v>
      </c>
      <c r="C517" s="242">
        <v>43952</v>
      </c>
      <c r="D517" s="238" t="s">
        <v>964</v>
      </c>
      <c r="E517" s="231" t="str">
        <f t="shared" si="13"/>
        <v>May Checking Account Beginning Balance</v>
      </c>
      <c r="F517" s="234" t="s">
        <v>362</v>
      </c>
      <c r="G517" s="237" t="str">
        <f>IFERROR(VLOOKUP(F517,'2020 Budget'!$A$4:$B$462,2,FALSE),"N/F")</f>
        <v>01. Checking Account Income</v>
      </c>
      <c r="H517" s="238"/>
      <c r="I517" s="240">
        <v>388.57</v>
      </c>
      <c r="J517" s="236" t="s">
        <v>360</v>
      </c>
      <c r="K517" s="207"/>
    </row>
    <row r="518" spans="1:11" hidden="1">
      <c r="A518" s="235" t="s">
        <v>30</v>
      </c>
      <c r="B518" s="235" t="str">
        <f>VLOOKUP(MONTH(C518),'Lookup Tables'!$A$3:$B$14,2,FALSE)</f>
        <v>May</v>
      </c>
      <c r="C518" s="242">
        <v>43952</v>
      </c>
      <c r="D518" s="238" t="s">
        <v>964</v>
      </c>
      <c r="E518" s="231" t="str">
        <f t="shared" si="13"/>
        <v>May Checking Account Beginning Balance</v>
      </c>
      <c r="F518" s="234" t="s">
        <v>362</v>
      </c>
      <c r="G518" s="237" t="str">
        <f>IFERROR(VLOOKUP(F518,'2020 Budget'!$A$4:$B$462,2,FALSE),"N/F")</f>
        <v>01. Checking Account Income</v>
      </c>
      <c r="H518" s="238"/>
      <c r="I518" s="239">
        <v>9503.57</v>
      </c>
      <c r="J518" s="236" t="s">
        <v>360</v>
      </c>
      <c r="K518" s="207"/>
    </row>
    <row r="519" spans="1:11" hidden="1">
      <c r="A519" s="235" t="s">
        <v>30</v>
      </c>
      <c r="B519" s="235" t="str">
        <f>VLOOKUP(MONTH(C519),'Lookup Tables'!$A$3:$B$14,2,FALSE)</f>
        <v>May</v>
      </c>
      <c r="C519" s="242">
        <v>43955</v>
      </c>
      <c r="D519" s="238" t="s">
        <v>742</v>
      </c>
      <c r="E519" s="231" t="str">
        <f t="shared" si="13"/>
        <v>May Mortgage + Property Taxes</v>
      </c>
      <c r="F519" s="231" t="s">
        <v>347</v>
      </c>
      <c r="G519" s="237" t="str">
        <f>IFERROR(VLOOKUP(F519,'2020 Budget'!$A$4:$B$462,2,FALSE),"N/F")</f>
        <v>02. Checking Account Expenses</v>
      </c>
      <c r="H519" s="238">
        <v>-1463</v>
      </c>
      <c r="I519" s="238">
        <v>-1206.96</v>
      </c>
      <c r="J519" s="236" t="s">
        <v>360</v>
      </c>
      <c r="K519" s="207"/>
    </row>
    <row r="520" spans="1:11" hidden="1">
      <c r="A520" s="235" t="s">
        <v>30</v>
      </c>
      <c r="B520" s="235" t="str">
        <f>VLOOKUP(MONTH(C520),'Lookup Tables'!$A$3:$B$14,2,FALSE)</f>
        <v>May</v>
      </c>
      <c r="C520" s="242">
        <v>43955</v>
      </c>
      <c r="D520" s="238" t="s">
        <v>741</v>
      </c>
      <c r="E520" s="231" t="str">
        <f t="shared" si="13"/>
        <v>May Groceries</v>
      </c>
      <c r="F520" s="231" t="s">
        <v>11</v>
      </c>
      <c r="G520" s="237" t="str">
        <f>IFERROR(VLOOKUP(F520,'2020 Budget'!$A$4:$B$462,2,FALSE),"N/F")</f>
        <v>04. Family Expenses</v>
      </c>
      <c r="H520" s="238">
        <v>-97.53</v>
      </c>
      <c r="I520" s="238">
        <v>256.03999999999996</v>
      </c>
      <c r="J520" s="236" t="s">
        <v>360</v>
      </c>
      <c r="K520" s="207"/>
    </row>
    <row r="521" spans="1:11" hidden="1">
      <c r="A521" s="235" t="s">
        <v>30</v>
      </c>
      <c r="B521" s="235" t="str">
        <f>VLOOKUP(MONTH(C521),'Lookup Tables'!$A$3:$B$14,2,FALSE)</f>
        <v>May</v>
      </c>
      <c r="C521" s="242">
        <v>43955</v>
      </c>
      <c r="D521" s="238" t="s">
        <v>743</v>
      </c>
      <c r="E521" s="231" t="str">
        <f t="shared" si="13"/>
        <v>May Fee NSF</v>
      </c>
      <c r="F521" s="231" t="s">
        <v>94</v>
      </c>
      <c r="G521" s="237" t="str">
        <f>IFERROR(VLOOKUP(F521,'2020 Budget'!$A$4:$B$462,2,FALSE),"N/F")</f>
        <v>14. Undesired Expenses</v>
      </c>
      <c r="H521" s="238">
        <v>-35</v>
      </c>
      <c r="I521" s="238">
        <v>353.57</v>
      </c>
      <c r="J521" s="236" t="s">
        <v>360</v>
      </c>
      <c r="K521" s="207"/>
    </row>
    <row r="522" spans="1:11" hidden="1">
      <c r="A522" s="235" t="s">
        <v>30</v>
      </c>
      <c r="B522" s="235" t="str">
        <f>VLOOKUP(MONTH(C522),'Lookup Tables'!$A$3:$B$14,2,FALSE)</f>
        <v>May</v>
      </c>
      <c r="C522" s="242">
        <v>43956</v>
      </c>
      <c r="D522" s="238" t="s">
        <v>744</v>
      </c>
      <c r="E522" s="231" t="str">
        <f t="shared" si="13"/>
        <v>May Mortgage + Property Taxes</v>
      </c>
      <c r="F522" s="238" t="s">
        <v>347</v>
      </c>
      <c r="G522" s="237" t="str">
        <f>IFERROR(VLOOKUP(F522,'2020 Budget'!$A$4:$B$462,2,FALSE),"N/F")</f>
        <v>02. Checking Account Expenses</v>
      </c>
      <c r="H522" s="238">
        <v>1463</v>
      </c>
      <c r="I522" s="238">
        <v>544.04</v>
      </c>
      <c r="J522" s="236" t="s">
        <v>360</v>
      </c>
      <c r="K522" s="207"/>
    </row>
    <row r="523" spans="1:11" hidden="1">
      <c r="A523" s="235" t="s">
        <v>30</v>
      </c>
      <c r="B523" s="235" t="str">
        <f>VLOOKUP(MONTH(C523),'Lookup Tables'!$A$3:$B$14,2,FALSE)</f>
        <v>May</v>
      </c>
      <c r="C523" s="242">
        <v>43956</v>
      </c>
      <c r="D523" s="238" t="s">
        <v>31</v>
      </c>
      <c r="E523" s="231" t="str">
        <f t="shared" si="13"/>
        <v>May Child support</v>
      </c>
      <c r="F523" s="238" t="s">
        <v>260</v>
      </c>
      <c r="G523" s="237" t="str">
        <f>IFERROR(VLOOKUP(F523,'2020 Budget'!$A$4:$B$462,2,FALSE),"N/F")</f>
        <v>04. Family Expenses</v>
      </c>
      <c r="H523" s="238">
        <v>288</v>
      </c>
      <c r="I523" s="238">
        <v>-918.96</v>
      </c>
      <c r="J523" s="236" t="s">
        <v>360</v>
      </c>
      <c r="K523" s="207"/>
    </row>
    <row r="524" spans="1:11" hidden="1">
      <c r="A524" s="235" t="s">
        <v>30</v>
      </c>
      <c r="B524" s="235" t="str">
        <f>VLOOKUP(MONTH(C524),'Lookup Tables'!$A$3:$B$14,2,FALSE)</f>
        <v>May</v>
      </c>
      <c r="C524" s="242">
        <v>43957</v>
      </c>
      <c r="D524" s="238" t="s">
        <v>962</v>
      </c>
      <c r="E524" s="231" t="str">
        <f t="shared" si="13"/>
        <v>May Mortgage + Property Taxes</v>
      </c>
      <c r="F524" s="231" t="s">
        <v>347</v>
      </c>
      <c r="G524" s="237" t="str">
        <f>IFERROR(VLOOKUP(F524,'2020 Budget'!$A$4:$B$462,2,FALSE),"N/F")</f>
        <v>02. Checking Account Expenses</v>
      </c>
      <c r="H524" s="238">
        <v>-1463</v>
      </c>
      <c r="I524" s="238">
        <v>-953.96</v>
      </c>
      <c r="J524" s="236" t="s">
        <v>360</v>
      </c>
      <c r="K524" s="207"/>
    </row>
    <row r="525" spans="1:11" hidden="1">
      <c r="A525" s="235" t="s">
        <v>30</v>
      </c>
      <c r="B525" s="235" t="str">
        <f>VLOOKUP(MONTH(C525),'Lookup Tables'!$A$3:$B$14,2,FALSE)</f>
        <v>May</v>
      </c>
      <c r="C525" s="242">
        <v>43957</v>
      </c>
      <c r="D525" s="238" t="s">
        <v>745</v>
      </c>
      <c r="E525" s="231" t="str">
        <f t="shared" si="13"/>
        <v>May Fee NSF</v>
      </c>
      <c r="F525" s="231" t="s">
        <v>94</v>
      </c>
      <c r="G525" s="237" t="str">
        <f>IFERROR(VLOOKUP(F525,'2020 Budget'!$A$4:$B$462,2,FALSE),"N/F")</f>
        <v>14. Undesired Expenses</v>
      </c>
      <c r="H525" s="238">
        <v>-35</v>
      </c>
      <c r="I525" s="238">
        <v>509.03999999999996</v>
      </c>
      <c r="J525" s="236" t="s">
        <v>360</v>
      </c>
      <c r="K525" s="207"/>
    </row>
    <row r="526" spans="1:11" hidden="1">
      <c r="A526" s="235" t="s">
        <v>30</v>
      </c>
      <c r="B526" s="235" t="str">
        <f>VLOOKUP(MONTH(C526),'Lookup Tables'!$A$3:$B$14,2,FALSE)</f>
        <v>May</v>
      </c>
      <c r="C526" s="242">
        <v>43958</v>
      </c>
      <c r="D526" s="238" t="s">
        <v>746</v>
      </c>
      <c r="E526" s="231" t="str">
        <f t="shared" si="13"/>
        <v>May Mortgage + Property Taxes</v>
      </c>
      <c r="F526" s="238" t="s">
        <v>347</v>
      </c>
      <c r="G526" s="237" t="str">
        <f>IFERROR(VLOOKUP(F526,'2020 Budget'!$A$4:$B$462,2,FALSE),"N/F")</f>
        <v>02. Checking Account Expenses</v>
      </c>
      <c r="H526" s="238">
        <v>1463</v>
      </c>
      <c r="I526" s="238">
        <v>509.03999999999996</v>
      </c>
      <c r="J526" s="236" t="s">
        <v>360</v>
      </c>
      <c r="K526" s="207"/>
    </row>
    <row r="527" spans="1:11" hidden="1">
      <c r="A527" s="235" t="s">
        <v>30</v>
      </c>
      <c r="B527" s="235" t="str">
        <f>VLOOKUP(MONTH(C527),'Lookup Tables'!$A$3:$B$14,2,FALSE)</f>
        <v>May</v>
      </c>
      <c r="C527" s="242">
        <v>43962</v>
      </c>
      <c r="D527" s="238" t="s">
        <v>747</v>
      </c>
      <c r="E527" s="231" t="str">
        <f t="shared" si="13"/>
        <v>May Credit Card Payment Marriott AMEX</v>
      </c>
      <c r="F527" s="238" t="s">
        <v>616</v>
      </c>
      <c r="G527" s="237" t="str">
        <f>IFERROR(VLOOKUP(F527,'2020 Budget'!$A$4:$B$462,2,FALSE),"N/F")</f>
        <v>02. Checking Account Expenses</v>
      </c>
      <c r="H527" s="238">
        <v>-89.75</v>
      </c>
      <c r="I527" s="238">
        <v>469.28999999999996</v>
      </c>
      <c r="J527" s="236" t="s">
        <v>360</v>
      </c>
      <c r="K527" s="207"/>
    </row>
    <row r="528" spans="1:11" hidden="1">
      <c r="A528" s="235" t="s">
        <v>30</v>
      </c>
      <c r="B528" s="235" t="str">
        <f>VLOOKUP(MONTH(C528),'Lookup Tables'!$A$3:$B$14,2,FALSE)</f>
        <v>May</v>
      </c>
      <c r="C528" s="242">
        <v>43962</v>
      </c>
      <c r="D528" s="238" t="s">
        <v>959</v>
      </c>
      <c r="E528" s="231" t="str">
        <f t="shared" si="13"/>
        <v>May Charity Cash Donation</v>
      </c>
      <c r="F528" s="231" t="s">
        <v>953</v>
      </c>
      <c r="G528" s="237" t="str">
        <f>IFERROR(VLOOKUP(F528,'2020 Budget'!$A$4:$B$462,2,FALSE),"N/F")</f>
        <v>04. Family Expenses</v>
      </c>
      <c r="H528" s="238">
        <v>50</v>
      </c>
      <c r="I528" s="238">
        <v>559.04</v>
      </c>
      <c r="J528" s="236" t="s">
        <v>360</v>
      </c>
      <c r="K528" s="207"/>
    </row>
    <row r="529" spans="1:11">
      <c r="A529" s="235" t="s">
        <v>30</v>
      </c>
      <c r="B529" s="235" t="str">
        <f>VLOOKUP(MONTH(C529),'Lookup Tables'!$A$3:$B$14,2,FALSE)</f>
        <v>May</v>
      </c>
      <c r="C529" s="242">
        <v>43963</v>
      </c>
      <c r="D529" s="238" t="s">
        <v>749</v>
      </c>
      <c r="E529" s="231" t="str">
        <f t="shared" si="13"/>
        <v>May Ford Fusion Auto Purchase</v>
      </c>
      <c r="F529" s="238" t="s">
        <v>150</v>
      </c>
      <c r="G529" s="237" t="str">
        <f>IFERROR(VLOOKUP(F529,'2020 Budget'!$A$4:$B$462,2,FALSE),"N/F")</f>
        <v>15.  Ford Fusion</v>
      </c>
      <c r="H529" s="238">
        <v>-100</v>
      </c>
      <c r="I529" s="238">
        <v>369.28999999999996</v>
      </c>
      <c r="J529" s="236" t="s">
        <v>360</v>
      </c>
      <c r="K529" s="207"/>
    </row>
    <row r="530" spans="1:11" hidden="1">
      <c r="A530" s="235" t="s">
        <v>30</v>
      </c>
      <c r="B530" s="235" t="str">
        <f>VLOOKUP(MONTH(C530),'Lookup Tables'!$A$3:$B$14,2,FALSE)</f>
        <v>May</v>
      </c>
      <c r="C530" s="242">
        <v>43963</v>
      </c>
      <c r="D530" s="238" t="s">
        <v>748</v>
      </c>
      <c r="E530" s="231" t="str">
        <f t="shared" si="13"/>
        <v>May Groceries</v>
      </c>
      <c r="F530" s="231" t="s">
        <v>11</v>
      </c>
      <c r="G530" s="237" t="str">
        <f>IFERROR(VLOOKUP(F530,'2020 Budget'!$A$4:$B$462,2,FALSE),"N/F")</f>
        <v>04. Family Expenses</v>
      </c>
      <c r="H530" s="238">
        <v>-41.98</v>
      </c>
      <c r="I530" s="238">
        <v>327.30999999999995</v>
      </c>
      <c r="J530" s="236" t="s">
        <v>360</v>
      </c>
      <c r="K530" s="207"/>
    </row>
    <row r="531" spans="1:11" hidden="1">
      <c r="A531" s="235" t="s">
        <v>30</v>
      </c>
      <c r="B531" s="235" t="str">
        <f>VLOOKUP(MONTH(C531),'Lookup Tables'!$A$3:$B$14,2,FALSE)</f>
        <v>May</v>
      </c>
      <c r="C531" s="242">
        <v>43965</v>
      </c>
      <c r="D531" s="238" t="s">
        <v>287</v>
      </c>
      <c r="E531" s="231" t="str">
        <f t="shared" si="13"/>
        <v>May Fee Bank</v>
      </c>
      <c r="F531" s="238" t="s">
        <v>23</v>
      </c>
      <c r="G531" s="237" t="str">
        <f>IFERROR(VLOOKUP(F531,'2020 Budget'!$A$4:$B$462,2,FALSE),"N/F")</f>
        <v>14. Undesired Expense</v>
      </c>
      <c r="H531" s="238">
        <v>-25</v>
      </c>
      <c r="I531" s="238">
        <v>302.30999999999995</v>
      </c>
      <c r="J531" s="236" t="s">
        <v>360</v>
      </c>
      <c r="K531" s="207"/>
    </row>
    <row r="532" spans="1:11" hidden="1">
      <c r="A532" s="235" t="s">
        <v>30</v>
      </c>
      <c r="B532" s="235" t="str">
        <f>VLOOKUP(MONTH(C532),'Lookup Tables'!$A$3:$B$14,2,FALSE)</f>
        <v>May</v>
      </c>
      <c r="C532" s="242">
        <v>43969</v>
      </c>
      <c r="D532" s="238" t="s">
        <v>31</v>
      </c>
      <c r="E532" s="231" t="str">
        <f t="shared" si="13"/>
        <v>May Child support</v>
      </c>
      <c r="F532" s="238" t="s">
        <v>260</v>
      </c>
      <c r="G532" s="237" t="str">
        <f>IFERROR(VLOOKUP(F532,'2020 Budget'!$A$4:$B$462,2,FALSE),"N/F")</f>
        <v>04. Family Expenses</v>
      </c>
      <c r="H532" s="238">
        <v>134.02000000000001</v>
      </c>
      <c r="I532" s="238">
        <v>436.32999999999993</v>
      </c>
      <c r="J532" s="236" t="s">
        <v>360</v>
      </c>
      <c r="K532" s="207"/>
    </row>
    <row r="533" spans="1:11" hidden="1">
      <c r="A533" s="235" t="s">
        <v>30</v>
      </c>
      <c r="B533" s="235" t="str">
        <f>VLOOKUP(MONTH(C533),'Lookup Tables'!$A$3:$B$14,2,FALSE)</f>
        <v>May</v>
      </c>
      <c r="C533" s="242">
        <v>43973</v>
      </c>
      <c r="D533" s="238" t="s">
        <v>750</v>
      </c>
      <c r="E533" s="231" t="str">
        <f t="shared" si="13"/>
        <v>May Dining Fast Food</v>
      </c>
      <c r="F533" s="231" t="s">
        <v>85</v>
      </c>
      <c r="G533" s="237" t="str">
        <f>IFERROR(VLOOKUP(F533,'2020 Budget'!$A$4:$B$462,2,FALSE),"N/F")</f>
        <v>04. Family Expenses</v>
      </c>
      <c r="H533" s="238">
        <v>-7.41</v>
      </c>
      <c r="I533" s="238">
        <v>490.89999999999992</v>
      </c>
      <c r="J533" s="236" t="s">
        <v>360</v>
      </c>
      <c r="K533" s="207"/>
    </row>
    <row r="534" spans="1:11" hidden="1">
      <c r="A534" s="235" t="s">
        <v>30</v>
      </c>
      <c r="B534" s="235" t="str">
        <f>VLOOKUP(MONTH(C534),'Lookup Tables'!$A$3:$B$14,2,FALSE)</f>
        <v>May</v>
      </c>
      <c r="C534" s="242">
        <v>43973</v>
      </c>
      <c r="D534" s="238" t="s">
        <v>31</v>
      </c>
      <c r="E534" s="231" t="str">
        <f t="shared" si="13"/>
        <v>May Child support</v>
      </c>
      <c r="F534" s="238" t="s">
        <v>260</v>
      </c>
      <c r="G534" s="237" t="str">
        <f>IFERROR(VLOOKUP(F534,'2020 Budget'!$A$4:$B$462,2,FALSE),"N/F")</f>
        <v>04. Family Expenses</v>
      </c>
      <c r="H534" s="238">
        <v>61.98</v>
      </c>
      <c r="I534" s="238">
        <v>498.30999999999995</v>
      </c>
      <c r="J534" s="236" t="s">
        <v>360</v>
      </c>
      <c r="K534" s="207"/>
    </row>
    <row r="535" spans="1:11" hidden="1">
      <c r="A535" s="235" t="s">
        <v>30</v>
      </c>
      <c r="B535" s="235" t="str">
        <f>VLOOKUP(MONTH(C535),'Lookup Tables'!$A$3:$B$14,2,FALSE)</f>
        <v>May</v>
      </c>
      <c r="C535" s="242">
        <v>43977</v>
      </c>
      <c r="D535" s="238" t="s">
        <v>960</v>
      </c>
      <c r="E535" s="231" t="str">
        <f t="shared" si="13"/>
        <v>May Income Tax Refund</v>
      </c>
      <c r="F535" s="238" t="s">
        <v>587</v>
      </c>
      <c r="G535" s="237" t="str">
        <f>IFERROR(VLOOKUP(F535,'2020 Budget'!$A$4:$B$462,2,FALSE),"N/F")</f>
        <v>01. Checking Account Income</v>
      </c>
      <c r="H535" s="238">
        <v>1700</v>
      </c>
      <c r="I535" s="238">
        <v>1704.49</v>
      </c>
      <c r="J535" s="236" t="s">
        <v>360</v>
      </c>
      <c r="K535" s="207"/>
    </row>
    <row r="536" spans="1:11" hidden="1">
      <c r="A536" s="235" t="s">
        <v>30</v>
      </c>
      <c r="B536" s="235" t="str">
        <f>VLOOKUP(MONTH(C536),'Lookup Tables'!$A$3:$B$14,2,FALSE)</f>
        <v>May</v>
      </c>
      <c r="C536" s="242">
        <v>43977</v>
      </c>
      <c r="D536" s="238" t="s">
        <v>961</v>
      </c>
      <c r="E536" s="231" t="str">
        <f t="shared" si="13"/>
        <v xml:space="preserve">May Credit Card Payment Best Buy </v>
      </c>
      <c r="F536" s="238" t="s">
        <v>614</v>
      </c>
      <c r="G536" s="237" t="str">
        <f>IFERROR(VLOOKUP(F536,'2020 Budget'!$A$4:$B$462,2,FALSE),"N/F")</f>
        <v>02. Checking Account Expenses</v>
      </c>
      <c r="H536" s="238">
        <v>70</v>
      </c>
      <c r="I536" s="238">
        <v>4.4899999999999096</v>
      </c>
      <c r="J536" s="236" t="s">
        <v>360</v>
      </c>
      <c r="K536" s="207"/>
    </row>
    <row r="537" spans="1:11" hidden="1">
      <c r="A537" s="235" t="s">
        <v>30</v>
      </c>
      <c r="B537" s="235" t="str">
        <f>VLOOKUP(MONTH(C537),'Lookup Tables'!$A$3:$B$14,2,FALSE)</f>
        <v>May</v>
      </c>
      <c r="C537" s="242">
        <v>43977</v>
      </c>
      <c r="D537" s="238" t="s">
        <v>752</v>
      </c>
      <c r="E537" s="231" t="str">
        <f t="shared" si="13"/>
        <v>May Reimbursement Mom Expenses</v>
      </c>
      <c r="F537" s="231" t="s">
        <v>133</v>
      </c>
      <c r="G537" s="237" t="str">
        <f>IFERROR(VLOOKUP(F537,'2020 Budget'!$A$4:$B$462,2,FALSE),"N/F")</f>
        <v>10. Mom's Expenses</v>
      </c>
      <c r="H537" s="238">
        <v>35</v>
      </c>
      <c r="I537" s="238">
        <v>1739.49</v>
      </c>
      <c r="J537" s="236" t="s">
        <v>360</v>
      </c>
      <c r="K537" s="207"/>
    </row>
    <row r="538" spans="1:11" hidden="1">
      <c r="A538" s="235" t="s">
        <v>30</v>
      </c>
      <c r="B538" s="235" t="str">
        <f>VLOOKUP(MONTH(C538),'Lookup Tables'!$A$3:$B$14,2,FALSE)</f>
        <v>May</v>
      </c>
      <c r="C538" s="242">
        <v>43977</v>
      </c>
      <c r="D538" s="238" t="s">
        <v>755</v>
      </c>
      <c r="E538" s="231" t="str">
        <f t="shared" si="13"/>
        <v xml:space="preserve">May Credit Card Payment Costco Visa </v>
      </c>
      <c r="F538" s="231" t="s">
        <v>615</v>
      </c>
      <c r="G538" s="237" t="str">
        <f>IFERROR(VLOOKUP(F538,'2020 Budget'!$A$4:$B$462,2,FALSE),"N/F")</f>
        <v>02. Checking Account Expenses</v>
      </c>
      <c r="H538" s="243">
        <v>-490</v>
      </c>
      <c r="I538" s="238">
        <v>-2.2100000000000932</v>
      </c>
      <c r="J538" s="236" t="s">
        <v>360</v>
      </c>
      <c r="K538" s="207"/>
    </row>
    <row r="539" spans="1:11" hidden="1">
      <c r="A539" s="235" t="s">
        <v>30</v>
      </c>
      <c r="B539" s="235" t="str">
        <f>VLOOKUP(MONTH(C539),'Lookup Tables'!$A$3:$B$14,2,FALSE)</f>
        <v>May</v>
      </c>
      <c r="C539" s="242">
        <v>43977</v>
      </c>
      <c r="D539" s="238" t="s">
        <v>756</v>
      </c>
      <c r="E539" s="231" t="str">
        <f t="shared" si="13"/>
        <v xml:space="preserve">May Credit Card Payment Costco Visa </v>
      </c>
      <c r="F539" s="231" t="s">
        <v>615</v>
      </c>
      <c r="G539" s="237" t="str">
        <f>IFERROR(VLOOKUP(F539,'2020 Budget'!$A$4:$B$462,2,FALSE),"N/F")</f>
        <v>02. Checking Account Expenses</v>
      </c>
      <c r="H539" s="238">
        <v>-63.3</v>
      </c>
      <c r="I539" s="238">
        <v>-65.51000000000009</v>
      </c>
      <c r="J539" s="236" t="s">
        <v>360</v>
      </c>
      <c r="K539" s="207"/>
    </row>
    <row r="540" spans="1:11" hidden="1">
      <c r="A540" s="235" t="s">
        <v>30</v>
      </c>
      <c r="B540" s="235" t="str">
        <f>VLOOKUP(MONTH(C540),'Lookup Tables'!$A$3:$B$14,2,FALSE)</f>
        <v>May</v>
      </c>
      <c r="C540" s="242">
        <v>43977</v>
      </c>
      <c r="D540" s="238" t="s">
        <v>753</v>
      </c>
      <c r="E540" s="231" t="str">
        <f t="shared" si="13"/>
        <v>May Groceries</v>
      </c>
      <c r="F540" s="231" t="s">
        <v>11</v>
      </c>
      <c r="G540" s="237" t="str">
        <f>IFERROR(VLOOKUP(F540,'2020 Budget'!$A$4:$B$462,2,FALSE),"N/F")</f>
        <v>04. Family Expenses</v>
      </c>
      <c r="H540" s="238">
        <v>-42.99</v>
      </c>
      <c r="I540" s="238">
        <v>447.90999999999991</v>
      </c>
      <c r="J540" s="236" t="s">
        <v>360</v>
      </c>
      <c r="K540" s="207"/>
    </row>
    <row r="541" spans="1:11" hidden="1">
      <c r="A541" s="235" t="s">
        <v>30</v>
      </c>
      <c r="B541" s="235" t="str">
        <f>VLOOKUP(MONTH(C541),'Lookup Tables'!$A$3:$B$14,2,FALSE)</f>
        <v>May</v>
      </c>
      <c r="C541" s="242">
        <v>43977</v>
      </c>
      <c r="D541" s="238" t="s">
        <v>753</v>
      </c>
      <c r="E541" s="231" t="str">
        <f t="shared" si="13"/>
        <v>May Groceries</v>
      </c>
      <c r="F541" s="231" t="s">
        <v>11</v>
      </c>
      <c r="G541" s="237" t="str">
        <f>IFERROR(VLOOKUP(F541,'2020 Budget'!$A$4:$B$462,2,FALSE),"N/F")</f>
        <v>04. Family Expenses</v>
      </c>
      <c r="H541" s="238">
        <v>-3.29</v>
      </c>
      <c r="I541" s="238">
        <v>444.61999999999989</v>
      </c>
      <c r="J541" s="236" t="s">
        <v>360</v>
      </c>
      <c r="K541" s="207"/>
    </row>
    <row r="542" spans="1:11" hidden="1">
      <c r="A542" s="235" t="s">
        <v>30</v>
      </c>
      <c r="B542" s="235" t="str">
        <f>VLOOKUP(MONTH(C542),'Lookup Tables'!$A$3:$B$14,2,FALSE)</f>
        <v>May</v>
      </c>
      <c r="C542" s="242">
        <v>43977</v>
      </c>
      <c r="D542" s="238" t="s">
        <v>754</v>
      </c>
      <c r="E542" s="231" t="str">
        <f t="shared" si="13"/>
        <v>May Groceries</v>
      </c>
      <c r="F542" s="231" t="s">
        <v>11</v>
      </c>
      <c r="G542" s="237" t="str">
        <f>IFERROR(VLOOKUP(F542,'2020 Budget'!$A$4:$B$462,2,FALSE),"N/F")</f>
        <v>04. Family Expenses</v>
      </c>
      <c r="H542" s="238">
        <v>-20.83</v>
      </c>
      <c r="I542" s="238">
        <v>423.78999999999991</v>
      </c>
      <c r="J542" s="236" t="s">
        <v>360</v>
      </c>
      <c r="K542" s="207"/>
    </row>
    <row r="543" spans="1:11" hidden="1">
      <c r="A543" s="235" t="s">
        <v>30</v>
      </c>
      <c r="B543" s="235" t="str">
        <f>VLOOKUP(MONTH(C543),'Lookup Tables'!$A$3:$B$14,2,FALSE)</f>
        <v>May</v>
      </c>
      <c r="C543" s="242">
        <v>43977</v>
      </c>
      <c r="D543" s="238" t="s">
        <v>751</v>
      </c>
      <c r="E543" s="231" t="str">
        <f t="shared" si="13"/>
        <v>May BoA Acct Transfer From Savings</v>
      </c>
      <c r="F543" s="231" t="s">
        <v>631</v>
      </c>
      <c r="G543" s="237" t="str">
        <f>IFERROR(VLOOKUP(F543,'2020 Budget'!$A$4:$B$462,2,FALSE),"N/F")</f>
        <v>01. Checking Account Income</v>
      </c>
      <c r="H543" s="238">
        <v>64</v>
      </c>
      <c r="I543" s="238">
        <v>487.78999999999991</v>
      </c>
      <c r="J543" s="236" t="s">
        <v>360</v>
      </c>
      <c r="K543" s="207"/>
    </row>
    <row r="544" spans="1:11" hidden="1">
      <c r="A544" s="235" t="s">
        <v>30</v>
      </c>
      <c r="B544" s="235" t="str">
        <f>VLOOKUP(MONTH(C544),'Lookup Tables'!$A$3:$B$14,2,FALSE)</f>
        <v>May</v>
      </c>
      <c r="C544" s="242">
        <v>43978</v>
      </c>
      <c r="D544" s="238" t="s">
        <v>757</v>
      </c>
      <c r="E544" s="231" t="str">
        <f t="shared" si="13"/>
        <v>May Dining Fast Food</v>
      </c>
      <c r="F544" s="231" t="s">
        <v>85</v>
      </c>
      <c r="G544" s="237" t="str">
        <f>IFERROR(VLOOKUP(F544,'2020 Budget'!$A$4:$B$462,2,FALSE),"N/F")</f>
        <v>04. Family Expenses</v>
      </c>
      <c r="H544" s="238">
        <v>-5.4</v>
      </c>
      <c r="I544" s="238">
        <v>1734.09</v>
      </c>
      <c r="J544" s="236" t="s">
        <v>360</v>
      </c>
      <c r="K544" s="207"/>
    </row>
    <row r="545" spans="1:11" hidden="1">
      <c r="A545" s="235" t="s">
        <v>30</v>
      </c>
      <c r="B545" s="235" t="str">
        <f>VLOOKUP(MONTH(C545),'Lookup Tables'!$A$3:$B$14,2,FALSE)</f>
        <v>May</v>
      </c>
      <c r="C545" s="242">
        <v>43979</v>
      </c>
      <c r="D545" s="238" t="s">
        <v>759</v>
      </c>
      <c r="E545" s="231" t="str">
        <f t="shared" si="13"/>
        <v>May Merchandise Home</v>
      </c>
      <c r="F545" s="231" t="s">
        <v>19</v>
      </c>
      <c r="G545" s="237" t="str">
        <f>IFERROR(VLOOKUP(F545,'2020 Budget'!$A$4:$B$462,2,FALSE),"N/F")</f>
        <v>04. Household Expenses</v>
      </c>
      <c r="H545" s="238">
        <v>-13.76</v>
      </c>
      <c r="I545" s="238">
        <v>1711.04</v>
      </c>
      <c r="J545" s="236" t="s">
        <v>360</v>
      </c>
      <c r="K545" s="207"/>
    </row>
    <row r="546" spans="1:11" hidden="1">
      <c r="A546" s="235" t="s">
        <v>30</v>
      </c>
      <c r="B546" s="235" t="str">
        <f>VLOOKUP(MONTH(C546),'Lookup Tables'!$A$3:$B$14,2,FALSE)</f>
        <v>May</v>
      </c>
      <c r="C546" s="242">
        <v>43979</v>
      </c>
      <c r="D546" s="238" t="s">
        <v>758</v>
      </c>
      <c r="E546" s="231" t="str">
        <f t="shared" si="13"/>
        <v>May Groceries</v>
      </c>
      <c r="F546" s="231" t="s">
        <v>11</v>
      </c>
      <c r="G546" s="237" t="str">
        <f>IFERROR(VLOOKUP(F546,'2020 Budget'!$A$4:$B$462,2,FALSE),"N/F")</f>
        <v>04. Family Expenses</v>
      </c>
      <c r="H546" s="238">
        <v>-9.2899999999999991</v>
      </c>
      <c r="I546" s="238">
        <v>1724.8</v>
      </c>
      <c r="J546" s="236" t="s">
        <v>360</v>
      </c>
      <c r="K546" s="207"/>
    </row>
    <row r="547" spans="1:11" hidden="1">
      <c r="A547" s="235" t="s">
        <v>30</v>
      </c>
      <c r="B547" s="235" t="str">
        <f>VLOOKUP(MONTH(C547),'Lookup Tables'!$A$3:$B$14,2,FALSE)</f>
        <v>May</v>
      </c>
      <c r="C547" s="242">
        <v>43980</v>
      </c>
      <c r="D547" s="238" t="s">
        <v>763</v>
      </c>
      <c r="E547" s="231" t="str">
        <f t="shared" si="13"/>
        <v>May Dining Fast Food</v>
      </c>
      <c r="F547" s="238" t="s">
        <v>85</v>
      </c>
      <c r="G547" s="237" t="str">
        <f>IFERROR(VLOOKUP(F547,'2020 Budget'!$A$4:$B$462,2,FALSE),"N/F")</f>
        <v>04. Family Expenses</v>
      </c>
      <c r="H547" s="238">
        <v>-8.4700000000000006</v>
      </c>
      <c r="I547" s="238">
        <v>1502.29</v>
      </c>
      <c r="J547" s="236" t="s">
        <v>360</v>
      </c>
      <c r="K547" s="207"/>
    </row>
    <row r="548" spans="1:11" hidden="1">
      <c r="A548" s="235" t="s">
        <v>30</v>
      </c>
      <c r="B548" s="235" t="str">
        <f>VLOOKUP(MONTH(C548),'Lookup Tables'!$A$3:$B$14,2,FALSE)</f>
        <v>May</v>
      </c>
      <c r="C548" s="242">
        <v>43980</v>
      </c>
      <c r="D548" s="238" t="s">
        <v>761</v>
      </c>
      <c r="E548" s="231" t="str">
        <f t="shared" si="13"/>
        <v>May Recreation</v>
      </c>
      <c r="F548" s="238" t="s">
        <v>37</v>
      </c>
      <c r="G548" s="237" t="str">
        <f>IFERROR(VLOOKUP(F548,'2020 Budget'!$A$4:$B$462,2,FALSE),"N/F")</f>
        <v>04. Family Expenses</v>
      </c>
      <c r="H548" s="238">
        <v>-148.38</v>
      </c>
      <c r="I548" s="238">
        <v>1353.9099999999999</v>
      </c>
      <c r="J548" s="236" t="s">
        <v>360</v>
      </c>
      <c r="K548" s="207"/>
    </row>
    <row r="549" spans="1:11" hidden="1">
      <c r="A549" s="235" t="s">
        <v>30</v>
      </c>
      <c r="B549" s="235" t="str">
        <f>VLOOKUP(MONTH(C549),'Lookup Tables'!$A$3:$B$14,2,FALSE)</f>
        <v>May</v>
      </c>
      <c r="C549" s="242">
        <v>43980</v>
      </c>
      <c r="D549" s="238" t="s">
        <v>760</v>
      </c>
      <c r="E549" s="231" t="str">
        <f t="shared" si="13"/>
        <v>May Clothing</v>
      </c>
      <c r="F549" s="231" t="s">
        <v>17</v>
      </c>
      <c r="G549" s="237" t="str">
        <f>IFERROR(VLOOKUP(F549,'2020 Budget'!$A$4:$B$462,2,FALSE),"N/F")</f>
        <v>04. Family Expenses</v>
      </c>
      <c r="H549" s="238">
        <v>-200.28</v>
      </c>
      <c r="I549" s="238">
        <v>1510.76</v>
      </c>
      <c r="J549" s="236" t="s">
        <v>360</v>
      </c>
      <c r="K549" s="207"/>
    </row>
    <row r="550" spans="1:11" hidden="1">
      <c r="A550" s="235" t="s">
        <v>30</v>
      </c>
      <c r="B550" s="235" t="str">
        <f>VLOOKUP(MONTH(C550),'Lookup Tables'!$A$3:$B$14,2,FALSE)</f>
        <v>May</v>
      </c>
      <c r="C550" s="242">
        <v>43980</v>
      </c>
      <c r="D550" s="238" t="s">
        <v>762</v>
      </c>
      <c r="E550" s="231" t="str">
        <f t="shared" si="13"/>
        <v>May Service Internet Cable TV</v>
      </c>
      <c r="F550" s="231" t="s">
        <v>15</v>
      </c>
      <c r="G550" s="237" t="str">
        <f>IFERROR(VLOOKUP(F550,'2020 Budget'!$A$4:$B$462,2,FALSE),"N/F")</f>
        <v>09. Internet TV Entertainment Electronics</v>
      </c>
      <c r="H550" s="238">
        <v>-12.99</v>
      </c>
      <c r="I550" s="238">
        <v>9503.57</v>
      </c>
      <c r="J550" s="236" t="s">
        <v>360</v>
      </c>
      <c r="K550" s="207"/>
    </row>
    <row r="551" spans="1:11" hidden="1">
      <c r="A551" s="235" t="s">
        <v>30</v>
      </c>
      <c r="B551" s="235" t="str">
        <f>VLOOKUP(MONTH(C551),'Lookup Tables'!$A$3:$B$14,2,FALSE)</f>
        <v>May</v>
      </c>
      <c r="C551" s="242">
        <v>43980</v>
      </c>
      <c r="D551" s="238" t="s">
        <v>603</v>
      </c>
      <c r="E551" s="231" t="str">
        <f t="shared" si="13"/>
        <v>May Retirement Funds</v>
      </c>
      <c r="F551" s="238" t="s">
        <v>10</v>
      </c>
      <c r="G551" s="237" t="str">
        <f>IFERROR(VLOOKUP(F551,'2020 Budget'!$A$4:$B$462,2,FALSE),"N/F")</f>
        <v>01. Checking Account Income</v>
      </c>
      <c r="H551" s="238">
        <v>5162.5</v>
      </c>
      <c r="I551" s="238">
        <v>6516.41</v>
      </c>
      <c r="J551" s="236" t="s">
        <v>360</v>
      </c>
      <c r="K551" s="207"/>
    </row>
    <row r="552" spans="1:11" hidden="1">
      <c r="A552" s="235" t="s">
        <v>30</v>
      </c>
      <c r="B552" s="235" t="str">
        <f>VLOOKUP(MONTH(C552),'Lookup Tables'!$A$3:$B$14,2,FALSE)</f>
        <v>May</v>
      </c>
      <c r="C552" s="242">
        <v>43980</v>
      </c>
      <c r="D552" s="238" t="s">
        <v>603</v>
      </c>
      <c r="E552" s="231" t="str">
        <f t="shared" si="13"/>
        <v>May Retirement Funds</v>
      </c>
      <c r="F552" s="238" t="s">
        <v>10</v>
      </c>
      <c r="G552" s="237" t="str">
        <f>IFERROR(VLOOKUP(F552,'2020 Budget'!$A$4:$B$462,2,FALSE),"N/F")</f>
        <v>01. Checking Account Income</v>
      </c>
      <c r="H552" s="238">
        <v>3000.15</v>
      </c>
      <c r="I552" s="238">
        <v>9516.56</v>
      </c>
      <c r="J552" s="236" t="s">
        <v>360</v>
      </c>
      <c r="K552" s="207"/>
    </row>
    <row r="553" spans="1:11" hidden="1">
      <c r="A553" s="235" t="s">
        <v>30</v>
      </c>
      <c r="B553" s="235" t="str">
        <f>VLOOKUP(MONTH(C553),'Lookup Tables'!$A$3:$B$14,2,FALSE)</f>
        <v>Jun</v>
      </c>
      <c r="C553" s="242">
        <v>43983</v>
      </c>
      <c r="D553" s="238" t="s">
        <v>958</v>
      </c>
      <c r="E553" s="231" t="str">
        <f t="shared" si="13"/>
        <v>Jun Recreation</v>
      </c>
      <c r="F553" s="238" t="s">
        <v>37</v>
      </c>
      <c r="G553" s="237" t="str">
        <f>IFERROR(VLOOKUP(F553,'2020 Budget'!$A$4:$B$462,2,FALSE),"N/F")</f>
        <v>04. Family Expenses</v>
      </c>
      <c r="H553" s="238">
        <v>-15.89</v>
      </c>
      <c r="I553" s="238">
        <v>9492.7400000000016</v>
      </c>
      <c r="J553" s="236" t="s">
        <v>360</v>
      </c>
      <c r="K553" s="207"/>
    </row>
    <row r="554" spans="1:11" hidden="1">
      <c r="A554" s="235" t="s">
        <v>30</v>
      </c>
      <c r="B554" s="235" t="str">
        <f>VLOOKUP(MONTH(C554),'Lookup Tables'!$A$3:$B$14,2,FALSE)</f>
        <v>Jun</v>
      </c>
      <c r="C554" s="242">
        <v>43983</v>
      </c>
      <c r="D554" s="238" t="s">
        <v>771</v>
      </c>
      <c r="E554" s="231" t="str">
        <f t="shared" si="13"/>
        <v>Jun Service Home Maintenance/Improvement</v>
      </c>
      <c r="F554" s="231" t="s">
        <v>944</v>
      </c>
      <c r="G554" s="237" t="str">
        <f>IFERROR(VLOOKUP(F554,'2020 Budget'!$A$4:$B$462,2,FALSE),"N/F")</f>
        <v>04. Household Expenses</v>
      </c>
      <c r="H554" s="238">
        <v>-0.1</v>
      </c>
      <c r="I554" s="238">
        <v>9492.6400000000012</v>
      </c>
      <c r="J554" s="236" t="s">
        <v>360</v>
      </c>
      <c r="K554" s="207"/>
    </row>
    <row r="555" spans="1:11" hidden="1">
      <c r="A555" s="235" t="s">
        <v>30</v>
      </c>
      <c r="B555" s="235" t="str">
        <f>VLOOKUP(MONTH(C555),'Lookup Tables'!$A$3:$B$14,2,FALSE)</f>
        <v>Jun</v>
      </c>
      <c r="C555" s="242">
        <v>43983</v>
      </c>
      <c r="D555" s="238" t="s">
        <v>767</v>
      </c>
      <c r="E555" s="231" t="str">
        <f t="shared" si="13"/>
        <v>Jun Service Home Maintenance/Improvement</v>
      </c>
      <c r="F555" s="231" t="s">
        <v>944</v>
      </c>
      <c r="G555" s="237" t="str">
        <f>IFERROR(VLOOKUP(F555,'2020 Budget'!$A$4:$B$462,2,FALSE),"N/F")</f>
        <v>04. Household Expenses</v>
      </c>
      <c r="H555" s="238">
        <v>-0.1</v>
      </c>
      <c r="I555" s="238">
        <v>9492.5400000000009</v>
      </c>
      <c r="J555" s="236" t="s">
        <v>360</v>
      </c>
      <c r="K555" s="207"/>
    </row>
    <row r="556" spans="1:11" hidden="1">
      <c r="A556" s="235" t="s">
        <v>30</v>
      </c>
      <c r="B556" s="235" t="str">
        <f>VLOOKUP(MONTH(C556),'Lookup Tables'!$A$3:$B$14,2,FALSE)</f>
        <v>Jun</v>
      </c>
      <c r="C556" s="242">
        <v>43983</v>
      </c>
      <c r="D556" s="238" t="s">
        <v>770</v>
      </c>
      <c r="E556" s="231" t="str">
        <f t="shared" si="13"/>
        <v>Jun Service Home Maintenance/Improvement</v>
      </c>
      <c r="F556" s="231" t="s">
        <v>944</v>
      </c>
      <c r="G556" s="237" t="str">
        <f>IFERROR(VLOOKUP(F556,'2020 Budget'!$A$4:$B$462,2,FALSE),"N/F")</f>
        <v>04. Household Expenses</v>
      </c>
      <c r="H556" s="238">
        <v>-0.1</v>
      </c>
      <c r="I556" s="238">
        <v>9492.44</v>
      </c>
      <c r="J556" s="236" t="s">
        <v>360</v>
      </c>
      <c r="K556" s="207"/>
    </row>
    <row r="557" spans="1:11" hidden="1">
      <c r="A557" s="235" t="s">
        <v>30</v>
      </c>
      <c r="B557" s="235" t="str">
        <f>VLOOKUP(MONTH(C557),'Lookup Tables'!$A$3:$B$14,2,FALSE)</f>
        <v>Jun</v>
      </c>
      <c r="C557" s="242">
        <v>43983</v>
      </c>
      <c r="D557" s="238" t="s">
        <v>769</v>
      </c>
      <c r="E557" s="231" t="str">
        <f t="shared" si="13"/>
        <v>Jun Service Home Maintenance/Improvement</v>
      </c>
      <c r="F557" s="231" t="s">
        <v>944</v>
      </c>
      <c r="G557" s="237" t="str">
        <f>IFERROR(VLOOKUP(F557,'2020 Budget'!$A$4:$B$462,2,FALSE),"N/F")</f>
        <v>04. Household Expenses</v>
      </c>
      <c r="H557" s="238">
        <v>-0.1</v>
      </c>
      <c r="I557" s="238">
        <v>9492.34</v>
      </c>
      <c r="J557" s="236" t="s">
        <v>360</v>
      </c>
      <c r="K557" s="207"/>
    </row>
    <row r="558" spans="1:11" hidden="1">
      <c r="A558" s="235" t="s">
        <v>30</v>
      </c>
      <c r="B558" s="235" t="str">
        <f>VLOOKUP(MONTH(C558),'Lookup Tables'!$A$3:$B$14,2,FALSE)</f>
        <v>Jun</v>
      </c>
      <c r="C558" s="242">
        <v>43983</v>
      </c>
      <c r="D558" s="238" t="s">
        <v>768</v>
      </c>
      <c r="E558" s="231" t="str">
        <f t="shared" si="13"/>
        <v>Jun Service Home Maintenance/Improvement</v>
      </c>
      <c r="F558" s="231" t="s">
        <v>944</v>
      </c>
      <c r="G558" s="237" t="str">
        <f>IFERROR(VLOOKUP(F558,'2020 Budget'!$A$4:$B$462,2,FALSE),"N/F")</f>
        <v>04. Household Expenses</v>
      </c>
      <c r="H558" s="238">
        <v>-0.1</v>
      </c>
      <c r="I558" s="238">
        <v>9492.24</v>
      </c>
      <c r="J558" s="236" t="s">
        <v>360</v>
      </c>
      <c r="K558" s="207"/>
    </row>
    <row r="559" spans="1:11" hidden="1">
      <c r="A559" s="235" t="s">
        <v>30</v>
      </c>
      <c r="B559" s="235" t="str">
        <f>VLOOKUP(MONTH(C559),'Lookup Tables'!$A$3:$B$14,2,FALSE)</f>
        <v>Jun</v>
      </c>
      <c r="C559" s="242">
        <v>43983</v>
      </c>
      <c r="D559" s="238" t="s">
        <v>766</v>
      </c>
      <c r="E559" s="231" t="str">
        <f t="shared" si="13"/>
        <v>Jun Service Home Maintenance/Improvement</v>
      </c>
      <c r="F559" s="231" t="s">
        <v>944</v>
      </c>
      <c r="G559" s="237" t="str">
        <f>IFERROR(VLOOKUP(F559,'2020 Budget'!$A$4:$B$462,2,FALSE),"N/F")</f>
        <v>04. Household Expenses</v>
      </c>
      <c r="H559" s="238">
        <v>-4.5</v>
      </c>
      <c r="I559" s="238">
        <v>9487.74</v>
      </c>
      <c r="J559" s="236" t="s">
        <v>360</v>
      </c>
      <c r="K559" s="207"/>
    </row>
    <row r="560" spans="1:11" hidden="1">
      <c r="A560" s="235" t="s">
        <v>30</v>
      </c>
      <c r="B560" s="235" t="str">
        <f>VLOOKUP(MONTH(C560),'Lookup Tables'!$A$3:$B$14,2,FALSE)</f>
        <v>Jun</v>
      </c>
      <c r="C560" s="242">
        <v>43983</v>
      </c>
      <c r="D560" s="238" t="s">
        <v>772</v>
      </c>
      <c r="E560" s="231" t="str">
        <f t="shared" si="13"/>
        <v>Jun Groceries</v>
      </c>
      <c r="F560" s="231" t="s">
        <v>11</v>
      </c>
      <c r="G560" s="237" t="str">
        <f>IFERROR(VLOOKUP(F560,'2020 Budget'!$A$4:$B$462,2,FALSE),"N/F")</f>
        <v>04. Family Expenses</v>
      </c>
      <c r="H560" s="238">
        <v>-102.08</v>
      </c>
      <c r="I560" s="238">
        <v>9401.49</v>
      </c>
      <c r="J560" s="236" t="s">
        <v>360</v>
      </c>
      <c r="K560" s="207"/>
    </row>
    <row r="561" spans="1:11" hidden="1">
      <c r="A561" s="235" t="s">
        <v>30</v>
      </c>
      <c r="B561" s="235" t="str">
        <f>VLOOKUP(MONTH(C561),'Lookup Tables'!$A$3:$B$14,2,FALSE)</f>
        <v>Jun</v>
      </c>
      <c r="C561" s="242">
        <v>43983</v>
      </c>
      <c r="D561" s="238" t="s">
        <v>765</v>
      </c>
      <c r="E561" s="231" t="str">
        <f t="shared" si="13"/>
        <v>Jun Dining Fast Food</v>
      </c>
      <c r="F561" s="231" t="s">
        <v>85</v>
      </c>
      <c r="G561" s="237" t="str">
        <f>IFERROR(VLOOKUP(F561,'2020 Budget'!$A$4:$B$462,2,FALSE),"N/F")</f>
        <v>04. Family Expenses</v>
      </c>
      <c r="H561" s="238">
        <v>-6.74</v>
      </c>
      <c r="I561" s="238">
        <v>9595.0300000000007</v>
      </c>
      <c r="J561" s="236" t="s">
        <v>360</v>
      </c>
      <c r="K561" s="207"/>
    </row>
    <row r="562" spans="1:11" hidden="1">
      <c r="A562" s="235" t="s">
        <v>30</v>
      </c>
      <c r="B562" s="235" t="str">
        <f>VLOOKUP(MONTH(C562),'Lookup Tables'!$A$3:$B$14,2,FALSE)</f>
        <v>Jun</v>
      </c>
      <c r="C562" s="242">
        <v>43983</v>
      </c>
      <c r="D562" s="238" t="s">
        <v>764</v>
      </c>
      <c r="E562" s="231" t="str">
        <f t="shared" si="13"/>
        <v>Jun Clothing</v>
      </c>
      <c r="F562" s="231" t="s">
        <v>17</v>
      </c>
      <c r="G562" s="237" t="str">
        <f>IFERROR(VLOOKUP(F562,'2020 Budget'!$A$4:$B$462,2,FALSE),"N/F")</f>
        <v>04. Family Expenses</v>
      </c>
      <c r="H562" s="238">
        <v>200.28</v>
      </c>
      <c r="I562" s="238">
        <v>9601.77</v>
      </c>
      <c r="J562" s="236" t="s">
        <v>360</v>
      </c>
      <c r="K562" s="207"/>
    </row>
    <row r="563" spans="1:11" hidden="1">
      <c r="A563" s="235" t="s">
        <v>30</v>
      </c>
      <c r="B563" s="235" t="str">
        <f>VLOOKUP(MONTH(C563),'Lookup Tables'!$A$3:$B$14,2,FALSE)</f>
        <v>Jun</v>
      </c>
      <c r="C563" s="242">
        <v>43983</v>
      </c>
      <c r="D563" s="238" t="s">
        <v>773</v>
      </c>
      <c r="E563" s="231" t="str">
        <f t="shared" si="13"/>
        <v>Jun Groceries</v>
      </c>
      <c r="F563" s="238" t="s">
        <v>11</v>
      </c>
      <c r="G563" s="237" t="str">
        <f>IFERROR(VLOOKUP(F563,'2020 Budget'!$A$4:$B$462,2,FALSE),"N/F")</f>
        <v>04. Family Expenses</v>
      </c>
      <c r="H563" s="238">
        <v>-86.4</v>
      </c>
      <c r="I563" s="238">
        <v>9508.630000000001</v>
      </c>
      <c r="J563" s="236" t="s">
        <v>360</v>
      </c>
      <c r="K563" s="207"/>
    </row>
    <row r="564" spans="1:11" hidden="1">
      <c r="A564" s="235" t="s">
        <v>30</v>
      </c>
      <c r="B564" s="235" t="str">
        <f>VLOOKUP(MONTH(C564),'Lookup Tables'!$A$3:$B$14,2,FALSE)</f>
        <v>Jun</v>
      </c>
      <c r="C564" s="242">
        <v>43984</v>
      </c>
      <c r="D564" s="238" t="s">
        <v>776</v>
      </c>
      <c r="E564" s="231" t="str">
        <f t="shared" si="13"/>
        <v>Jun Credit Card Payment Marriott AMEX</v>
      </c>
      <c r="F564" s="238" t="s">
        <v>616</v>
      </c>
      <c r="G564" s="237" t="str">
        <f>IFERROR(VLOOKUP(F564,'2020 Budget'!$A$4:$B$462,2,FALSE),"N/F")</f>
        <v>02. Checking Account Expenses</v>
      </c>
      <c r="H564" s="238">
        <v>-1000</v>
      </c>
      <c r="I564" s="238">
        <v>8487.74</v>
      </c>
      <c r="J564" s="236" t="s">
        <v>360</v>
      </c>
      <c r="K564" s="207"/>
    </row>
    <row r="565" spans="1:11" hidden="1">
      <c r="A565" s="235" t="s">
        <v>30</v>
      </c>
      <c r="B565" s="235" t="str">
        <f>VLOOKUP(MONTH(C565),'Lookup Tables'!$A$3:$B$14,2,FALSE)</f>
        <v>Jun</v>
      </c>
      <c r="C565" s="242">
        <v>43984</v>
      </c>
      <c r="D565" s="238" t="s">
        <v>775</v>
      </c>
      <c r="E565" s="231" t="str">
        <f t="shared" si="13"/>
        <v>Jun Mortgage + Property Taxes</v>
      </c>
      <c r="F565" s="231" t="s">
        <v>347</v>
      </c>
      <c r="G565" s="237" t="str">
        <f>IFERROR(VLOOKUP(F565,'2020 Budget'!$A$4:$B$462,2,FALSE),"N/F")</f>
        <v>02. Checking Account Expenses</v>
      </c>
      <c r="H565" s="238">
        <v>-1463</v>
      </c>
      <c r="I565" s="238">
        <v>7018.3799999999992</v>
      </c>
      <c r="J565" s="236" t="s">
        <v>360</v>
      </c>
      <c r="K565" s="207"/>
    </row>
    <row r="566" spans="1:11" hidden="1">
      <c r="A566" s="235" t="s">
        <v>30</v>
      </c>
      <c r="B566" s="235" t="str">
        <f>VLOOKUP(MONTH(C566),'Lookup Tables'!$A$3:$B$14,2,FALSE)</f>
        <v>Jun</v>
      </c>
      <c r="C566" s="242">
        <v>43984</v>
      </c>
      <c r="D566" s="238" t="s">
        <v>774</v>
      </c>
      <c r="E566" s="231" t="str">
        <f t="shared" si="13"/>
        <v>Jun Dining Fast Food</v>
      </c>
      <c r="F566" s="231" t="s">
        <v>85</v>
      </c>
      <c r="G566" s="237" t="str">
        <f>IFERROR(VLOOKUP(F566,'2020 Budget'!$A$4:$B$462,2,FALSE),"N/F")</f>
        <v>04. Family Expenses</v>
      </c>
      <c r="H566" s="238">
        <v>-6.36</v>
      </c>
      <c r="I566" s="238">
        <v>8481.3799999999992</v>
      </c>
      <c r="J566" s="236" t="s">
        <v>360</v>
      </c>
      <c r="K566" s="207"/>
    </row>
    <row r="567" spans="1:11" hidden="1">
      <c r="A567" s="235" t="s">
        <v>30</v>
      </c>
      <c r="B567" s="235" t="str">
        <f>VLOOKUP(MONTH(C567),'Lookup Tables'!$A$3:$B$14,2,FALSE)</f>
        <v>Jun</v>
      </c>
      <c r="C567" s="242">
        <v>43985</v>
      </c>
      <c r="D567" s="238" t="s">
        <v>778</v>
      </c>
      <c r="E567" s="231" t="str">
        <f t="shared" si="13"/>
        <v>Jun Dining Treats</v>
      </c>
      <c r="F567" s="238" t="s">
        <v>87</v>
      </c>
      <c r="G567" s="237" t="str">
        <f>IFERROR(VLOOKUP(F567,'2020 Budget'!$A$4:$B$462,2,FALSE),"N/F")</f>
        <v>04. Family Expenses</v>
      </c>
      <c r="H567" s="238">
        <v>-1.1100000000000001</v>
      </c>
      <c r="I567" s="238">
        <v>3104.9999999999991</v>
      </c>
      <c r="J567" s="236" t="s">
        <v>360</v>
      </c>
      <c r="K567" s="207"/>
    </row>
    <row r="568" spans="1:11" hidden="1">
      <c r="A568" s="235" t="s">
        <v>30</v>
      </c>
      <c r="B568" s="235" t="str">
        <f>VLOOKUP(MONTH(C568),'Lookup Tables'!$A$3:$B$14,2,FALSE)</f>
        <v>Jun</v>
      </c>
      <c r="C568" s="242">
        <v>43985</v>
      </c>
      <c r="D568" s="238" t="s">
        <v>780</v>
      </c>
      <c r="E568" s="231" t="str">
        <f t="shared" ref="E568:E631" si="14">B568&amp;" "&amp;F568</f>
        <v xml:space="preserve">Jun Credit Card Payment Costco Visa </v>
      </c>
      <c r="F568" s="231" t="s">
        <v>615</v>
      </c>
      <c r="G568" s="237" t="str">
        <f>IFERROR(VLOOKUP(F568,'2020 Budget'!$A$4:$B$462,2,FALSE),"N/F")</f>
        <v>02. Checking Account Expenses</v>
      </c>
      <c r="H568" s="238">
        <v>-1000</v>
      </c>
      <c r="I568" s="238">
        <v>6117.5399999999991</v>
      </c>
      <c r="J568" s="236" t="s">
        <v>360</v>
      </c>
      <c r="K568" s="207"/>
    </row>
    <row r="569" spans="1:11" hidden="1">
      <c r="A569" s="235" t="s">
        <v>30</v>
      </c>
      <c r="B569" s="235" t="str">
        <f>VLOOKUP(MONTH(C569),'Lookup Tables'!$A$3:$B$14,2,FALSE)</f>
        <v>Jun</v>
      </c>
      <c r="C569" s="242">
        <v>43985</v>
      </c>
      <c r="D569" s="238" t="s">
        <v>779</v>
      </c>
      <c r="E569" s="231" t="str">
        <f t="shared" si="14"/>
        <v>Jun Credit Card Payment AADVANTAGE</v>
      </c>
      <c r="F569" s="231" t="s">
        <v>880</v>
      </c>
      <c r="G569" s="237" t="str">
        <f>IFERROR(VLOOKUP(F569,'2020 Budget'!$A$4:$B$462,2,FALSE),"N/F")</f>
        <v>02. Checking Account Expenses</v>
      </c>
      <c r="H569" s="238">
        <v>-3000</v>
      </c>
      <c r="I569" s="238">
        <v>3117.5399999999991</v>
      </c>
      <c r="J569" s="236" t="s">
        <v>360</v>
      </c>
      <c r="K569" s="207"/>
    </row>
    <row r="570" spans="1:11" hidden="1">
      <c r="A570" s="235" t="s">
        <v>30</v>
      </c>
      <c r="B570" s="235" t="str">
        <f>VLOOKUP(MONTH(C570),'Lookup Tables'!$A$3:$B$14,2,FALSE)</f>
        <v>Jun</v>
      </c>
      <c r="C570" s="242">
        <v>43985</v>
      </c>
      <c r="D570" s="238" t="s">
        <v>777</v>
      </c>
      <c r="E570" s="231" t="str">
        <f t="shared" si="14"/>
        <v>Jun Dining Fast Food</v>
      </c>
      <c r="F570" s="231" t="s">
        <v>85</v>
      </c>
      <c r="G570" s="237" t="str">
        <f>IFERROR(VLOOKUP(F570,'2020 Budget'!$A$4:$B$462,2,FALSE),"N/F")</f>
        <v>04. Family Expenses</v>
      </c>
      <c r="H570" s="238">
        <v>-11.43</v>
      </c>
      <c r="I570" s="238">
        <v>3106.1099999999992</v>
      </c>
      <c r="J570" s="236" t="s">
        <v>360</v>
      </c>
      <c r="K570" s="207"/>
    </row>
    <row r="571" spans="1:11" hidden="1">
      <c r="A571" s="235" t="s">
        <v>30</v>
      </c>
      <c r="B571" s="235" t="str">
        <f>VLOOKUP(MONTH(C571),'Lookup Tables'!$A$3:$B$14,2,FALSE)</f>
        <v>Jun</v>
      </c>
      <c r="C571" s="242">
        <v>43985</v>
      </c>
      <c r="D571" s="238" t="s">
        <v>31</v>
      </c>
      <c r="E571" s="231" t="str">
        <f t="shared" si="14"/>
        <v>Jun Child support</v>
      </c>
      <c r="F571" s="238" t="s">
        <v>260</v>
      </c>
      <c r="G571" s="237" t="str">
        <f>IFERROR(VLOOKUP(F571,'2020 Budget'!$A$4:$B$462,2,FALSE),"N/F")</f>
        <v>04. Family Expenses</v>
      </c>
      <c r="H571" s="238">
        <v>99.16</v>
      </c>
      <c r="I571" s="238">
        <v>7117.5399999999991</v>
      </c>
      <c r="J571" s="236" t="s">
        <v>360</v>
      </c>
      <c r="K571" s="207"/>
    </row>
    <row r="572" spans="1:11" hidden="1">
      <c r="A572" s="235" t="s">
        <v>30</v>
      </c>
      <c r="B572" s="235" t="str">
        <f>VLOOKUP(MONTH(C572),'Lookup Tables'!$A$3:$B$14,2,FALSE)</f>
        <v>Jun</v>
      </c>
      <c r="C572" s="242">
        <v>43986</v>
      </c>
      <c r="D572" s="238" t="s">
        <v>781</v>
      </c>
      <c r="E572" s="231" t="str">
        <f t="shared" si="14"/>
        <v>Jun Merchandise Home</v>
      </c>
      <c r="F572" s="231" t="s">
        <v>19</v>
      </c>
      <c r="G572" s="237" t="str">
        <f>IFERROR(VLOOKUP(F572,'2020 Budget'!$A$4:$B$462,2,FALSE),"N/F")</f>
        <v>04. Household Expenses</v>
      </c>
      <c r="H572" s="238">
        <v>-10</v>
      </c>
      <c r="I572" s="238">
        <v>3091.8199999999993</v>
      </c>
      <c r="J572" s="236" t="s">
        <v>360</v>
      </c>
      <c r="K572" s="207"/>
    </row>
    <row r="573" spans="1:11" hidden="1">
      <c r="A573" s="235" t="s">
        <v>30</v>
      </c>
      <c r="B573" s="235" t="str">
        <f>VLOOKUP(MONTH(C573),'Lookup Tables'!$A$3:$B$14,2,FALSE)</f>
        <v>Jun</v>
      </c>
      <c r="C573" s="242">
        <v>43986</v>
      </c>
      <c r="D573" s="238" t="s">
        <v>782</v>
      </c>
      <c r="E573" s="231" t="str">
        <f t="shared" si="14"/>
        <v>Jun Dining Fast Food</v>
      </c>
      <c r="F573" s="238" t="s">
        <v>85</v>
      </c>
      <c r="G573" s="237" t="str">
        <f>IFERROR(VLOOKUP(F573,'2020 Budget'!$A$4:$B$462,2,FALSE),"N/F")</f>
        <v>04. Family Expenses</v>
      </c>
      <c r="H573" s="238">
        <v>-3.18</v>
      </c>
      <c r="I573" s="238">
        <v>3101.8199999999993</v>
      </c>
      <c r="J573" s="236" t="s">
        <v>360</v>
      </c>
      <c r="K573" s="207"/>
    </row>
    <row r="574" spans="1:11" hidden="1">
      <c r="A574" s="235" t="s">
        <v>30</v>
      </c>
      <c r="B574" s="235" t="str">
        <f>VLOOKUP(MONTH(C574),'Lookup Tables'!$A$3:$B$14,2,FALSE)</f>
        <v>Jun</v>
      </c>
      <c r="C574" s="242">
        <v>43987</v>
      </c>
      <c r="D574" s="238" t="s">
        <v>783</v>
      </c>
      <c r="E574" s="231" t="str">
        <f t="shared" si="14"/>
        <v>Jun Service Home Maintenance/Improvement</v>
      </c>
      <c r="F574" s="238" t="s">
        <v>944</v>
      </c>
      <c r="G574" s="237" t="str">
        <f>IFERROR(VLOOKUP(F574,'2020 Budget'!$A$4:$B$462,2,FALSE),"N/F")</f>
        <v>04. Household Expenses</v>
      </c>
      <c r="H574" s="238">
        <v>-347.75</v>
      </c>
      <c r="I574" s="238">
        <v>2899.2799999999993</v>
      </c>
      <c r="J574" s="236" t="s">
        <v>360</v>
      </c>
      <c r="K574" s="207"/>
    </row>
    <row r="575" spans="1:11" hidden="1">
      <c r="A575" s="235" t="s">
        <v>30</v>
      </c>
      <c r="B575" s="235" t="str">
        <f>VLOOKUP(MONTH(C575),'Lookup Tables'!$A$3:$B$14,2,FALSE)</f>
        <v>Jun</v>
      </c>
      <c r="C575" s="242">
        <v>43987</v>
      </c>
      <c r="D575" s="238" t="s">
        <v>784</v>
      </c>
      <c r="E575" s="231" t="str">
        <f t="shared" si="14"/>
        <v>Jun Phil Online Game Purchases</v>
      </c>
      <c r="F575" s="231" t="s">
        <v>318</v>
      </c>
      <c r="G575" s="237" t="str">
        <f>IFERROR(VLOOKUP(F575,'2020 Budget'!$A$4:$B$462,2,FALSE),"N/F")</f>
        <v>11. Phil Work Ethic</v>
      </c>
      <c r="H575" s="238">
        <v>-10.59</v>
      </c>
      <c r="I575" s="238">
        <v>2888.6899999999991</v>
      </c>
      <c r="J575" s="236" t="s">
        <v>360</v>
      </c>
      <c r="K575" s="207"/>
    </row>
    <row r="576" spans="1:11" hidden="1">
      <c r="A576" s="235" t="s">
        <v>30</v>
      </c>
      <c r="B576" s="235" t="str">
        <f>VLOOKUP(MONTH(C576),'Lookup Tables'!$A$3:$B$14,2,FALSE)</f>
        <v>Jun</v>
      </c>
      <c r="C576" s="242">
        <v>43987</v>
      </c>
      <c r="D576" s="238" t="s">
        <v>786</v>
      </c>
      <c r="E576" s="231" t="str">
        <f t="shared" si="14"/>
        <v>Jun Groceries</v>
      </c>
      <c r="F576" s="231" t="s">
        <v>11</v>
      </c>
      <c r="G576" s="237" t="str">
        <f>IFERROR(VLOOKUP(F576,'2020 Budget'!$A$4:$B$462,2,FALSE),"N/F")</f>
        <v>04. Family Expenses</v>
      </c>
      <c r="H576" s="238">
        <v>-4.4400000000000004</v>
      </c>
      <c r="I576" s="238">
        <v>3087.3799999999992</v>
      </c>
      <c r="J576" s="236" t="s">
        <v>360</v>
      </c>
      <c r="K576" s="207"/>
    </row>
    <row r="577" spans="1:11" hidden="1">
      <c r="A577" s="235" t="s">
        <v>30</v>
      </c>
      <c r="B577" s="235" t="str">
        <f>VLOOKUP(MONTH(C577),'Lookup Tables'!$A$3:$B$14,2,FALSE)</f>
        <v>Jun</v>
      </c>
      <c r="C577" s="242">
        <v>43987</v>
      </c>
      <c r="D577" s="238" t="s">
        <v>785</v>
      </c>
      <c r="E577" s="231" t="str">
        <f t="shared" si="14"/>
        <v>Jun Groceries</v>
      </c>
      <c r="F577" s="231" t="s">
        <v>11</v>
      </c>
      <c r="G577" s="237" t="str">
        <f>IFERROR(VLOOKUP(F577,'2020 Budget'!$A$4:$B$462,2,FALSE),"N/F")</f>
        <v>04. Family Expenses</v>
      </c>
      <c r="H577" s="238">
        <v>-1.49</v>
      </c>
      <c r="I577" s="238">
        <v>3085.8899999999994</v>
      </c>
      <c r="J577" s="236" t="s">
        <v>360</v>
      </c>
      <c r="K577" s="207"/>
    </row>
    <row r="578" spans="1:11" hidden="1">
      <c r="A578" s="235" t="s">
        <v>30</v>
      </c>
      <c r="B578" s="235" t="str">
        <f>VLOOKUP(MONTH(C578),'Lookup Tables'!$A$3:$B$14,2,FALSE)</f>
        <v>Jun</v>
      </c>
      <c r="C578" s="242">
        <v>43987</v>
      </c>
      <c r="D578" s="238" t="s">
        <v>31</v>
      </c>
      <c r="E578" s="231" t="str">
        <f t="shared" si="14"/>
        <v>Jun Child support</v>
      </c>
      <c r="F578" s="238" t="s">
        <v>260</v>
      </c>
      <c r="G578" s="237" t="str">
        <f>IFERROR(VLOOKUP(F578,'2020 Budget'!$A$4:$B$462,2,FALSE),"N/F")</f>
        <v>04. Family Expenses</v>
      </c>
      <c r="H578" s="238">
        <v>161.13999999999999</v>
      </c>
      <c r="I578" s="238">
        <v>3247.0299999999993</v>
      </c>
      <c r="J578" s="236" t="s">
        <v>360</v>
      </c>
      <c r="K578" s="207"/>
    </row>
    <row r="579" spans="1:11" hidden="1">
      <c r="A579" s="235" t="s">
        <v>30</v>
      </c>
      <c r="B579" s="235" t="str">
        <f>VLOOKUP(MONTH(C579),'Lookup Tables'!$A$3:$B$14,2,FALSE)</f>
        <v>Jun</v>
      </c>
      <c r="C579" s="242">
        <v>43990</v>
      </c>
      <c r="D579" s="238" t="s">
        <v>787</v>
      </c>
      <c r="E579" s="231" t="str">
        <f t="shared" si="14"/>
        <v>Jun Dining Fast Food</v>
      </c>
      <c r="F579" s="231" t="s">
        <v>85</v>
      </c>
      <c r="G579" s="237" t="str">
        <f>IFERROR(VLOOKUP(F579,'2020 Budget'!$A$4:$B$462,2,FALSE),"N/F")</f>
        <v>04. Family Expenses</v>
      </c>
      <c r="H579" s="238">
        <v>-17.57</v>
      </c>
      <c r="I579" s="238">
        <v>2862.2399999999989</v>
      </c>
      <c r="J579" s="236" t="s">
        <v>360</v>
      </c>
      <c r="K579" s="207"/>
    </row>
    <row r="580" spans="1:11" hidden="1">
      <c r="A580" s="235" t="s">
        <v>30</v>
      </c>
      <c r="B580" s="235" t="str">
        <f>VLOOKUP(MONTH(C580),'Lookup Tables'!$A$3:$B$14,2,FALSE)</f>
        <v>Jun</v>
      </c>
      <c r="C580" s="242">
        <v>43990</v>
      </c>
      <c r="D580" s="238" t="s">
        <v>788</v>
      </c>
      <c r="E580" s="231" t="str">
        <f t="shared" si="14"/>
        <v>Jun Dining Fast Food</v>
      </c>
      <c r="F580" s="231" t="s">
        <v>85</v>
      </c>
      <c r="G580" s="237" t="str">
        <f>IFERROR(VLOOKUP(F580,'2020 Budget'!$A$4:$B$462,2,FALSE),"N/F")</f>
        <v>04. Family Expenses</v>
      </c>
      <c r="H580" s="238">
        <v>-9.74</v>
      </c>
      <c r="I580" s="238">
        <v>2852.4999999999991</v>
      </c>
      <c r="J580" s="236" t="s">
        <v>360</v>
      </c>
      <c r="K580" s="207"/>
    </row>
    <row r="581" spans="1:11" hidden="1">
      <c r="A581" s="235" t="s">
        <v>30</v>
      </c>
      <c r="B581" s="235" t="str">
        <f>VLOOKUP(MONTH(C581),'Lookup Tables'!$A$3:$B$14,2,FALSE)</f>
        <v>Jun</v>
      </c>
      <c r="C581" s="242">
        <v>43990</v>
      </c>
      <c r="D581" s="238" t="s">
        <v>790</v>
      </c>
      <c r="E581" s="231" t="str">
        <f t="shared" si="14"/>
        <v>Jun Groceries</v>
      </c>
      <c r="F581" s="231" t="s">
        <v>11</v>
      </c>
      <c r="G581" s="237" t="str">
        <f>IFERROR(VLOOKUP(F581,'2020 Budget'!$A$4:$B$462,2,FALSE),"N/F")</f>
        <v>04. Family Expenses</v>
      </c>
      <c r="H581" s="238">
        <v>-8.8800000000000008</v>
      </c>
      <c r="I581" s="238">
        <v>2879.809999999999</v>
      </c>
      <c r="J581" s="236" t="s">
        <v>360</v>
      </c>
      <c r="K581" s="207"/>
    </row>
    <row r="582" spans="1:11" hidden="1">
      <c r="A582" s="235" t="s">
        <v>30</v>
      </c>
      <c r="B582" s="235" t="str">
        <f>VLOOKUP(MONTH(C582),'Lookup Tables'!$A$3:$B$14,2,FALSE)</f>
        <v>Jun</v>
      </c>
      <c r="C582" s="242">
        <v>43990</v>
      </c>
      <c r="D582" s="238" t="s">
        <v>789</v>
      </c>
      <c r="E582" s="231" t="str">
        <f t="shared" si="14"/>
        <v>Jun Dining Fast Food</v>
      </c>
      <c r="F582" s="238" t="s">
        <v>85</v>
      </c>
      <c r="G582" s="237" t="str">
        <f>IFERROR(VLOOKUP(F582,'2020 Budget'!$A$4:$B$462,2,FALSE),"N/F")</f>
        <v>04. Family Expenses</v>
      </c>
      <c r="H582" s="238">
        <v>-5.14</v>
      </c>
      <c r="I582" s="238">
        <v>2847.3599999999992</v>
      </c>
      <c r="J582" s="236" t="s">
        <v>360</v>
      </c>
      <c r="K582" s="207"/>
    </row>
    <row r="583" spans="1:11">
      <c r="A583" s="235" t="s">
        <v>30</v>
      </c>
      <c r="B583" s="235" t="str">
        <f>VLOOKUP(MONTH(C583),'Lookup Tables'!$A$3:$B$14,2,FALSE)</f>
        <v>Jun</v>
      </c>
      <c r="C583" s="242">
        <v>43991</v>
      </c>
      <c r="D583" s="238" t="s">
        <v>792</v>
      </c>
      <c r="E583" s="231" t="str">
        <f t="shared" si="14"/>
        <v>Jun Ford Fusion Auto Purchase</v>
      </c>
      <c r="F583" s="231" t="s">
        <v>150</v>
      </c>
      <c r="G583" s="237" t="str">
        <f>IFERROR(VLOOKUP(F583,'2020 Budget'!$A$4:$B$462,2,FALSE),"N/F")</f>
        <v>15.  Ford Fusion</v>
      </c>
      <c r="H583" s="238">
        <v>-100</v>
      </c>
      <c r="I583" s="238">
        <v>2747.3599999999992</v>
      </c>
      <c r="J583" s="236" t="s">
        <v>360</v>
      </c>
      <c r="K583" s="207"/>
    </row>
    <row r="584" spans="1:11" hidden="1">
      <c r="A584" s="235" t="s">
        <v>30</v>
      </c>
      <c r="B584" s="235" t="str">
        <f>VLOOKUP(MONTH(C584),'Lookup Tables'!$A$3:$B$14,2,FALSE)</f>
        <v>Jun</v>
      </c>
      <c r="C584" s="242">
        <v>43991</v>
      </c>
      <c r="D584" s="238" t="s">
        <v>791</v>
      </c>
      <c r="E584" s="231" t="str">
        <f t="shared" si="14"/>
        <v>Jun Service Home Maintenance/Improvement</v>
      </c>
      <c r="F584" s="231" t="s">
        <v>944</v>
      </c>
      <c r="G584" s="237" t="str">
        <f>IFERROR(VLOOKUP(F584,'2020 Budget'!$A$4:$B$462,2,FALSE),"N/F")</f>
        <v>04. Household Expenses</v>
      </c>
      <c r="H584" s="238">
        <v>-37</v>
      </c>
      <c r="I584" s="238">
        <v>2710.3599999999992</v>
      </c>
      <c r="J584" s="236" t="s">
        <v>360</v>
      </c>
      <c r="K584" s="207"/>
    </row>
    <row r="585" spans="1:11" hidden="1">
      <c r="A585" s="235" t="s">
        <v>30</v>
      </c>
      <c r="B585" s="235" t="str">
        <f>VLOOKUP(MONTH(C585),'Lookup Tables'!$A$3:$B$14,2,FALSE)</f>
        <v>Jun</v>
      </c>
      <c r="C585" s="242">
        <v>43993</v>
      </c>
      <c r="D585" s="238" t="s">
        <v>795</v>
      </c>
      <c r="E585" s="231" t="str">
        <f t="shared" si="14"/>
        <v>Jun Auto Fuel</v>
      </c>
      <c r="F585" s="231" t="s">
        <v>558</v>
      </c>
      <c r="G585" s="237" t="str">
        <f>IFERROR(VLOOKUP(F585,'2020 Budget'!$A$4:$B$462,2,FALSE),"N/F")</f>
        <v>05. Dodge Dart Auto Expenses</v>
      </c>
      <c r="H585" s="238">
        <v>-3.68</v>
      </c>
      <c r="I585" s="238">
        <v>2706.6799999999994</v>
      </c>
      <c r="J585" s="236" t="s">
        <v>360</v>
      </c>
      <c r="K585" s="207"/>
    </row>
    <row r="586" spans="1:11" hidden="1">
      <c r="A586" s="235" t="s">
        <v>30</v>
      </c>
      <c r="B586" s="235" t="str">
        <f>VLOOKUP(MONTH(C586),'Lookup Tables'!$A$3:$B$14,2,FALSE)</f>
        <v>Jun</v>
      </c>
      <c r="C586" s="242">
        <v>43993</v>
      </c>
      <c r="D586" s="238" t="s">
        <v>795</v>
      </c>
      <c r="E586" s="231" t="str">
        <f t="shared" si="14"/>
        <v>Jun Auto Fuel</v>
      </c>
      <c r="F586" s="231" t="s">
        <v>558</v>
      </c>
      <c r="G586" s="237" t="str">
        <f>IFERROR(VLOOKUP(F586,'2020 Budget'!$A$4:$B$462,2,FALSE),"N/F")</f>
        <v>05. Dodge Dart Auto Expenses</v>
      </c>
      <c r="H586" s="238">
        <v>-10.28</v>
      </c>
      <c r="I586" s="238">
        <v>2696.3999999999992</v>
      </c>
      <c r="J586" s="236" t="s">
        <v>360</v>
      </c>
      <c r="K586" s="207"/>
    </row>
    <row r="587" spans="1:11" hidden="1">
      <c r="A587" s="235" t="s">
        <v>30</v>
      </c>
      <c r="B587" s="235" t="str">
        <f>VLOOKUP(MONTH(C587),'Lookup Tables'!$A$3:$B$14,2,FALSE)</f>
        <v>Jun</v>
      </c>
      <c r="C587" s="242">
        <v>43993</v>
      </c>
      <c r="D587" s="238" t="s">
        <v>793</v>
      </c>
      <c r="E587" s="231" t="str">
        <f t="shared" si="14"/>
        <v>Jun Dining Restaurant</v>
      </c>
      <c r="F587" s="231" t="s">
        <v>145</v>
      </c>
      <c r="G587" s="237" t="str">
        <f>IFERROR(VLOOKUP(F587,'2020 Budget'!$A$4:$B$462,2,FALSE),"N/F")</f>
        <v>04. Family Expenses</v>
      </c>
      <c r="H587" s="238">
        <v>-13.77</v>
      </c>
      <c r="I587" s="238">
        <v>2682.6299999999992</v>
      </c>
      <c r="J587" s="236" t="s">
        <v>360</v>
      </c>
      <c r="K587" s="207"/>
    </row>
    <row r="588" spans="1:11" hidden="1">
      <c r="A588" s="235" t="s">
        <v>30</v>
      </c>
      <c r="B588" s="235" t="str">
        <f>VLOOKUP(MONTH(C588),'Lookup Tables'!$A$3:$B$14,2,FALSE)</f>
        <v>Jun</v>
      </c>
      <c r="C588" s="242">
        <v>43993</v>
      </c>
      <c r="D588" s="238" t="s">
        <v>794</v>
      </c>
      <c r="E588" s="231" t="str">
        <f t="shared" si="14"/>
        <v>Jun Groceries</v>
      </c>
      <c r="F588" s="231" t="s">
        <v>11</v>
      </c>
      <c r="G588" s="237" t="str">
        <f>IFERROR(VLOOKUP(F588,'2020 Budget'!$A$4:$B$462,2,FALSE),"N/F")</f>
        <v>04. Family Expenses</v>
      </c>
      <c r="H588" s="238">
        <v>-10.26</v>
      </c>
      <c r="I588" s="238">
        <v>2668.1599999999989</v>
      </c>
      <c r="J588" s="236" t="s">
        <v>360</v>
      </c>
      <c r="K588" s="207"/>
    </row>
    <row r="589" spans="1:11" hidden="1">
      <c r="A589" s="235" t="s">
        <v>30</v>
      </c>
      <c r="B589" s="235" t="str">
        <f>VLOOKUP(MONTH(C589),'Lookup Tables'!$A$3:$B$14,2,FALSE)</f>
        <v>Jun</v>
      </c>
      <c r="C589" s="242">
        <v>43993</v>
      </c>
      <c r="D589" s="238" t="s">
        <v>796</v>
      </c>
      <c r="E589" s="231" t="str">
        <f t="shared" si="14"/>
        <v>Jun Dining Treats</v>
      </c>
      <c r="F589" s="238" t="s">
        <v>87</v>
      </c>
      <c r="G589" s="237" t="str">
        <f>IFERROR(VLOOKUP(F589,'2020 Budget'!$A$4:$B$462,2,FALSE),"N/F")</f>
        <v>04. Family Expenses</v>
      </c>
      <c r="H589" s="238">
        <v>-4.21</v>
      </c>
      <c r="I589" s="238">
        <v>2678.4199999999992</v>
      </c>
      <c r="J589" s="236" t="s">
        <v>360</v>
      </c>
      <c r="K589" s="207"/>
    </row>
    <row r="590" spans="1:11" hidden="1">
      <c r="A590" s="235" t="s">
        <v>30</v>
      </c>
      <c r="B590" s="235" t="str">
        <f>VLOOKUP(MONTH(C590),'Lookup Tables'!$A$3:$B$14,2,FALSE)</f>
        <v>Jun</v>
      </c>
      <c r="C590" s="242">
        <v>43994</v>
      </c>
      <c r="D590" s="238" t="s">
        <v>797</v>
      </c>
      <c r="E590" s="231" t="str">
        <f t="shared" si="14"/>
        <v>Jun Dining Restaurant</v>
      </c>
      <c r="F590" s="238" t="s">
        <v>145</v>
      </c>
      <c r="G590" s="237" t="str">
        <f>IFERROR(VLOOKUP(F590,'2020 Budget'!$A$4:$B$462,2,FALSE),"N/F")</f>
        <v>04. Family Expenses</v>
      </c>
      <c r="H590" s="238">
        <v>-10.19</v>
      </c>
      <c r="I590" s="238">
        <v>2644.2399999999989</v>
      </c>
      <c r="J590" s="236" t="s">
        <v>360</v>
      </c>
      <c r="K590" s="207"/>
    </row>
    <row r="591" spans="1:11" hidden="1">
      <c r="A591" s="235" t="s">
        <v>30</v>
      </c>
      <c r="B591" s="235" t="str">
        <f>VLOOKUP(MONTH(C591),'Lookup Tables'!$A$3:$B$14,2,FALSE)</f>
        <v>Jun</v>
      </c>
      <c r="C591" s="242">
        <v>43994</v>
      </c>
      <c r="D591" s="238" t="s">
        <v>799</v>
      </c>
      <c r="E591" s="231" t="str">
        <f t="shared" si="14"/>
        <v>Jun Merchandise Home</v>
      </c>
      <c r="F591" s="238" t="s">
        <v>19</v>
      </c>
      <c r="G591" s="237" t="str">
        <f>IFERROR(VLOOKUP(F591,'2020 Budget'!$A$4:$B$462,2,FALSE),"N/F")</f>
        <v>04. Household Expenses</v>
      </c>
      <c r="H591" s="238">
        <v>-47.45</v>
      </c>
      <c r="I591" s="238">
        <v>2596.7899999999991</v>
      </c>
      <c r="J591" s="236" t="s">
        <v>360</v>
      </c>
      <c r="K591" s="207"/>
    </row>
    <row r="592" spans="1:11" hidden="1">
      <c r="A592" s="235" t="s">
        <v>30</v>
      </c>
      <c r="B592" s="235" t="str">
        <f>VLOOKUP(MONTH(C592),'Lookup Tables'!$A$3:$B$14,2,FALSE)</f>
        <v>Jun</v>
      </c>
      <c r="C592" s="242">
        <v>43994</v>
      </c>
      <c r="D592" s="238" t="s">
        <v>798</v>
      </c>
      <c r="E592" s="231" t="str">
        <f t="shared" si="14"/>
        <v>Jun Auto Care</v>
      </c>
      <c r="F592" s="238" t="s">
        <v>557</v>
      </c>
      <c r="G592" s="237" t="str">
        <f>IFERROR(VLOOKUP(F592,'2020 Budget'!$A$4:$B$462,2,FALSE),"N/F")</f>
        <v>05. Dodge Dart Auto Expenses</v>
      </c>
      <c r="H592" s="238">
        <v>-13.73</v>
      </c>
      <c r="I592" s="238">
        <v>2654.4299999999989</v>
      </c>
      <c r="J592" s="236" t="s">
        <v>360</v>
      </c>
      <c r="K592" s="207"/>
    </row>
    <row r="593" spans="1:11" hidden="1">
      <c r="A593" s="235" t="s">
        <v>30</v>
      </c>
      <c r="B593" s="235" t="str">
        <f>VLOOKUP(MONTH(C593),'Lookup Tables'!$A$3:$B$14,2,FALSE)</f>
        <v>Jun</v>
      </c>
      <c r="C593" s="242">
        <v>43997</v>
      </c>
      <c r="D593" s="238" t="s">
        <v>800</v>
      </c>
      <c r="E593" s="231" t="str">
        <f t="shared" si="14"/>
        <v>Jun Dining Restaurant</v>
      </c>
      <c r="F593" s="231" t="s">
        <v>145</v>
      </c>
      <c r="G593" s="237" t="str">
        <f>IFERROR(VLOOKUP(F593,'2020 Budget'!$A$4:$B$462,2,FALSE),"N/F")</f>
        <v>04. Family Expenses</v>
      </c>
      <c r="H593" s="238">
        <v>-11.12</v>
      </c>
      <c r="I593" s="238">
        <v>2585.6699999999992</v>
      </c>
      <c r="J593" s="236" t="s">
        <v>360</v>
      </c>
      <c r="K593" s="207"/>
    </row>
    <row r="594" spans="1:11" hidden="1">
      <c r="A594" s="235" t="s">
        <v>30</v>
      </c>
      <c r="B594" s="235" t="str">
        <f>VLOOKUP(MONTH(C594),'Lookup Tables'!$A$3:$B$14,2,FALSE)</f>
        <v>Jun</v>
      </c>
      <c r="C594" s="242">
        <v>43997</v>
      </c>
      <c r="D594" s="238" t="s">
        <v>801</v>
      </c>
      <c r="E594" s="231" t="str">
        <f t="shared" si="14"/>
        <v>Jun Dining Restaurant</v>
      </c>
      <c r="F594" s="231" t="s">
        <v>145</v>
      </c>
      <c r="G594" s="237" t="str">
        <f>IFERROR(VLOOKUP(F594,'2020 Budget'!$A$4:$B$462,2,FALSE),"N/F")</f>
        <v>04. Family Expenses</v>
      </c>
      <c r="H594" s="238">
        <v>-6.91</v>
      </c>
      <c r="I594" s="238">
        <v>2578.7599999999993</v>
      </c>
      <c r="J594" s="236" t="s">
        <v>360</v>
      </c>
      <c r="K594" s="207"/>
    </row>
    <row r="595" spans="1:11" hidden="1">
      <c r="A595" s="235" t="s">
        <v>30</v>
      </c>
      <c r="B595" s="235" t="str">
        <f>VLOOKUP(MONTH(C595),'Lookup Tables'!$A$3:$B$14,2,FALSE)</f>
        <v>Jun</v>
      </c>
      <c r="C595" s="242">
        <v>43997</v>
      </c>
      <c r="D595" s="238" t="s">
        <v>797</v>
      </c>
      <c r="E595" s="231" t="str">
        <f t="shared" si="14"/>
        <v>Jun Dining Restaurant</v>
      </c>
      <c r="F595" s="238" t="s">
        <v>145</v>
      </c>
      <c r="G595" s="237" t="str">
        <f>IFERROR(VLOOKUP(F595,'2020 Budget'!$A$4:$B$462,2,FALSE),"N/F")</f>
        <v>04. Family Expenses</v>
      </c>
      <c r="H595" s="238">
        <v>-7.69</v>
      </c>
      <c r="I595" s="238">
        <v>2571.0699999999993</v>
      </c>
      <c r="J595" s="236" t="s">
        <v>360</v>
      </c>
      <c r="K595" s="207"/>
    </row>
    <row r="596" spans="1:11" hidden="1">
      <c r="A596" s="235" t="s">
        <v>30</v>
      </c>
      <c r="B596" s="235" t="str">
        <f>VLOOKUP(MONTH(C596),'Lookup Tables'!$A$3:$B$14,2,FALSE)</f>
        <v>Jun</v>
      </c>
      <c r="C596" s="242">
        <v>43998</v>
      </c>
      <c r="D596" s="238" t="s">
        <v>287</v>
      </c>
      <c r="E596" s="231" t="str">
        <f t="shared" si="14"/>
        <v>Jun Fee Bank</v>
      </c>
      <c r="F596" s="238" t="s">
        <v>23</v>
      </c>
      <c r="G596" s="237" t="str">
        <f>IFERROR(VLOOKUP(F596,'2020 Budget'!$A$4:$B$462,2,FALSE),"N/F")</f>
        <v>14. Undesired Expense</v>
      </c>
      <c r="H596" s="238">
        <v>-25</v>
      </c>
      <c r="I596" s="238">
        <v>2546.0699999999993</v>
      </c>
      <c r="J596" s="236" t="s">
        <v>360</v>
      </c>
      <c r="K596" s="207"/>
    </row>
    <row r="597" spans="1:11" hidden="1">
      <c r="A597" s="235" t="s">
        <v>30</v>
      </c>
      <c r="B597" s="235" t="str">
        <f>VLOOKUP(MONTH(C597),'Lookup Tables'!$A$3:$B$14,2,FALSE)</f>
        <v>Jun</v>
      </c>
      <c r="C597" s="242">
        <v>43998</v>
      </c>
      <c r="D597" s="238" t="s">
        <v>286</v>
      </c>
      <c r="E597" s="231" t="str">
        <f t="shared" si="14"/>
        <v>Jun Interest Income</v>
      </c>
      <c r="F597" s="231" t="s">
        <v>9</v>
      </c>
      <c r="G597" s="237" t="str">
        <f>IFERROR(VLOOKUP(F597,'2020 Budget'!$A$4:$B$462,2,FALSE),"N/F")</f>
        <v>01. Checking Account Income</v>
      </c>
      <c r="H597" s="238">
        <v>0.03</v>
      </c>
      <c r="I597" s="238">
        <v>2546.0999999999995</v>
      </c>
      <c r="J597" s="236" t="s">
        <v>360</v>
      </c>
      <c r="K597" s="207"/>
    </row>
    <row r="598" spans="1:11" hidden="1">
      <c r="A598" s="235" t="s">
        <v>30</v>
      </c>
      <c r="B598" s="235" t="str">
        <f>VLOOKUP(MONTH(C598),'Lookup Tables'!$A$3:$B$14,2,FALSE)</f>
        <v>Jun</v>
      </c>
      <c r="C598" s="242">
        <v>44004</v>
      </c>
      <c r="D598" s="238" t="s">
        <v>31</v>
      </c>
      <c r="E598" s="231" t="str">
        <f t="shared" si="14"/>
        <v>Jun Child support</v>
      </c>
      <c r="F598" s="238" t="s">
        <v>260</v>
      </c>
      <c r="G598" s="237" t="str">
        <f>IFERROR(VLOOKUP(F598,'2020 Budget'!$A$4:$B$462,2,FALSE),"N/F")</f>
        <v>04. Family Expenses</v>
      </c>
      <c r="H598" s="238">
        <v>86.7</v>
      </c>
      <c r="I598" s="238">
        <v>2632.7999999999993</v>
      </c>
      <c r="J598" s="236" t="s">
        <v>360</v>
      </c>
      <c r="K598" s="207"/>
    </row>
    <row r="599" spans="1:11" hidden="1">
      <c r="A599" s="235" t="s">
        <v>30</v>
      </c>
      <c r="B599" s="235" t="str">
        <f>VLOOKUP(MONTH(C599),'Lookup Tables'!$A$3:$B$14,2,FALSE)</f>
        <v>Jun</v>
      </c>
      <c r="C599" s="242">
        <v>44005</v>
      </c>
      <c r="D599" s="238" t="s">
        <v>802</v>
      </c>
      <c r="E599" s="231" t="str">
        <f t="shared" si="14"/>
        <v>Jun Auto Fuel</v>
      </c>
      <c r="F599" s="231" t="s">
        <v>558</v>
      </c>
      <c r="G599" s="237" t="str">
        <f>IFERROR(VLOOKUP(F599,'2020 Budget'!$A$4:$B$462,2,FALSE),"N/F")</f>
        <v>05. Dodge Dart Auto Expenses</v>
      </c>
      <c r="H599" s="238">
        <v>-25.84</v>
      </c>
      <c r="I599" s="238">
        <v>2606.9599999999991</v>
      </c>
      <c r="J599" s="236" t="s">
        <v>360</v>
      </c>
      <c r="K599" s="207"/>
    </row>
    <row r="600" spans="1:11" hidden="1">
      <c r="A600" s="235" t="s">
        <v>30</v>
      </c>
      <c r="B600" s="235" t="str">
        <f>VLOOKUP(MONTH(C600),'Lookup Tables'!$A$3:$B$14,2,FALSE)</f>
        <v>Jun</v>
      </c>
      <c r="C600" s="242">
        <v>44006</v>
      </c>
      <c r="D600" s="238" t="s">
        <v>803</v>
      </c>
      <c r="E600" s="231" t="str">
        <f t="shared" si="14"/>
        <v>Jun Cash WD</v>
      </c>
      <c r="F600" s="231" t="s">
        <v>16</v>
      </c>
      <c r="G600" s="237" t="str">
        <f>IFERROR(VLOOKUP(F600,'2020 Budget'!$A$4:$B$462,2,FALSE),"N/F")</f>
        <v>04. Family Expenses</v>
      </c>
      <c r="H600" s="238">
        <v>-60</v>
      </c>
      <c r="I600" s="238">
        <v>2546.9599999999991</v>
      </c>
      <c r="J600" s="236" t="s">
        <v>360</v>
      </c>
      <c r="K600" s="207"/>
    </row>
    <row r="601" spans="1:11" hidden="1">
      <c r="A601" s="235" t="s">
        <v>30</v>
      </c>
      <c r="B601" s="235" t="str">
        <f>VLOOKUP(MONTH(C601),'Lookup Tables'!$A$3:$B$14,2,FALSE)</f>
        <v>Jun</v>
      </c>
      <c r="C601" s="242">
        <v>44008</v>
      </c>
      <c r="D601" s="238" t="s">
        <v>805</v>
      </c>
      <c r="E601" s="231" t="str">
        <f t="shared" si="14"/>
        <v>Jun Dining Fast Food</v>
      </c>
      <c r="F601" s="231" t="s">
        <v>85</v>
      </c>
      <c r="G601" s="237" t="str">
        <f>IFERROR(VLOOKUP(F601,'2020 Budget'!$A$4:$B$462,2,FALSE),"N/F")</f>
        <v>04. Family Expenses</v>
      </c>
      <c r="H601" s="238">
        <v>-17.57</v>
      </c>
      <c r="I601" s="238">
        <v>2529.389999999999</v>
      </c>
      <c r="J601" s="236" t="s">
        <v>360</v>
      </c>
      <c r="K601" s="207"/>
    </row>
    <row r="602" spans="1:11" hidden="1">
      <c r="A602" s="235" t="s">
        <v>30</v>
      </c>
      <c r="B602" s="235" t="str">
        <f>VLOOKUP(MONTH(C602),'Lookup Tables'!$A$3:$B$14,2,FALSE)</f>
        <v>Jun</v>
      </c>
      <c r="C602" s="242">
        <v>44008</v>
      </c>
      <c r="D602" s="238" t="s">
        <v>806</v>
      </c>
      <c r="E602" s="231" t="str">
        <f t="shared" si="14"/>
        <v>Jun Merchandise Home</v>
      </c>
      <c r="F602" s="231" t="s">
        <v>19</v>
      </c>
      <c r="G602" s="237" t="str">
        <f>IFERROR(VLOOKUP(F602,'2020 Budget'!$A$4:$B$462,2,FALSE),"N/F")</f>
        <v>04. Household Expenses</v>
      </c>
      <c r="H602" s="238">
        <v>-14.83</v>
      </c>
      <c r="I602" s="238">
        <v>2504.619999999999</v>
      </c>
      <c r="J602" s="236" t="s">
        <v>360</v>
      </c>
      <c r="K602" s="207"/>
    </row>
    <row r="603" spans="1:11" hidden="1">
      <c r="A603" s="235" t="s">
        <v>30</v>
      </c>
      <c r="B603" s="235" t="str">
        <f>VLOOKUP(MONTH(C603),'Lookup Tables'!$A$3:$B$14,2,FALSE)</f>
        <v>Jun</v>
      </c>
      <c r="C603" s="242">
        <v>44008</v>
      </c>
      <c r="D603" s="238" t="s">
        <v>804</v>
      </c>
      <c r="E603" s="231" t="str">
        <f t="shared" si="14"/>
        <v>Jun Dining Restaurant</v>
      </c>
      <c r="F603" s="231" t="s">
        <v>145</v>
      </c>
      <c r="G603" s="237" t="str">
        <f>IFERROR(VLOOKUP(F603,'2020 Budget'!$A$4:$B$462,2,FALSE),"N/F")</f>
        <v>04. Family Expenses</v>
      </c>
      <c r="H603" s="238">
        <v>-9.94</v>
      </c>
      <c r="I603" s="238">
        <v>2519.4499999999989</v>
      </c>
      <c r="J603" s="236" t="s">
        <v>360</v>
      </c>
      <c r="K603" s="207"/>
    </row>
    <row r="604" spans="1:11" hidden="1">
      <c r="A604" s="235" t="s">
        <v>30</v>
      </c>
      <c r="B604" s="235" t="str">
        <f>VLOOKUP(MONTH(C604),'Lookup Tables'!$A$3:$B$14,2,FALSE)</f>
        <v>Jun</v>
      </c>
      <c r="C604" s="242">
        <v>44011</v>
      </c>
      <c r="D604" s="238" t="s">
        <v>807</v>
      </c>
      <c r="E604" s="231" t="str">
        <f t="shared" si="14"/>
        <v>Jun Entertainment</v>
      </c>
      <c r="F604" s="231" t="s">
        <v>18</v>
      </c>
      <c r="G604" s="237" t="str">
        <f>IFERROR(VLOOKUP(F604,'2020 Budget'!$A$4:$B$462,2,FALSE),"N/F")</f>
        <v>04. Family Expenses</v>
      </c>
      <c r="H604" s="238">
        <v>-12.99</v>
      </c>
      <c r="I604" s="238">
        <v>2491.6299999999992</v>
      </c>
      <c r="J604" s="236" t="s">
        <v>360</v>
      </c>
      <c r="K604" s="207"/>
    </row>
    <row r="605" spans="1:11" hidden="1">
      <c r="A605" s="235" t="s">
        <v>30</v>
      </c>
      <c r="B605" s="235" t="str">
        <f>VLOOKUP(MONTH(C605),'Lookup Tables'!$A$3:$B$14,2,FALSE)</f>
        <v>Jul</v>
      </c>
      <c r="C605" s="242">
        <v>44013</v>
      </c>
      <c r="D605" s="238" t="s">
        <v>964</v>
      </c>
      <c r="E605" s="231" t="str">
        <f t="shared" si="14"/>
        <v>Jul Checking Account Beginning Balance</v>
      </c>
      <c r="F605" s="234" t="s">
        <v>362</v>
      </c>
      <c r="G605" s="237" t="str">
        <f>IFERROR(VLOOKUP(F605,'2020 Budget'!$A$4:$B$462,2,FALSE),"N/F")</f>
        <v>01. Checking Account Income</v>
      </c>
      <c r="H605" s="238"/>
      <c r="I605" s="244">
        <v>2491.63</v>
      </c>
      <c r="J605" s="236" t="s">
        <v>360</v>
      </c>
      <c r="K605" s="207"/>
    </row>
    <row r="606" spans="1:11" hidden="1">
      <c r="A606" s="235" t="s">
        <v>30</v>
      </c>
      <c r="B606" s="235" t="str">
        <f>VLOOKUP(MONTH(C606),'Lookup Tables'!$A$3:$B$14,2,FALSE)</f>
        <v>Jul</v>
      </c>
      <c r="C606" s="242">
        <v>44015</v>
      </c>
      <c r="D606" s="238" t="s">
        <v>809</v>
      </c>
      <c r="E606" s="231" t="str">
        <f t="shared" si="14"/>
        <v>Jul Auto Fuel</v>
      </c>
      <c r="F606" s="231" t="s">
        <v>558</v>
      </c>
      <c r="G606" s="237" t="str">
        <f>IFERROR(VLOOKUP(F606,'2020 Budget'!$A$4:$B$462,2,FALSE),"N/F")</f>
        <v>05. Dodge Dart Auto Expenses</v>
      </c>
      <c r="H606" s="238">
        <v>-22.82</v>
      </c>
      <c r="I606" s="235">
        <v>2468.809999999999</v>
      </c>
      <c r="J606" s="236" t="s">
        <v>360</v>
      </c>
      <c r="K606" s="207"/>
    </row>
    <row r="607" spans="1:11" hidden="1">
      <c r="A607" s="235" t="s">
        <v>30</v>
      </c>
      <c r="B607" s="235" t="str">
        <f>VLOOKUP(MONTH(C607),'Lookup Tables'!$A$3:$B$14,2,FALSE)</f>
        <v>Jul</v>
      </c>
      <c r="C607" s="242">
        <v>44015</v>
      </c>
      <c r="D607" s="238" t="s">
        <v>808</v>
      </c>
      <c r="E607" s="231" t="str">
        <f t="shared" si="14"/>
        <v>Jul Groceries</v>
      </c>
      <c r="F607" s="231" t="s">
        <v>11</v>
      </c>
      <c r="G607" s="237" t="str">
        <f>IFERROR(VLOOKUP(F607,'2020 Budget'!$A$4:$B$462,2,FALSE),"N/F")</f>
        <v>04. Family Expenses</v>
      </c>
      <c r="H607" s="238">
        <v>-62.37</v>
      </c>
      <c r="I607" s="235">
        <v>2642.0199999999991</v>
      </c>
      <c r="J607" s="236" t="s">
        <v>360</v>
      </c>
      <c r="K607" s="207"/>
    </row>
    <row r="608" spans="1:11" hidden="1">
      <c r="A608" s="235" t="s">
        <v>30</v>
      </c>
      <c r="B608" s="235" t="str">
        <f>VLOOKUP(MONTH(C608),'Lookup Tables'!$A$3:$B$14,2,FALSE)</f>
        <v>Jul</v>
      </c>
      <c r="C608" s="242">
        <v>44015</v>
      </c>
      <c r="D608" s="238" t="s">
        <v>31</v>
      </c>
      <c r="E608" s="231" t="str">
        <f t="shared" si="14"/>
        <v>Jul Child support</v>
      </c>
      <c r="F608" s="238" t="s">
        <v>260</v>
      </c>
      <c r="G608" s="237" t="str">
        <f>IFERROR(VLOOKUP(F608,'2020 Budget'!$A$4:$B$462,2,FALSE),"N/F")</f>
        <v>04. Family Expenses</v>
      </c>
      <c r="H608" s="238">
        <v>235.58</v>
      </c>
      <c r="I608" s="235">
        <v>2704.389999999999</v>
      </c>
      <c r="J608" s="236" t="s">
        <v>360</v>
      </c>
      <c r="K608" s="207"/>
    </row>
    <row r="609" spans="1:11" hidden="1">
      <c r="A609" s="235" t="s">
        <v>30</v>
      </c>
      <c r="B609" s="235" t="str">
        <f>VLOOKUP(MONTH(C609),'Lookup Tables'!$A$3:$B$14,2,FALSE)</f>
        <v>Jul</v>
      </c>
      <c r="C609" s="242">
        <v>44018</v>
      </c>
      <c r="D609" s="238" t="s">
        <v>810</v>
      </c>
      <c r="E609" s="231" t="str">
        <f t="shared" si="14"/>
        <v>Jul Mortgage + Property Taxes</v>
      </c>
      <c r="F609" s="231" t="s">
        <v>347</v>
      </c>
      <c r="G609" s="237" t="str">
        <f>IFERROR(VLOOKUP(F609,'2020 Budget'!$A$4:$B$462,2,FALSE),"N/F")</f>
        <v>02. Checking Account Expenses</v>
      </c>
      <c r="H609" s="238">
        <v>-1463</v>
      </c>
      <c r="I609" s="235">
        <v>1179.0199999999991</v>
      </c>
      <c r="J609" s="236" t="s">
        <v>360</v>
      </c>
      <c r="K609" s="207"/>
    </row>
    <row r="610" spans="1:11" hidden="1">
      <c r="A610" s="235" t="s">
        <v>30</v>
      </c>
      <c r="B610" s="235" t="str">
        <f>VLOOKUP(MONTH(C610),'Lookup Tables'!$A$3:$B$14,2,FALSE)</f>
        <v>Jul</v>
      </c>
      <c r="C610" s="242">
        <v>44020</v>
      </c>
      <c r="D610" s="238" t="s">
        <v>963</v>
      </c>
      <c r="E610" s="231" t="str">
        <f t="shared" si="14"/>
        <v xml:space="preserve">Jul Credit Card Payment Best Buy </v>
      </c>
      <c r="F610" s="231" t="s">
        <v>614</v>
      </c>
      <c r="G610" s="237" t="str">
        <f>IFERROR(VLOOKUP(F610,'2020 Budget'!$A$4:$B$462,2,FALSE),"N/F")</f>
        <v>02. Checking Account Expenses</v>
      </c>
      <c r="H610" s="238">
        <v>-75</v>
      </c>
      <c r="I610" s="235">
        <v>1104.0199999999991</v>
      </c>
      <c r="J610" s="236" t="s">
        <v>360</v>
      </c>
      <c r="K610" s="207"/>
    </row>
    <row r="611" spans="1:11" hidden="1">
      <c r="A611" s="235" t="s">
        <v>30</v>
      </c>
      <c r="B611" s="235" t="str">
        <f>VLOOKUP(MONTH(C611),'Lookup Tables'!$A$3:$B$14,2,FALSE)</f>
        <v>Jul</v>
      </c>
      <c r="C611" s="242">
        <v>44020</v>
      </c>
      <c r="D611" s="234" t="s">
        <v>616</v>
      </c>
      <c r="E611" s="231" t="str">
        <f t="shared" si="14"/>
        <v>Jul Credit Card Payment Marriott AMEX</v>
      </c>
      <c r="F611" s="234" t="s">
        <v>616</v>
      </c>
      <c r="G611" s="237" t="str">
        <f>IFERROR(VLOOKUP(F611,'2020 Budget'!$A$4:$B$462,2,FALSE),"N/F")</f>
        <v>02. Checking Account Expenses</v>
      </c>
      <c r="H611" s="245">
        <v>-63.78</v>
      </c>
      <c r="I611" s="235">
        <v>1040.2399999999991</v>
      </c>
      <c r="J611" s="236" t="s">
        <v>360</v>
      </c>
      <c r="K611" s="207"/>
    </row>
    <row r="612" spans="1:11" hidden="1">
      <c r="A612" s="235" t="s">
        <v>30</v>
      </c>
      <c r="B612" s="235" t="str">
        <f>VLOOKUP(MONTH(C612),'Lookup Tables'!$A$3:$B$14,2,FALSE)</f>
        <v>Jul</v>
      </c>
      <c r="C612" s="242">
        <v>44021</v>
      </c>
      <c r="D612" s="238" t="s">
        <v>965</v>
      </c>
      <c r="E612" s="231" t="str">
        <f t="shared" si="14"/>
        <v>Jul Groceries</v>
      </c>
      <c r="F612" s="231" t="s">
        <v>11</v>
      </c>
      <c r="G612" s="237" t="str">
        <f>IFERROR(VLOOKUP(F612,'2020 Budget'!$A$4:$B$462,2,FALSE),"N/F")</f>
        <v>04. Family Expenses</v>
      </c>
      <c r="H612" s="243">
        <v>-64.400000000000006</v>
      </c>
      <c r="I612" s="235">
        <v>975.83999999999912</v>
      </c>
      <c r="J612" s="236" t="s">
        <v>360</v>
      </c>
      <c r="K612" s="207"/>
    </row>
    <row r="613" spans="1:11" customFormat="1" hidden="1">
      <c r="A613" s="235" t="s">
        <v>30</v>
      </c>
      <c r="B613" s="235" t="str">
        <f>VLOOKUP(MONTH(C613),'Lookup Tables'!$A$3:$B$14,2,FALSE)</f>
        <v>Jul</v>
      </c>
      <c r="C613" s="242">
        <v>44021</v>
      </c>
      <c r="D613" s="238" t="s">
        <v>976</v>
      </c>
      <c r="E613" s="231" t="str">
        <f t="shared" si="14"/>
        <v>Jul Groceries</v>
      </c>
      <c r="F613" s="231" t="s">
        <v>11</v>
      </c>
      <c r="G613" s="237" t="str">
        <f>IFERROR(VLOOKUP(F613,'2020 Budget'!$A$4:$B$462,2,FALSE),"N/F")</f>
        <v>04. Family Expenses</v>
      </c>
      <c r="H613" s="247">
        <v>-1.49</v>
      </c>
      <c r="I613" s="235">
        <f>I612+H613</f>
        <v>974.34999999999911</v>
      </c>
      <c r="J613" s="236"/>
      <c r="K613" s="207"/>
    </row>
    <row r="614" spans="1:11" customFormat="1">
      <c r="A614" s="235" t="s">
        <v>30</v>
      </c>
      <c r="B614" s="235" t="str">
        <f>VLOOKUP(MONTH(C614),'Lookup Tables'!$A$3:$B$14,2,FALSE)</f>
        <v>Jul</v>
      </c>
      <c r="C614" s="242">
        <v>44025</v>
      </c>
      <c r="D614" s="238" t="s">
        <v>973</v>
      </c>
      <c r="E614" s="231" t="str">
        <f t="shared" si="14"/>
        <v>Jul Ford Fusion Auto Purchase</v>
      </c>
      <c r="F614" s="231" t="s">
        <v>150</v>
      </c>
      <c r="G614" s="237" t="str">
        <f>IFERROR(VLOOKUP(F614,'2020 Budget'!$A$4:$B$462,2,FALSE),"N/F")</f>
        <v>15.  Ford Fusion</v>
      </c>
      <c r="H614" s="243">
        <v>-100</v>
      </c>
      <c r="I614" s="235">
        <f t="shared" ref="I614:I645" si="15">I613+H614</f>
        <v>874.34999999999911</v>
      </c>
      <c r="J614" s="236"/>
      <c r="K614" s="207"/>
    </row>
    <row r="615" spans="1:11" customFormat="1" hidden="1">
      <c r="A615" s="235" t="s">
        <v>30</v>
      </c>
      <c r="B615" s="235" t="str">
        <f>VLOOKUP(MONTH(C615),'Lookup Tables'!$A$3:$B$14,2,FALSE)</f>
        <v>Jul</v>
      </c>
      <c r="C615" s="242">
        <v>44027</v>
      </c>
      <c r="D615" s="238" t="s">
        <v>974</v>
      </c>
      <c r="E615" s="231" t="str">
        <f t="shared" si="14"/>
        <v>Jul Auto Fuel</v>
      </c>
      <c r="F615" s="231" t="s">
        <v>558</v>
      </c>
      <c r="G615" s="237" t="str">
        <f>IFERROR(VLOOKUP(F615,'2020 Budget'!$A$4:$B$462,2,FALSE),"N/F")</f>
        <v>05. Dodge Dart Auto Expenses</v>
      </c>
      <c r="H615" s="243">
        <v>-28.48</v>
      </c>
      <c r="I615" s="235">
        <f t="shared" si="15"/>
        <v>845.8699999999991</v>
      </c>
      <c r="J615" s="236"/>
      <c r="K615" s="207"/>
    </row>
    <row r="616" spans="1:11" customFormat="1" hidden="1">
      <c r="A616" s="235" t="s">
        <v>30</v>
      </c>
      <c r="B616" s="235" t="str">
        <f>VLOOKUP(MONTH(C616),'Lookup Tables'!$A$3:$B$14,2,FALSE)</f>
        <v>Jul</v>
      </c>
      <c r="C616" s="242">
        <v>44028</v>
      </c>
      <c r="D616" s="238" t="s">
        <v>975</v>
      </c>
      <c r="E616" s="231" t="str">
        <f t="shared" si="14"/>
        <v>Jul Dining Fast Food</v>
      </c>
      <c r="F616" s="231" t="s">
        <v>85</v>
      </c>
      <c r="G616" s="237" t="str">
        <f>IFERROR(VLOOKUP(F616,'2020 Budget'!$A$4:$B$462,2,FALSE),"N/F")</f>
        <v>04. Family Expenses</v>
      </c>
      <c r="H616" s="247">
        <v>-18.71</v>
      </c>
      <c r="I616" s="235">
        <f t="shared" si="15"/>
        <v>827.15999999999906</v>
      </c>
      <c r="J616" s="236"/>
      <c r="K616" s="207"/>
    </row>
    <row r="617" spans="1:11" customFormat="1" hidden="1">
      <c r="A617" s="235" t="s">
        <v>30</v>
      </c>
      <c r="B617" s="235" t="str">
        <f>VLOOKUP(MONTH(C617),'Lookup Tables'!$A$3:$B$14,2,FALSE)</f>
        <v>Jul</v>
      </c>
      <c r="C617" s="242">
        <v>44029</v>
      </c>
      <c r="D617" s="238" t="s">
        <v>287</v>
      </c>
      <c r="E617" s="231" t="str">
        <f t="shared" si="14"/>
        <v>Jul Fee Bank</v>
      </c>
      <c r="F617" s="231" t="s">
        <v>23</v>
      </c>
      <c r="G617" s="237" t="str">
        <f>IFERROR(VLOOKUP(F617,'2020 Budget'!$A$4:$B$462,2,FALSE),"N/F")</f>
        <v>14. Undesired Expense</v>
      </c>
      <c r="H617" s="243">
        <v>-25</v>
      </c>
      <c r="I617" s="235">
        <f t="shared" si="15"/>
        <v>802.15999999999906</v>
      </c>
      <c r="J617" s="236"/>
      <c r="K617" s="207"/>
    </row>
    <row r="618" spans="1:11" customFormat="1" hidden="1">
      <c r="A618" s="235" t="s">
        <v>30</v>
      </c>
      <c r="B618" s="235" t="str">
        <f>VLOOKUP(MONTH(C618),'Lookup Tables'!$A$3:$B$14,2,FALSE)</f>
        <v>Jul</v>
      </c>
      <c r="C618" s="242">
        <v>44029</v>
      </c>
      <c r="D618" s="238" t="s">
        <v>286</v>
      </c>
      <c r="E618" s="231" t="str">
        <f t="shared" si="14"/>
        <v>Jul Interest Income</v>
      </c>
      <c r="F618" s="231" t="s">
        <v>9</v>
      </c>
      <c r="G618" s="237" t="str">
        <f>IFERROR(VLOOKUP(F618,'2020 Budget'!$A$4:$B$462,2,FALSE),"N/F")</f>
        <v>01. Checking Account Income</v>
      </c>
      <c r="H618" s="243">
        <v>0.02</v>
      </c>
      <c r="I618" s="235">
        <f t="shared" si="15"/>
        <v>802.17999999999904</v>
      </c>
      <c r="J618" s="236"/>
      <c r="K618" s="207"/>
    </row>
    <row r="619" spans="1:11" customFormat="1" hidden="1">
      <c r="A619" s="235" t="s">
        <v>30</v>
      </c>
      <c r="B619" s="235" t="str">
        <f>VLOOKUP(MONTH(C619),'Lookup Tables'!$A$3:$B$14,2,FALSE)</f>
        <v>Jul</v>
      </c>
      <c r="C619" s="242">
        <v>44029</v>
      </c>
      <c r="D619" s="238" t="s">
        <v>31</v>
      </c>
      <c r="E619" s="231" t="str">
        <f t="shared" si="14"/>
        <v>Jul Child support</v>
      </c>
      <c r="F619" s="231" t="s">
        <v>260</v>
      </c>
      <c r="G619" s="237" t="str">
        <f>IFERROR(VLOOKUP(F619,'2020 Budget'!$A$4:$B$462,2,FALSE),"N/F")</f>
        <v>04. Family Expenses</v>
      </c>
      <c r="H619" s="247">
        <v>111.42</v>
      </c>
      <c r="I619" s="235">
        <f t="shared" si="15"/>
        <v>913.599999999999</v>
      </c>
      <c r="J619" s="236"/>
      <c r="K619" s="207"/>
    </row>
    <row r="620" spans="1:11" customFormat="1" hidden="1">
      <c r="A620" s="235" t="s">
        <v>30</v>
      </c>
      <c r="B620" s="235" t="str">
        <f>VLOOKUP(MONTH(C620),'Lookup Tables'!$A$3:$B$14,2,FALSE)</f>
        <v>Jul</v>
      </c>
      <c r="C620" s="242">
        <v>44034</v>
      </c>
      <c r="D620" s="238" t="s">
        <v>1008</v>
      </c>
      <c r="E620" s="231" t="str">
        <f t="shared" si="14"/>
        <v>Jul Phil Online Game Purchases</v>
      </c>
      <c r="F620" s="231" t="s">
        <v>318</v>
      </c>
      <c r="G620" s="237" t="str">
        <f>IFERROR(VLOOKUP(F620,'2020 Budget'!$A$4:$B$462,2,FALSE),"N/F")</f>
        <v>11. Phil Work Ethic</v>
      </c>
      <c r="H620" s="243">
        <v>-26.49</v>
      </c>
      <c r="I620" s="235">
        <f t="shared" si="15"/>
        <v>887.10999999999899</v>
      </c>
      <c r="J620" s="236"/>
      <c r="K620" s="207"/>
    </row>
    <row r="621" spans="1:11" customFormat="1" hidden="1">
      <c r="A621" s="235" t="s">
        <v>30</v>
      </c>
      <c r="B621" s="235" t="str">
        <f>VLOOKUP(MONTH(C621),'Lookup Tables'!$A$3:$B$14,2,FALSE)</f>
        <v>Jul</v>
      </c>
      <c r="C621" s="242">
        <v>44035</v>
      </c>
      <c r="D621" s="238" t="s">
        <v>1016</v>
      </c>
      <c r="E621" s="231" t="str">
        <f t="shared" si="14"/>
        <v>Jul Dining Fast Food</v>
      </c>
      <c r="F621" s="231" t="s">
        <v>85</v>
      </c>
      <c r="G621" s="237" t="str">
        <f>IFERROR(VLOOKUP(F621,'2020 Budget'!$A$4:$B$462,2,FALSE),"N/F")</f>
        <v>04. Family Expenses</v>
      </c>
      <c r="H621" s="247">
        <v>-17.57</v>
      </c>
      <c r="I621" s="235">
        <f t="shared" si="15"/>
        <v>869.53999999999894</v>
      </c>
      <c r="J621" s="236"/>
      <c r="K621" s="207"/>
    </row>
    <row r="622" spans="1:11" customFormat="1" hidden="1">
      <c r="A622" s="235" t="s">
        <v>30</v>
      </c>
      <c r="B622" s="235" t="str">
        <f>VLOOKUP(MONTH(C622),'Lookup Tables'!$A$3:$B$14,2,FALSE)</f>
        <v>Jul</v>
      </c>
      <c r="C622" s="242">
        <v>44035</v>
      </c>
      <c r="D622" s="238" t="s">
        <v>1012</v>
      </c>
      <c r="E622" s="231" t="str">
        <f t="shared" si="14"/>
        <v>Jul Auto Fuel</v>
      </c>
      <c r="F622" s="231" t="s">
        <v>558</v>
      </c>
      <c r="G622" s="237" t="str">
        <f>IFERROR(VLOOKUP(F622,'2020 Budget'!$A$4:$B$462,2,FALSE),"N/F")</f>
        <v>05. Dodge Dart Auto Expenses</v>
      </c>
      <c r="H622" s="247">
        <v>-22.35</v>
      </c>
      <c r="I622" s="235">
        <f t="shared" si="15"/>
        <v>847.18999999999892</v>
      </c>
      <c r="J622" s="236"/>
      <c r="K622" s="207"/>
    </row>
    <row r="623" spans="1:11" customFormat="1" hidden="1">
      <c r="A623" s="235" t="s">
        <v>30</v>
      </c>
      <c r="B623" s="235" t="str">
        <f>VLOOKUP(MONTH(C623),'Lookup Tables'!$A$3:$B$14,2,FALSE)</f>
        <v>Jul</v>
      </c>
      <c r="C623" s="242">
        <v>44035</v>
      </c>
      <c r="D623" s="238" t="s">
        <v>1011</v>
      </c>
      <c r="E623" s="231" t="str">
        <f t="shared" si="14"/>
        <v>Jul Groceries</v>
      </c>
      <c r="F623" s="231" t="s">
        <v>11</v>
      </c>
      <c r="G623" s="237" t="str">
        <f>IFERROR(VLOOKUP(F623,'2020 Budget'!$A$4:$B$462,2,FALSE),"N/F")</f>
        <v>04. Family Expenses</v>
      </c>
      <c r="H623" s="247">
        <v>-50.92</v>
      </c>
      <c r="I623" s="235">
        <f t="shared" si="15"/>
        <v>796.26999999999896</v>
      </c>
      <c r="J623" s="236"/>
      <c r="K623" s="207"/>
    </row>
    <row r="624" spans="1:11" customFormat="1" hidden="1">
      <c r="A624" s="235" t="s">
        <v>30</v>
      </c>
      <c r="B624" s="235" t="str">
        <f>VLOOKUP(MONTH(C624),'Lookup Tables'!$A$3:$B$14,2,FALSE)</f>
        <v>Jul</v>
      </c>
      <c r="C624" s="242">
        <v>44035</v>
      </c>
      <c r="D624" s="238" t="s">
        <v>1009</v>
      </c>
      <c r="E624" s="231" t="str">
        <f t="shared" si="14"/>
        <v>Jul Service Lawn Care</v>
      </c>
      <c r="F624" s="231" t="s">
        <v>151</v>
      </c>
      <c r="G624" s="237" t="str">
        <f>IFERROR(VLOOKUP(F624,'2020 Budget'!$A$4:$B$462,2,FALSE),"N/F")</f>
        <v>04. Household Expenses</v>
      </c>
      <c r="H624" s="243">
        <v>-74.489999999999995</v>
      </c>
      <c r="I624" s="235">
        <f t="shared" si="15"/>
        <v>721.77999999999895</v>
      </c>
      <c r="J624" s="236"/>
      <c r="K624" s="207"/>
    </row>
    <row r="625" spans="1:11" customFormat="1" hidden="1">
      <c r="A625" s="235" t="s">
        <v>30</v>
      </c>
      <c r="B625" s="235" t="str">
        <f>VLOOKUP(MONTH(C625),'Lookup Tables'!$A$3:$B$14,2,FALSE)</f>
        <v>Jul</v>
      </c>
      <c r="C625" s="242">
        <v>44035</v>
      </c>
      <c r="D625" s="238" t="s">
        <v>1015</v>
      </c>
      <c r="E625" s="231" t="str">
        <f t="shared" si="14"/>
        <v>Jul Merchandise Computer</v>
      </c>
      <c r="F625" s="231" t="s">
        <v>35</v>
      </c>
      <c r="G625" s="237" t="str">
        <f>IFERROR(VLOOKUP(F625,'2020 Budget'!$A$4:$B$462,2,FALSE),"N/F")</f>
        <v>09. Internet TV Entertainment Electronics</v>
      </c>
      <c r="H625" s="247">
        <v>-66.739999999999995</v>
      </c>
      <c r="I625" s="235">
        <f t="shared" si="15"/>
        <v>655.03999999999894</v>
      </c>
      <c r="J625" s="236"/>
      <c r="K625" s="207"/>
    </row>
    <row r="626" spans="1:11" customFormat="1" hidden="1">
      <c r="A626" s="235" t="s">
        <v>30</v>
      </c>
      <c r="B626" s="235" t="str">
        <f>VLOOKUP(MONTH(C626),'Lookup Tables'!$A$3:$B$14,2,FALSE)</f>
        <v>Jul</v>
      </c>
      <c r="C626" s="242">
        <v>44035</v>
      </c>
      <c r="D626" s="238" t="s">
        <v>1010</v>
      </c>
      <c r="E626" s="231" t="str">
        <f t="shared" si="14"/>
        <v>Jul Dining Restaurant</v>
      </c>
      <c r="F626" s="231" t="s">
        <v>145</v>
      </c>
      <c r="G626" s="237" t="str">
        <f>IFERROR(VLOOKUP(F626,'2020 Budget'!$A$4:$B$462,2,FALSE),"N/F")</f>
        <v>04. Family Expenses</v>
      </c>
      <c r="H626" s="247">
        <v>-18.07</v>
      </c>
      <c r="I626" s="235">
        <f t="shared" si="15"/>
        <v>636.96999999999889</v>
      </c>
      <c r="J626" s="236"/>
      <c r="K626" s="207"/>
    </row>
    <row r="627" spans="1:11" customFormat="1" hidden="1">
      <c r="A627" s="235" t="s">
        <v>30</v>
      </c>
      <c r="B627" s="235" t="str">
        <f>VLOOKUP(MONTH(C627),'Lookup Tables'!$A$3:$B$14,2,FALSE)</f>
        <v>Jul</v>
      </c>
      <c r="C627" s="242">
        <v>44035</v>
      </c>
      <c r="D627" s="238" t="s">
        <v>1014</v>
      </c>
      <c r="E627" s="231" t="str">
        <f t="shared" si="14"/>
        <v>Jul Merchandise Home</v>
      </c>
      <c r="F627" s="231" t="s">
        <v>19</v>
      </c>
      <c r="G627" s="237" t="str">
        <f>IFERROR(VLOOKUP(F627,'2020 Budget'!$A$4:$B$462,2,FALSE),"N/F")</f>
        <v>04. Household Expenses</v>
      </c>
      <c r="H627" s="247">
        <v>-15.9</v>
      </c>
      <c r="I627" s="235">
        <f t="shared" si="15"/>
        <v>621.06999999999891</v>
      </c>
      <c r="J627" s="236"/>
      <c r="K627" s="207"/>
    </row>
    <row r="628" spans="1:11" customFormat="1" hidden="1">
      <c r="A628" s="235" t="s">
        <v>30</v>
      </c>
      <c r="B628" s="235" t="str">
        <f>VLOOKUP(MONTH(C628),'Lookup Tables'!$A$3:$B$14,2,FALSE)</f>
        <v>Jul</v>
      </c>
      <c r="C628" s="242">
        <v>44036</v>
      </c>
      <c r="D628" s="238" t="s">
        <v>1013</v>
      </c>
      <c r="E628" s="231" t="str">
        <f t="shared" si="14"/>
        <v>Jul Dining Treats</v>
      </c>
      <c r="F628" s="231" t="s">
        <v>87</v>
      </c>
      <c r="G628" s="237" t="str">
        <f>IFERROR(VLOOKUP(F628,'2020 Budget'!$A$4:$B$462,2,FALSE),"N/F")</f>
        <v>04. Family Expenses</v>
      </c>
      <c r="H628" s="247">
        <v>-2.21</v>
      </c>
      <c r="I628" s="235">
        <f t="shared" si="15"/>
        <v>618.85999999999888</v>
      </c>
      <c r="J628" s="236"/>
      <c r="K628" s="207"/>
    </row>
    <row r="629" spans="1:11" customFormat="1" hidden="1">
      <c r="A629" s="235" t="s">
        <v>30</v>
      </c>
      <c r="B629" s="235" t="str">
        <f>VLOOKUP(MONTH(C629),'Lookup Tables'!$A$3:$B$14,2,FALSE)</f>
        <v>Jul</v>
      </c>
      <c r="C629" s="242">
        <v>44037</v>
      </c>
      <c r="D629" s="238" t="s">
        <v>641</v>
      </c>
      <c r="E629" s="231" t="str">
        <f t="shared" si="14"/>
        <v>Jul Groceries</v>
      </c>
      <c r="F629" s="231" t="s">
        <v>11</v>
      </c>
      <c r="G629" s="237" t="str">
        <f>IFERROR(VLOOKUP(F629,'2020 Budget'!$A$4:$B$462,2,FALSE),"N/F")</f>
        <v>04. Family Expenses</v>
      </c>
      <c r="H629" s="247">
        <v>-23.46</v>
      </c>
      <c r="I629" s="235">
        <f t="shared" si="15"/>
        <v>595.39999999999884</v>
      </c>
      <c r="J629" s="236"/>
      <c r="K629" s="207"/>
    </row>
    <row r="630" spans="1:11" customFormat="1" hidden="1">
      <c r="A630" s="235" t="s">
        <v>30</v>
      </c>
      <c r="B630" s="235" t="str">
        <f>VLOOKUP(MONTH(C630),'Lookup Tables'!$A$3:$B$14,2,FALSE)</f>
        <v>Jul</v>
      </c>
      <c r="C630" s="242">
        <v>44037</v>
      </c>
      <c r="D630" s="238" t="s">
        <v>641</v>
      </c>
      <c r="E630" s="231" t="str">
        <f t="shared" si="14"/>
        <v>Jul Groceries</v>
      </c>
      <c r="F630" s="231" t="s">
        <v>11</v>
      </c>
      <c r="G630" s="237" t="str">
        <f>IFERROR(VLOOKUP(F630,'2020 Budget'!$A$4:$B$462,2,FALSE),"N/F")</f>
        <v>04. Family Expenses</v>
      </c>
      <c r="H630" s="247">
        <v>-9.48</v>
      </c>
      <c r="I630" s="235">
        <f t="shared" si="15"/>
        <v>585.91999999999882</v>
      </c>
      <c r="J630" s="236"/>
      <c r="K630" s="207"/>
    </row>
    <row r="631" spans="1:11" customFormat="1" hidden="1">
      <c r="A631" s="235" t="s">
        <v>30</v>
      </c>
      <c r="B631" s="235" t="str">
        <f>VLOOKUP(MONTH(C631),'Lookup Tables'!$A$3:$B$14,2,FALSE)</f>
        <v>Jul</v>
      </c>
      <c r="C631" s="242">
        <v>44037</v>
      </c>
      <c r="D631" s="238" t="s">
        <v>1009</v>
      </c>
      <c r="E631" s="231" t="str">
        <f t="shared" si="14"/>
        <v>Jul Service Lawn Care</v>
      </c>
      <c r="F631" s="231" t="s">
        <v>151</v>
      </c>
      <c r="G631" s="237" t="str">
        <f>IFERROR(VLOOKUP(F631,'2020 Budget'!$A$4:$B$462,2,FALSE),"N/F")</f>
        <v>04. Household Expenses</v>
      </c>
      <c r="H631" s="247">
        <v>-35</v>
      </c>
      <c r="I631" s="235">
        <f t="shared" si="15"/>
        <v>550.91999999999882</v>
      </c>
      <c r="J631" s="236"/>
      <c r="K631" s="207"/>
    </row>
    <row r="632" spans="1:11" customFormat="1" hidden="1">
      <c r="A632" s="235" t="s">
        <v>30</v>
      </c>
      <c r="B632" s="235" t="str">
        <f>VLOOKUP(MONTH(C632),'Lookup Tables'!$A$3:$B$14,2,FALSE)</f>
        <v>Jul</v>
      </c>
      <c r="C632" s="242">
        <v>44037</v>
      </c>
      <c r="D632" s="238" t="s">
        <v>789</v>
      </c>
      <c r="E632" s="231" t="str">
        <f t="shared" ref="E632:E646" si="16">B632&amp;" "&amp;F632</f>
        <v>Jul Dining Fast Food</v>
      </c>
      <c r="F632" s="231" t="s">
        <v>85</v>
      </c>
      <c r="G632" s="237" t="str">
        <f>IFERROR(VLOOKUP(F632,'2020 Budget'!$A$4:$B$462,2,FALSE),"N/F")</f>
        <v>04. Family Expenses</v>
      </c>
      <c r="H632" s="247">
        <v>-14.76</v>
      </c>
      <c r="I632" s="235">
        <f t="shared" si="15"/>
        <v>536.15999999999883</v>
      </c>
      <c r="J632" s="236"/>
      <c r="K632" s="207"/>
    </row>
    <row r="633" spans="1:11" customFormat="1" hidden="1">
      <c r="A633" s="235" t="s">
        <v>30</v>
      </c>
      <c r="B633" s="235" t="str">
        <f>VLOOKUP(MONTH(C633),'Lookup Tables'!$A$3:$B$14,2,FALSE)</f>
        <v>Jul</v>
      </c>
      <c r="C633" s="242">
        <v>44037</v>
      </c>
      <c r="D633" s="238" t="s">
        <v>1017</v>
      </c>
      <c r="E633" s="231" t="str">
        <f t="shared" si="16"/>
        <v>Jul Service Computer</v>
      </c>
      <c r="F633" s="231" t="s">
        <v>88</v>
      </c>
      <c r="G633" s="237" t="str">
        <f>IFERROR(VLOOKUP(F633,'2020 Budget'!$A$4:$B$462,2,FALSE),"N/F")</f>
        <v>09. Internet TV Entertainment Electronics</v>
      </c>
      <c r="H633" s="247">
        <v>-1.06</v>
      </c>
      <c r="I633" s="235">
        <f t="shared" si="15"/>
        <v>535.09999999999889</v>
      </c>
      <c r="J633" s="236"/>
      <c r="K633" s="207"/>
    </row>
    <row r="634" spans="1:11" customFormat="1" hidden="1">
      <c r="A634" s="235" t="s">
        <v>30</v>
      </c>
      <c r="B634" s="235" t="str">
        <f>VLOOKUP(MONTH(C634),'Lookup Tables'!$A$3:$B$14,2,FALSE)</f>
        <v>Jul</v>
      </c>
      <c r="C634" s="242">
        <v>44038</v>
      </c>
      <c r="D634" s="238" t="s">
        <v>640</v>
      </c>
      <c r="E634" s="231" t="str">
        <f t="shared" si="16"/>
        <v>Jul Dining Fast Food</v>
      </c>
      <c r="F634" s="231" t="s">
        <v>85</v>
      </c>
      <c r="G634" s="237" t="str">
        <f>IFERROR(VLOOKUP(F634,'2020 Budget'!$A$4:$B$462,2,FALSE),"N/F")</f>
        <v>04. Family Expenses</v>
      </c>
      <c r="H634" s="247">
        <v>-9.94</v>
      </c>
      <c r="I634" s="235">
        <f t="shared" si="15"/>
        <v>525.15999999999883</v>
      </c>
      <c r="J634" s="236"/>
      <c r="K634" s="207"/>
    </row>
    <row r="635" spans="1:11" customFormat="1" hidden="1">
      <c r="A635" s="235" t="s">
        <v>30</v>
      </c>
      <c r="B635" s="235" t="str">
        <f>VLOOKUP(MONTH(C635),'Lookup Tables'!$A$3:$B$14,2,FALSE)</f>
        <v>Jul</v>
      </c>
      <c r="C635" s="242">
        <v>44039</v>
      </c>
      <c r="D635" s="238" t="s">
        <v>880</v>
      </c>
      <c r="E635" s="231" t="str">
        <f t="shared" si="16"/>
        <v>Jul Credit Card Payment AADVANTAGE</v>
      </c>
      <c r="F635" s="231" t="s">
        <v>880</v>
      </c>
      <c r="G635" s="237" t="str">
        <f>IFERROR(VLOOKUP(F635,'2020 Budget'!$A$4:$B$462,2,FALSE),"N/F")</f>
        <v>02. Checking Account Expenses</v>
      </c>
      <c r="H635" s="243">
        <v>-401.41</v>
      </c>
      <c r="I635" s="235">
        <f t="shared" si="15"/>
        <v>123.74999999999881</v>
      </c>
      <c r="J635" s="236"/>
      <c r="K635" s="207"/>
    </row>
    <row r="636" spans="1:11" customFormat="1" hidden="1">
      <c r="A636" s="235" t="s">
        <v>30</v>
      </c>
      <c r="B636" s="235" t="str">
        <f>VLOOKUP(MONTH(C636),'Lookup Tables'!$A$3:$B$14,2,FALSE)</f>
        <v>Jul</v>
      </c>
      <c r="C636" s="242">
        <v>44039</v>
      </c>
      <c r="D636" s="238" t="s">
        <v>880</v>
      </c>
      <c r="E636" s="231" t="str">
        <f t="shared" si="16"/>
        <v>Jul Credit Card Payment AADVANTAGE</v>
      </c>
      <c r="F636" s="231" t="s">
        <v>880</v>
      </c>
      <c r="G636" s="237" t="str">
        <f>IFERROR(VLOOKUP(F636,'2020 Budget'!$A$4:$B$462,2,FALSE),"N/F")</f>
        <v>02. Checking Account Expenses</v>
      </c>
      <c r="H636" s="243">
        <v>-3000</v>
      </c>
      <c r="I636" s="235">
        <f t="shared" si="15"/>
        <v>-2876.2500000000014</v>
      </c>
      <c r="J636" s="236"/>
      <c r="K636" s="207"/>
    </row>
    <row r="637" spans="1:11" customFormat="1" hidden="1">
      <c r="A637" s="235" t="s">
        <v>30</v>
      </c>
      <c r="B637" s="235" t="str">
        <f>VLOOKUP(MONTH(C637),'Lookup Tables'!$A$3:$B$14,2,FALSE)</f>
        <v>Jul</v>
      </c>
      <c r="C637" s="246">
        <v>44039</v>
      </c>
      <c r="D637" s="238" t="s">
        <v>1018</v>
      </c>
      <c r="E637" s="235" t="str">
        <f t="shared" si="16"/>
        <v xml:space="preserve">Jul Credit Card Payment Best Buy </v>
      </c>
      <c r="F637" s="231" t="s">
        <v>614</v>
      </c>
      <c r="G637" s="235" t="str">
        <f>IFERROR(VLOOKUP(F637,'2020 Budget'!$A$4:$B$462,2,FALSE),"N/F")</f>
        <v>02. Checking Account Expenses</v>
      </c>
      <c r="H637" s="273">
        <v>-91.21</v>
      </c>
      <c r="I637" s="235">
        <f t="shared" si="15"/>
        <v>-2967.4600000000014</v>
      </c>
      <c r="J637" s="235"/>
      <c r="K637" s="206"/>
    </row>
    <row r="638" spans="1:11" customFormat="1" hidden="1">
      <c r="A638" s="235" t="s">
        <v>30</v>
      </c>
      <c r="B638" s="235" t="str">
        <f>VLOOKUP(MONTH(C638),'Lookup Tables'!$A$3:$B$14,2,FALSE)</f>
        <v>Jul</v>
      </c>
      <c r="C638" s="242">
        <v>44039</v>
      </c>
      <c r="D638" s="238" t="s">
        <v>991</v>
      </c>
      <c r="E638" s="231" t="str">
        <f t="shared" si="16"/>
        <v xml:space="preserve">Jul Credit Card Payment Costco Visa </v>
      </c>
      <c r="F638" s="231" t="s">
        <v>615</v>
      </c>
      <c r="G638" s="237" t="str">
        <f>IFERROR(VLOOKUP(F638,'2020 Budget'!$A$4:$B$462,2,FALSE),"N/F")</f>
        <v>02. Checking Account Expenses</v>
      </c>
      <c r="H638" s="243">
        <v>-1000</v>
      </c>
      <c r="I638" s="235">
        <f t="shared" si="15"/>
        <v>-3967.4600000000014</v>
      </c>
      <c r="J638" s="236"/>
      <c r="K638" s="207"/>
    </row>
    <row r="639" spans="1:11" customFormat="1" hidden="1">
      <c r="A639" s="235" t="s">
        <v>30</v>
      </c>
      <c r="B639" s="235" t="str">
        <f>VLOOKUP(MONTH(C639),'Lookup Tables'!$A$3:$B$14,2,FALSE)</f>
        <v>Jul</v>
      </c>
      <c r="C639" s="246">
        <v>44039</v>
      </c>
      <c r="D639" s="238" t="s">
        <v>613</v>
      </c>
      <c r="E639" s="235" t="str">
        <f t="shared" si="16"/>
        <v>Jul Credit Card Payment Home Depot</v>
      </c>
      <c r="F639" s="231" t="s">
        <v>613</v>
      </c>
      <c r="G639" s="235" t="str">
        <f>IFERROR(VLOOKUP(F639,'2020 Budget'!$A$4:$B$462,2,FALSE),"N/F")</f>
        <v>02. Checking Account Expenses</v>
      </c>
      <c r="H639" s="273">
        <v>-413.42</v>
      </c>
      <c r="I639" s="235">
        <f t="shared" si="15"/>
        <v>-4380.880000000001</v>
      </c>
      <c r="J639" s="235"/>
      <c r="K639" s="206"/>
    </row>
    <row r="640" spans="1:11" hidden="1">
      <c r="A640" s="235" t="s">
        <v>30</v>
      </c>
      <c r="B640" s="235" t="str">
        <f>VLOOKUP(MONTH(C640),'Lookup Tables'!$A$3:$B$14,2,FALSE)</f>
        <v>Jul</v>
      </c>
      <c r="C640" s="246">
        <v>44039</v>
      </c>
      <c r="D640" s="238" t="s">
        <v>1019</v>
      </c>
      <c r="E640" s="235" t="str">
        <f t="shared" si="16"/>
        <v>Jul Dining Fast Food</v>
      </c>
      <c r="F640" s="231" t="s">
        <v>85</v>
      </c>
      <c r="G640" s="235" t="str">
        <f>IFERROR(VLOOKUP(F640,'2020 Budget'!$A$4:$B$462,2,FALSE),"N/F")</f>
        <v>04. Family Expenses</v>
      </c>
      <c r="H640" s="235">
        <v>-8.7899999999999991</v>
      </c>
      <c r="I640" s="235">
        <f t="shared" si="15"/>
        <v>-4389.670000000001</v>
      </c>
      <c r="J640" s="235"/>
      <c r="K640" s="206"/>
    </row>
    <row r="641" spans="1:11" hidden="1">
      <c r="A641" s="235" t="s">
        <v>30</v>
      </c>
      <c r="B641" s="235" t="str">
        <f>VLOOKUP(MONTH(C641),'Lookup Tables'!$A$3:$B$14,2,FALSE)</f>
        <v>Jul</v>
      </c>
      <c r="C641" s="242">
        <v>44039</v>
      </c>
      <c r="D641" s="238" t="s">
        <v>603</v>
      </c>
      <c r="E641" s="231" t="str">
        <f t="shared" si="16"/>
        <v>Jul Retirement Funds</v>
      </c>
      <c r="F641" s="231" t="s">
        <v>10</v>
      </c>
      <c r="G641" s="237" t="str">
        <f>IFERROR(VLOOKUP(F641,'2020 Budget'!$A$4:$B$462,2,FALSE),"N/F")</f>
        <v>01. Checking Account Income</v>
      </c>
      <c r="H641" s="247">
        <v>8500.42</v>
      </c>
      <c r="I641" s="235">
        <f t="shared" si="15"/>
        <v>4110.7499999999991</v>
      </c>
      <c r="J641" s="236"/>
      <c r="K641" s="207"/>
    </row>
    <row r="642" spans="1:11" hidden="1">
      <c r="A642" s="235" t="s">
        <v>30</v>
      </c>
      <c r="B642" s="235" t="str">
        <f>VLOOKUP(MONTH(C642),'Lookup Tables'!$A$3:$B$14,2,FALSE)</f>
        <v>Jul</v>
      </c>
      <c r="C642" s="242">
        <v>44039</v>
      </c>
      <c r="D642" s="238" t="s">
        <v>797</v>
      </c>
      <c r="E642" s="231" t="str">
        <f t="shared" si="16"/>
        <v>Jul Dining Restaurant</v>
      </c>
      <c r="F642" s="231" t="s">
        <v>145</v>
      </c>
      <c r="G642" s="237" t="str">
        <f>IFERROR(VLOOKUP(F642,'2020 Budget'!$A$4:$B$462,2,FALSE),"N/F")</f>
        <v>04. Family Expenses</v>
      </c>
      <c r="H642" s="243">
        <v>-19.55</v>
      </c>
      <c r="I642" s="235">
        <f t="shared" si="15"/>
        <v>4091.1999999999989</v>
      </c>
      <c r="J642" s="236"/>
      <c r="K642" s="207"/>
    </row>
    <row r="643" spans="1:11" hidden="1">
      <c r="A643" s="235" t="s">
        <v>30</v>
      </c>
      <c r="B643" s="235" t="str">
        <f>VLOOKUP(MONTH(C643),'Lookup Tables'!$A$3:$B$14,2,FALSE)</f>
        <v>Aug</v>
      </c>
      <c r="C643" s="246">
        <v>44044</v>
      </c>
      <c r="D643" s="238" t="s">
        <v>1020</v>
      </c>
      <c r="E643" s="235" t="str">
        <f t="shared" si="16"/>
        <v>Aug Mortgage + Property Taxes</v>
      </c>
      <c r="F643" s="248" t="s">
        <v>347</v>
      </c>
      <c r="G643" s="235" t="str">
        <f>IFERROR(VLOOKUP(F643,'2020 Budget'!$A$4:$B$462,2,FALSE),"N/F")</f>
        <v>02. Checking Account Expenses</v>
      </c>
      <c r="H643" s="235">
        <v>-1523</v>
      </c>
      <c r="I643" s="235">
        <f t="shared" ref="I643" si="17">I642+H643</f>
        <v>2568.1999999999989</v>
      </c>
      <c r="J643" s="235"/>
      <c r="K643" s="206"/>
    </row>
    <row r="644" spans="1:11" hidden="1">
      <c r="A644" s="235" t="s">
        <v>30</v>
      </c>
      <c r="B644" s="235" t="str">
        <f>VLOOKUP(MONTH(C644),'Lookup Tables'!$A$3:$B$14,2,FALSE)</f>
        <v>Aug</v>
      </c>
      <c r="C644" s="242">
        <v>44046</v>
      </c>
      <c r="D644" s="238" t="s">
        <v>1020</v>
      </c>
      <c r="E644" s="235" t="str">
        <f t="shared" si="16"/>
        <v>Aug Mortgage + Property Taxes</v>
      </c>
      <c r="F644" s="248" t="s">
        <v>347</v>
      </c>
      <c r="G644" s="235" t="str">
        <f>IFERROR(VLOOKUP(F644,'2020 Budget'!$A$4:$B$462,2,FALSE),"N/F")</f>
        <v>02. Checking Account Expenses</v>
      </c>
      <c r="H644" s="231">
        <v>-1683.08</v>
      </c>
      <c r="I644" s="235">
        <f t="shared" si="15"/>
        <v>885.11999999999898</v>
      </c>
      <c r="J644" s="236"/>
      <c r="K644" s="207"/>
    </row>
    <row r="645" spans="1:11">
      <c r="A645" s="235" t="s">
        <v>30</v>
      </c>
      <c r="B645" s="235" t="str">
        <f>VLOOKUP(MONTH(C645),'Lookup Tables'!$A$3:$B$14,2,FALSE)</f>
        <v>Jul</v>
      </c>
      <c r="C645" s="242">
        <v>44039</v>
      </c>
      <c r="D645" s="238" t="s">
        <v>1021</v>
      </c>
      <c r="E645" s="231" t="str">
        <f t="shared" si="16"/>
        <v>Jul Ford Fusion Auto Purchase</v>
      </c>
      <c r="F645" s="231" t="s">
        <v>150</v>
      </c>
      <c r="G645" s="237" t="str">
        <f>IFERROR(VLOOKUP(F645,'2020 Budget'!$A$4:$B$462,2,FALSE),"N/F")</f>
        <v>15.  Ford Fusion</v>
      </c>
      <c r="H645" s="243">
        <v>-100</v>
      </c>
      <c r="I645" s="235">
        <f t="shared" si="15"/>
        <v>785.11999999999898</v>
      </c>
      <c r="J645" s="236"/>
      <c r="K645" s="207"/>
    </row>
    <row r="646" spans="1:11" hidden="1">
      <c r="A646" s="235" t="s">
        <v>30</v>
      </c>
      <c r="B646" s="235" t="str">
        <f>VLOOKUP(MONTH(C646),'Lookup Tables'!$A$3:$B$14,2,FALSE)</f>
        <v>Jul</v>
      </c>
      <c r="C646" s="242">
        <v>44039</v>
      </c>
      <c r="D646" s="248" t="s">
        <v>616</v>
      </c>
      <c r="E646" s="231" t="str">
        <f t="shared" si="16"/>
        <v>Jul Credit Card Payment Marriott AMEX</v>
      </c>
      <c r="F646" s="248" t="s">
        <v>616</v>
      </c>
      <c r="G646" s="237" t="str">
        <f>IFERROR(VLOOKUP(F646,'2020 Budget'!$A$4:$B$462,2,FALSE),"N/F")</f>
        <v>02. Checking Account Expenses</v>
      </c>
      <c r="H646" s="243">
        <v>-500</v>
      </c>
      <c r="I646" s="235">
        <f t="shared" ref="I646" si="18">I645+H646</f>
        <v>285.11999999999898</v>
      </c>
      <c r="J646" s="236"/>
      <c r="K646" s="207"/>
    </row>
    <row r="647" spans="1:11" customFormat="1" hidden="1">
      <c r="A647" s="182" t="s">
        <v>992</v>
      </c>
      <c r="B647" s="182" t="str">
        <f>VLOOKUP(MONTH(C647),'Lookup Tables'!$A$3:$B$14,2,FALSE)</f>
        <v>Jan</v>
      </c>
      <c r="C647" s="183">
        <v>43832</v>
      </c>
      <c r="D647" s="184" t="s">
        <v>365</v>
      </c>
      <c r="E647" s="185" t="str">
        <f t="shared" ref="E647:E648" si="19">B647&amp;" "&amp;F647</f>
        <v>Jan Payment Other</v>
      </c>
      <c r="F647" s="186" t="s">
        <v>365</v>
      </c>
      <c r="G647" s="187" t="str">
        <f>IFERROR(VLOOKUP(F647,'2020 Budget'!$A$4:$B$462,2,FALSE),"N/F")</f>
        <v>16. Not Tracked</v>
      </c>
      <c r="H647" s="210">
        <v>70</v>
      </c>
      <c r="I647" s="182">
        <f t="shared" ref="I647:I650" si="20">I648-H648</f>
        <v>-164.78</v>
      </c>
      <c r="J647" s="188"/>
      <c r="K647" s="185"/>
    </row>
    <row r="648" spans="1:11" customFormat="1" hidden="1">
      <c r="A648" s="182" t="s">
        <v>992</v>
      </c>
      <c r="B648" s="182" t="str">
        <f>VLOOKUP(MONTH(C648),'Lookup Tables'!$A$3:$B$14,2,FALSE)</f>
        <v>Jan</v>
      </c>
      <c r="C648" s="183">
        <v>43837</v>
      </c>
      <c r="D648" s="184" t="s">
        <v>365</v>
      </c>
      <c r="E648" s="185" t="str">
        <f t="shared" si="19"/>
        <v>Jan Payment Other</v>
      </c>
      <c r="F648" s="186" t="s">
        <v>365</v>
      </c>
      <c r="G648" s="187" t="str">
        <f>IFERROR(VLOOKUP(F648,'2020 Budget'!$A$4:$B$462,2,FALSE),"N/F")</f>
        <v>16. Not Tracked</v>
      </c>
      <c r="H648" s="210">
        <v>24.78</v>
      </c>
      <c r="I648" s="182">
        <f t="shared" si="20"/>
        <v>-140</v>
      </c>
      <c r="J648" s="188"/>
      <c r="K648" s="185"/>
    </row>
    <row r="649" spans="1:11" customFormat="1" hidden="1">
      <c r="A649" s="182" t="s">
        <v>992</v>
      </c>
      <c r="B649" s="182" t="str">
        <f>VLOOKUP(MONTH(C649),'Lookup Tables'!$A$3:$B$14,2,FALSE)</f>
        <v>Jan</v>
      </c>
      <c r="C649" s="183">
        <v>43861</v>
      </c>
      <c r="D649" s="184" t="s">
        <v>365</v>
      </c>
      <c r="E649" s="185" t="str">
        <f t="shared" ref="E649:E650" si="21">B649&amp;" "&amp;F649</f>
        <v>Jan Payment Other</v>
      </c>
      <c r="F649" s="186" t="s">
        <v>365</v>
      </c>
      <c r="G649" s="187" t="str">
        <f>IFERROR(VLOOKUP(F649,'2020 Budget'!$A$4:$B$462,2,FALSE),"N/F")</f>
        <v>16. Not Tracked</v>
      </c>
      <c r="H649" s="210">
        <v>70</v>
      </c>
      <c r="I649" s="182">
        <f t="shared" si="20"/>
        <v>-70</v>
      </c>
      <c r="J649" s="188"/>
      <c r="K649" s="185"/>
    </row>
    <row r="650" spans="1:11" customFormat="1" hidden="1">
      <c r="A650" s="182" t="s">
        <v>992</v>
      </c>
      <c r="B650" s="182" t="str">
        <f>VLOOKUP(MONTH(C650),'Lookup Tables'!$A$3:$B$14,2,FALSE)</f>
        <v>Feb</v>
      </c>
      <c r="C650" s="183">
        <v>43889</v>
      </c>
      <c r="D650" s="184" t="s">
        <v>365</v>
      </c>
      <c r="E650" s="185" t="str">
        <f t="shared" si="21"/>
        <v>Feb Payment Other</v>
      </c>
      <c r="F650" s="186" t="s">
        <v>365</v>
      </c>
      <c r="G650" s="187" t="str">
        <f>IFERROR(VLOOKUP(F650,'2020 Budget'!$A$4:$B$462,2,FALSE),"N/F")</f>
        <v>16. Not Tracked</v>
      </c>
      <c r="H650" s="210">
        <v>70</v>
      </c>
      <c r="I650" s="182">
        <f t="shared" si="20"/>
        <v>0</v>
      </c>
      <c r="J650" s="188"/>
      <c r="K650" s="185"/>
    </row>
    <row r="651" spans="1:11" customFormat="1" hidden="1">
      <c r="A651" s="182" t="s">
        <v>992</v>
      </c>
      <c r="B651" s="182" t="str">
        <f>VLOOKUP(MONTH(C651),'Lookup Tables'!$A$3:$B$14,2,FALSE)</f>
        <v>Feb</v>
      </c>
      <c r="C651" s="183">
        <v>43889</v>
      </c>
      <c r="D651" s="184" t="s">
        <v>365</v>
      </c>
      <c r="E651" s="185" t="str">
        <f t="shared" ref="E651" si="22">B651&amp;" "&amp;F651</f>
        <v>Feb Payment Other</v>
      </c>
      <c r="F651" s="186" t="s">
        <v>365</v>
      </c>
      <c r="G651" s="187" t="str">
        <f>IFERROR(VLOOKUP(F651,'2020 Budget'!$A$4:$B$462,2,FALSE),"N/F")</f>
        <v>16. Not Tracked</v>
      </c>
      <c r="H651" s="210">
        <v>-70</v>
      </c>
      <c r="I651" s="182">
        <f>I652-H652</f>
        <v>-70</v>
      </c>
      <c r="J651" s="188"/>
      <c r="K651" s="185"/>
    </row>
    <row r="652" spans="1:11" customFormat="1" hidden="1">
      <c r="A652" s="182" t="s">
        <v>992</v>
      </c>
      <c r="B652" s="182" t="str">
        <f>VLOOKUP(MONTH(C652),'Lookup Tables'!$A$3:$B$14,2,FALSE)</f>
        <v>Apr</v>
      </c>
      <c r="C652" s="183">
        <v>43933</v>
      </c>
      <c r="D652" s="184" t="s">
        <v>365</v>
      </c>
      <c r="E652" s="185" t="str">
        <f t="shared" ref="E652" si="23">B652&amp;" "&amp;F652</f>
        <v>Apr Payment Other</v>
      </c>
      <c r="F652" s="186" t="s">
        <v>365</v>
      </c>
      <c r="G652" s="187" t="str">
        <f>IFERROR(VLOOKUP(F652,'2020 Budget'!$A$4:$B$462,2,FALSE),"N/F")</f>
        <v>16. Not Tracked</v>
      </c>
      <c r="H652" s="210">
        <v>70</v>
      </c>
      <c r="I652" s="182">
        <v>0</v>
      </c>
      <c r="J652" s="188" t="s">
        <v>360</v>
      </c>
      <c r="K652" s="185"/>
    </row>
    <row r="653" spans="1:11" customFormat="1" hidden="1">
      <c r="A653" s="182" t="s">
        <v>992</v>
      </c>
      <c r="B653" s="182" t="str">
        <f>VLOOKUP(MONTH(C653),'Lookup Tables'!$A$3:$B$14,2,FALSE)</f>
        <v>Jun</v>
      </c>
      <c r="C653" s="183">
        <v>43987</v>
      </c>
      <c r="D653" s="184" t="s">
        <v>993</v>
      </c>
      <c r="E653" s="185" t="str">
        <f t="shared" ref="E653:E654" si="24">B653&amp;" "&amp;F653</f>
        <v>Jun Merchandise Computer</v>
      </c>
      <c r="F653" s="186" t="s">
        <v>35</v>
      </c>
      <c r="G653" s="187" t="str">
        <f>IFERROR(VLOOKUP(F653,'2020 Budget'!$A$4:$B$462,2,FALSE),"N/F")</f>
        <v>09. Internet TV Entertainment Electronics</v>
      </c>
      <c r="H653" s="210">
        <v>-164.28</v>
      </c>
      <c r="I653" s="182">
        <f>I652+H653</f>
        <v>-164.28</v>
      </c>
      <c r="J653" s="188" t="s">
        <v>360</v>
      </c>
      <c r="K653" s="185"/>
    </row>
    <row r="654" spans="1:11" customFormat="1" ht="19.5" hidden="1" customHeight="1">
      <c r="A654" s="182" t="s">
        <v>992</v>
      </c>
      <c r="B654" s="182" t="str">
        <f>VLOOKUP(MONTH(C654),'Lookup Tables'!$A$3:$B$14,2,FALSE)</f>
        <v>Jul</v>
      </c>
      <c r="C654" s="183">
        <v>44019</v>
      </c>
      <c r="D654" s="184" t="s">
        <v>365</v>
      </c>
      <c r="E654" s="185" t="str">
        <f t="shared" si="24"/>
        <v>Jul Payment Other</v>
      </c>
      <c r="F654" s="186" t="s">
        <v>365</v>
      </c>
      <c r="G654" s="187" t="str">
        <f>IFERROR(VLOOKUP(F654,'2020 Budget'!$A$4:$B$462,2,FALSE),"N/F")</f>
        <v>16. Not Tracked</v>
      </c>
      <c r="H654" s="210">
        <v>75</v>
      </c>
      <c r="I654" s="182">
        <f t="shared" ref="I654:I663" si="25">I653+H654</f>
        <v>-89.28</v>
      </c>
      <c r="J654" s="188" t="s">
        <v>360</v>
      </c>
      <c r="K654" s="185"/>
    </row>
    <row r="655" spans="1:11" customFormat="1" hidden="1">
      <c r="A655" s="182" t="s">
        <v>992</v>
      </c>
      <c r="B655" s="182" t="str">
        <f>VLOOKUP(MONTH(C655),'Lookup Tables'!$A$3:$B$14,2,FALSE)</f>
        <v>Jul</v>
      </c>
      <c r="C655" s="183">
        <v>44025</v>
      </c>
      <c r="D655" s="184" t="s">
        <v>452</v>
      </c>
      <c r="E655" s="185" t="str">
        <f t="shared" ref="E655" si="26">B655&amp;" "&amp;F655</f>
        <v>Jul Fee Credit Card Interest</v>
      </c>
      <c r="F655" s="186" t="s">
        <v>255</v>
      </c>
      <c r="G655" s="187" t="str">
        <f>IFERROR(VLOOKUP(F655,'2020 Budget'!$A$4:$B$462,2,FALSE),"N/F")</f>
        <v>14. Undesired Expenses</v>
      </c>
      <c r="H655" s="210">
        <v>-1.93</v>
      </c>
      <c r="I655" s="182">
        <f t="shared" si="25"/>
        <v>-91.210000000000008</v>
      </c>
      <c r="J655" s="188" t="s">
        <v>360</v>
      </c>
      <c r="K655" s="185"/>
    </row>
    <row r="656" spans="1:11" customFormat="1" ht="19.5" hidden="1" customHeight="1">
      <c r="A656" s="182" t="s">
        <v>992</v>
      </c>
      <c r="B656" s="182" t="str">
        <f>VLOOKUP(MONTH(C656),'Lookup Tables'!$A$3:$B$14,2,FALSE)</f>
        <v>Jul</v>
      </c>
      <c r="C656" s="183">
        <v>44028</v>
      </c>
      <c r="D656" s="184" t="s">
        <v>994</v>
      </c>
      <c r="E656" s="185" t="str">
        <f t="shared" ref="E656:E657" si="27">B656&amp;" "&amp;F656</f>
        <v>Jul Mom Other</v>
      </c>
      <c r="F656" s="186" t="s">
        <v>995</v>
      </c>
      <c r="G656" s="187" t="str">
        <f>IFERROR(VLOOKUP(F656,'2020 Budget'!$A$4:$B$462,2,FALSE),"N/F")</f>
        <v>10. Mom Expenses</v>
      </c>
      <c r="H656" s="210">
        <v>-10.59</v>
      </c>
      <c r="I656" s="182">
        <f t="shared" si="25"/>
        <v>-101.80000000000001</v>
      </c>
      <c r="J656" s="188"/>
      <c r="K656" s="185"/>
    </row>
    <row r="657" spans="1:11" customFormat="1" hidden="1">
      <c r="A657" s="182" t="s">
        <v>992</v>
      </c>
      <c r="B657" s="182" t="str">
        <f>VLOOKUP(MONTH(C657),'Lookup Tables'!$A$3:$B$14,2,FALSE)</f>
        <v>Jul</v>
      </c>
      <c r="C657" s="183">
        <v>44035</v>
      </c>
      <c r="D657" s="184" t="s">
        <v>996</v>
      </c>
      <c r="E657" s="185" t="str">
        <f t="shared" si="27"/>
        <v>Jul Merchandise Computer</v>
      </c>
      <c r="F657" s="186" t="s">
        <v>35</v>
      </c>
      <c r="G657" s="187" t="str">
        <f>IFERROR(VLOOKUP(F657,'2020 Budget'!$A$4:$B$462,2,FALSE),"N/F")</f>
        <v>09. Internet TV Entertainment Electronics</v>
      </c>
      <c r="H657" s="210">
        <v>-37.090000000000003</v>
      </c>
      <c r="I657" s="182">
        <f t="shared" si="25"/>
        <v>-138.89000000000001</v>
      </c>
      <c r="J657" s="188"/>
      <c r="K657" s="185"/>
    </row>
    <row r="658" spans="1:11" customFormat="1" hidden="1">
      <c r="A658" s="182" t="s">
        <v>992</v>
      </c>
      <c r="B658" s="182" t="str">
        <f>VLOOKUP(MONTH(C658),'Lookup Tables'!$A$3:$B$14,2,FALSE)</f>
        <v>Jul</v>
      </c>
      <c r="C658" s="183">
        <v>44025</v>
      </c>
      <c r="D658" s="184" t="s">
        <v>365</v>
      </c>
      <c r="E658" s="185" t="str">
        <f t="shared" ref="E658" si="28">B658&amp;" "&amp;F658</f>
        <v>Jul Payment Other</v>
      </c>
      <c r="F658" s="186" t="s">
        <v>365</v>
      </c>
      <c r="G658" s="187" t="str">
        <f>IFERROR(VLOOKUP(F658,'2020 Budget'!$A$4:$B$462,2,FALSE),"N/F")</f>
        <v>16. Not Tracked</v>
      </c>
      <c r="H658" s="210">
        <v>91.21</v>
      </c>
      <c r="I658" s="182">
        <f t="shared" si="25"/>
        <v>-47.680000000000021</v>
      </c>
      <c r="J658" s="188"/>
      <c r="K658" s="185"/>
    </row>
    <row r="659" spans="1:11" customFormat="1" hidden="1">
      <c r="A659" s="182" t="s">
        <v>992</v>
      </c>
      <c r="B659" s="182" t="str">
        <f>VLOOKUP(MONTH(C659),'Lookup Tables'!$A$3:$B$14,2,FALSE)</f>
        <v>Jul</v>
      </c>
      <c r="C659" s="183">
        <v>44028</v>
      </c>
      <c r="D659" s="184" t="s">
        <v>1034</v>
      </c>
      <c r="E659" s="185" t="str">
        <f t="shared" ref="E659:E663" si="29">B659&amp;" "&amp;F659</f>
        <v>Jul Payment Other</v>
      </c>
      <c r="F659" s="186" t="s">
        <v>365</v>
      </c>
      <c r="G659" s="187" t="str">
        <f>IFERROR(VLOOKUP(F659,'2020 Budget'!$A$4:$B$462,2,FALSE),"N/F")</f>
        <v>16. Not Tracked</v>
      </c>
      <c r="H659" s="210">
        <v>-10.59</v>
      </c>
      <c r="I659" s="182">
        <f t="shared" si="25"/>
        <v>-58.270000000000024</v>
      </c>
      <c r="J659" s="188"/>
      <c r="K659" s="185"/>
    </row>
    <row r="660" spans="1:11" customFormat="1" hidden="1">
      <c r="A660" s="182" t="s">
        <v>992</v>
      </c>
      <c r="B660" s="182" t="str">
        <f>VLOOKUP(MONTH(C660),'Lookup Tables'!$A$3:$B$14,2,FALSE)</f>
        <v>Jul</v>
      </c>
      <c r="C660" s="183">
        <v>44035</v>
      </c>
      <c r="D660" s="184" t="s">
        <v>1035</v>
      </c>
      <c r="E660" s="185" t="str">
        <f t="shared" si="29"/>
        <v>Jul Payment Other</v>
      </c>
      <c r="F660" s="186" t="s">
        <v>365</v>
      </c>
      <c r="G660" s="187" t="str">
        <f>IFERROR(VLOOKUP(F660,'2020 Budget'!$A$4:$B$462,2,FALSE),"N/F")</f>
        <v>16. Not Tracked</v>
      </c>
      <c r="H660" s="210">
        <v>-37.090000000000003</v>
      </c>
      <c r="I660" s="182">
        <f t="shared" si="25"/>
        <v>-95.360000000000028</v>
      </c>
      <c r="J660" s="188"/>
      <c r="K660" s="185"/>
    </row>
    <row r="661" spans="1:11" customFormat="1" hidden="1">
      <c r="A661" s="182" t="s">
        <v>992</v>
      </c>
      <c r="B661" s="182" t="str">
        <f>VLOOKUP(MONTH(C661),'Lookup Tables'!$A$3:$B$14,2,FALSE)</f>
        <v>Jul</v>
      </c>
      <c r="C661" s="183">
        <v>44038</v>
      </c>
      <c r="D661" s="184" t="s">
        <v>1036</v>
      </c>
      <c r="E661" s="185" t="str">
        <f t="shared" si="29"/>
        <v>Jul Payment Other</v>
      </c>
      <c r="F661" s="186" t="s">
        <v>365</v>
      </c>
      <c r="G661" s="187" t="str">
        <f>IFERROR(VLOOKUP(F661,'2020 Budget'!$A$4:$B$462,2,FALSE),"N/F")</f>
        <v>16. Not Tracked</v>
      </c>
      <c r="H661" s="210">
        <v>91.21</v>
      </c>
      <c r="I661" s="182">
        <f t="shared" si="25"/>
        <v>-4.1500000000000341</v>
      </c>
      <c r="J661" s="188"/>
      <c r="K661" s="185"/>
    </row>
    <row r="662" spans="1:11" customFormat="1" hidden="1">
      <c r="A662" s="182" t="s">
        <v>992</v>
      </c>
      <c r="B662" s="182" t="str">
        <f>VLOOKUP(MONTH(C662),'Lookup Tables'!$A$3:$B$14,2,FALSE)</f>
        <v>Aug</v>
      </c>
      <c r="C662" s="183">
        <v>44050</v>
      </c>
      <c r="D662" s="184" t="s">
        <v>1037</v>
      </c>
      <c r="E662" s="185" t="str">
        <f t="shared" si="29"/>
        <v>Aug Payment Other</v>
      </c>
      <c r="F662" s="186" t="s">
        <v>365</v>
      </c>
      <c r="G662" s="187" t="str">
        <f>IFERROR(VLOOKUP(F662,'2020 Budget'!$A$4:$B$462,2,FALSE),"N/F")</f>
        <v>16. Not Tracked</v>
      </c>
      <c r="H662" s="210">
        <v>47.68</v>
      </c>
      <c r="I662" s="182">
        <f t="shared" si="25"/>
        <v>43.529999999999966</v>
      </c>
      <c r="J662" s="188"/>
      <c r="K662" s="185"/>
    </row>
    <row r="663" spans="1:11" customFormat="1" hidden="1">
      <c r="A663" s="182" t="s">
        <v>992</v>
      </c>
      <c r="B663" s="182" t="str">
        <f>VLOOKUP(MONTH(C663),'Lookup Tables'!$A$3:$B$14,2,FALSE)</f>
        <v>Aug</v>
      </c>
      <c r="C663" s="183">
        <v>44071</v>
      </c>
      <c r="D663" s="184" t="s">
        <v>1038</v>
      </c>
      <c r="E663" s="185" t="str">
        <f t="shared" si="29"/>
        <v>Aug Payment Other</v>
      </c>
      <c r="F663" s="186" t="s">
        <v>365</v>
      </c>
      <c r="G663" s="187" t="str">
        <f>IFERROR(VLOOKUP(F663,'2020 Budget'!$A$4:$B$462,2,FALSE),"N/F")</f>
        <v>16. Not Tracked</v>
      </c>
      <c r="H663" s="210">
        <v>-58.29</v>
      </c>
      <c r="I663" s="182">
        <f t="shared" si="25"/>
        <v>-14.760000000000034</v>
      </c>
      <c r="J663" s="188"/>
      <c r="K663" s="185"/>
    </row>
    <row r="664" spans="1:11" hidden="1">
      <c r="A664" s="249" t="s">
        <v>27</v>
      </c>
      <c r="B664" s="250" t="str">
        <f>VLOOKUP(MONTH(C664),'Lookup Tables'!$A$3:$B$14,2,FALSE)</f>
        <v>Jan</v>
      </c>
      <c r="C664" s="251">
        <v>43831</v>
      </c>
      <c r="D664" s="250" t="s">
        <v>964</v>
      </c>
      <c r="E664" s="250" t="str">
        <f t="shared" ref="E664:E720" si="30">B664&amp;" "&amp;F664</f>
        <v>Jan Beginning Balance Other</v>
      </c>
      <c r="F664" s="250" t="s">
        <v>363</v>
      </c>
      <c r="G664" s="250" t="str">
        <f>IFERROR(VLOOKUP(F664,'2020 Budget'!$A$4:$B$462,2,FALSE),"N/F")</f>
        <v>16. Not Tracked</v>
      </c>
      <c r="H664" s="250"/>
      <c r="I664" s="252">
        <v>-7117.12</v>
      </c>
      <c r="J664" s="253" t="s">
        <v>360</v>
      </c>
      <c r="K664" s="190"/>
    </row>
    <row r="665" spans="1:11" hidden="1">
      <c r="A665" s="249" t="s">
        <v>27</v>
      </c>
      <c r="B665" s="250" t="str">
        <f>VLOOKUP(MONTH(C665),'Lookup Tables'!$A$3:$B$14,2,FALSE)</f>
        <v>Jan</v>
      </c>
      <c r="C665" s="251">
        <v>43843</v>
      </c>
      <c r="D665" s="250" t="s">
        <v>292</v>
      </c>
      <c r="E665" s="250" t="str">
        <f t="shared" si="30"/>
        <v>Jan Phone</v>
      </c>
      <c r="F665" s="250" t="s">
        <v>21</v>
      </c>
      <c r="G665" s="250" t="str">
        <f>IFERROR(VLOOKUP(F665,'2020 Budget'!$A$4:$B$462,2,FALSE),"N/F")</f>
        <v>09. Internet TV Entertainment Electronics</v>
      </c>
      <c r="H665" s="250">
        <v>-50</v>
      </c>
      <c r="I665" s="252">
        <v>-7167.12</v>
      </c>
      <c r="J665" s="253" t="s">
        <v>360</v>
      </c>
      <c r="K665" s="190"/>
    </row>
    <row r="666" spans="1:11" hidden="1">
      <c r="A666" s="249" t="s">
        <v>27</v>
      </c>
      <c r="B666" s="250" t="str">
        <f>VLOOKUP(MONTH(C666),'Lookup Tables'!$A$3:$B$14,2,FALSE)</f>
        <v>Jan</v>
      </c>
      <c r="C666" s="251">
        <v>43843</v>
      </c>
      <c r="D666" s="250" t="s">
        <v>292</v>
      </c>
      <c r="E666" s="250" t="str">
        <f t="shared" si="30"/>
        <v>Jan Phone</v>
      </c>
      <c r="F666" s="250" t="s">
        <v>21</v>
      </c>
      <c r="G666" s="250" t="str">
        <f>IFERROR(VLOOKUP(F666,'2020 Budget'!$A$4:$B$462,2,FALSE),"N/F")</f>
        <v>09. Internet TV Entertainment Electronics</v>
      </c>
      <c r="H666" s="250">
        <f>-207.97+50</f>
        <v>-157.97</v>
      </c>
      <c r="I666" s="252">
        <v>-7325.09</v>
      </c>
      <c r="J666" s="253" t="s">
        <v>360</v>
      </c>
      <c r="K666" s="190"/>
    </row>
    <row r="667" spans="1:11" hidden="1">
      <c r="A667" s="249" t="s">
        <v>27</v>
      </c>
      <c r="B667" s="250" t="str">
        <f>VLOOKUP(MONTH(C667),'Lookup Tables'!$A$3:$B$14,2,FALSE)</f>
        <v>Jan</v>
      </c>
      <c r="C667" s="251">
        <v>43853</v>
      </c>
      <c r="D667" s="250" t="s">
        <v>466</v>
      </c>
      <c r="E667" s="250" t="str">
        <f t="shared" si="30"/>
        <v>Jan Payment Other</v>
      </c>
      <c r="F667" s="250" t="s">
        <v>365</v>
      </c>
      <c r="G667" s="250" t="str">
        <f>IFERROR(VLOOKUP(F667,'2020 Budget'!$A$4:$B$462,2,FALSE),"N/F")</f>
        <v>16. Not Tracked</v>
      </c>
      <c r="H667" s="250">
        <v>1000</v>
      </c>
      <c r="I667" s="252">
        <v>-6325.09</v>
      </c>
      <c r="J667" s="253" t="s">
        <v>360</v>
      </c>
      <c r="K667" s="190"/>
    </row>
    <row r="668" spans="1:11" hidden="1">
      <c r="A668" s="249" t="s">
        <v>27</v>
      </c>
      <c r="B668" s="250" t="str">
        <f>VLOOKUP(MONTH(C668),'Lookup Tables'!$A$3:$B$14,2,FALSE)</f>
        <v>Jan</v>
      </c>
      <c r="C668" s="251">
        <v>43857</v>
      </c>
      <c r="D668" s="250" t="s">
        <v>465</v>
      </c>
      <c r="E668" s="250" t="str">
        <f t="shared" si="30"/>
        <v>Jan Fee Credit Card Interest</v>
      </c>
      <c r="F668" s="250" t="s">
        <v>255</v>
      </c>
      <c r="G668" s="250" t="str">
        <f>IFERROR(VLOOKUP(F668,'2020 Budget'!$A$4:$B$462,2,FALSE),"N/F")</f>
        <v>14. Undesired Expenses</v>
      </c>
      <c r="H668" s="250">
        <v>-104.33</v>
      </c>
      <c r="I668" s="252">
        <v>-6429.42</v>
      </c>
      <c r="J668" s="253" t="s">
        <v>360</v>
      </c>
      <c r="K668" s="190"/>
    </row>
    <row r="669" spans="1:11" hidden="1">
      <c r="A669" s="249" t="s">
        <v>27</v>
      </c>
      <c r="B669" s="250" t="str">
        <f>VLOOKUP(MONTH(C669),'Lookup Tables'!$A$3:$B$14,2,FALSE)</f>
        <v>Jan</v>
      </c>
      <c r="C669" s="251">
        <v>43858</v>
      </c>
      <c r="D669" s="250" t="s">
        <v>964</v>
      </c>
      <c r="E669" s="250" t="str">
        <f t="shared" si="30"/>
        <v>Jan Beginning Balance Other</v>
      </c>
      <c r="F669" s="250" t="s">
        <v>363</v>
      </c>
      <c r="G669" s="250" t="str">
        <f>IFERROR(VLOOKUP(F669,'2020 Budget'!$A$4:$B$462,2,FALSE),"N/F")</f>
        <v>16. Not Tracked</v>
      </c>
      <c r="H669" s="250"/>
      <c r="I669" s="254">
        <v>-6429.42</v>
      </c>
      <c r="J669" s="253" t="s">
        <v>360</v>
      </c>
      <c r="K669" s="190"/>
    </row>
    <row r="670" spans="1:11" hidden="1">
      <c r="A670" s="249" t="s">
        <v>27</v>
      </c>
      <c r="B670" s="250" t="str">
        <f>VLOOKUP(MONTH(C670),'Lookup Tables'!$A$3:$B$14,2,FALSE)</f>
        <v>Feb</v>
      </c>
      <c r="C670" s="251">
        <v>43864</v>
      </c>
      <c r="D670" s="250" t="s">
        <v>464</v>
      </c>
      <c r="E670" s="250" t="str">
        <f t="shared" si="30"/>
        <v>Feb Groceries</v>
      </c>
      <c r="F670" s="250" t="s">
        <v>11</v>
      </c>
      <c r="G670" s="250" t="str">
        <f>IFERROR(VLOOKUP(F670,'2020 Budget'!$A$4:$B$462,2,FALSE),"N/F")</f>
        <v>04. Family Expenses</v>
      </c>
      <c r="H670" s="250">
        <v>-8.09</v>
      </c>
      <c r="I670" s="252">
        <v>-6437.51</v>
      </c>
      <c r="J670" s="253" t="s">
        <v>360</v>
      </c>
      <c r="K670" s="190"/>
    </row>
    <row r="671" spans="1:11" hidden="1">
      <c r="A671" s="249" t="s">
        <v>27</v>
      </c>
      <c r="B671" s="250" t="str">
        <f>VLOOKUP(MONTH(C671),'Lookup Tables'!$A$3:$B$14,2,FALSE)</f>
        <v>Feb</v>
      </c>
      <c r="C671" s="251">
        <v>43864</v>
      </c>
      <c r="D671" s="250" t="s">
        <v>464</v>
      </c>
      <c r="E671" s="250" t="str">
        <f t="shared" si="30"/>
        <v>Feb Groceries</v>
      </c>
      <c r="F671" s="250" t="s">
        <v>11</v>
      </c>
      <c r="G671" s="250" t="str">
        <f>IFERROR(VLOOKUP(F671,'2020 Budget'!$A$4:$B$462,2,FALSE),"N/F")</f>
        <v>04. Family Expenses</v>
      </c>
      <c r="H671" s="250">
        <v>-35.01</v>
      </c>
      <c r="I671" s="252">
        <v>-6472.52</v>
      </c>
      <c r="J671" s="253" t="s">
        <v>360</v>
      </c>
      <c r="K671" s="190"/>
    </row>
    <row r="672" spans="1:11" hidden="1">
      <c r="A672" s="249" t="s">
        <v>27</v>
      </c>
      <c r="B672" s="250" t="str">
        <f>VLOOKUP(MONTH(C672),'Lookup Tables'!$A$3:$B$14,2,FALSE)</f>
        <v>Feb</v>
      </c>
      <c r="C672" s="251">
        <v>43866</v>
      </c>
      <c r="D672" s="250" t="s">
        <v>463</v>
      </c>
      <c r="E672" s="250" t="str">
        <f t="shared" si="30"/>
        <v>Feb Auto Fuel</v>
      </c>
      <c r="F672" s="250" t="s">
        <v>558</v>
      </c>
      <c r="G672" s="250" t="str">
        <f>IFERROR(VLOOKUP(F672,'2020 Budget'!$A$4:$B$462,2,FALSE),"N/F")</f>
        <v>05. Dodge Dart Auto Expenses</v>
      </c>
      <c r="H672" s="250">
        <v>-25.51</v>
      </c>
      <c r="I672" s="252">
        <v>-6498.0300000000007</v>
      </c>
      <c r="J672" s="253" t="s">
        <v>360</v>
      </c>
      <c r="K672" s="190"/>
    </row>
    <row r="673" spans="1:11" hidden="1">
      <c r="A673" s="249" t="s">
        <v>27</v>
      </c>
      <c r="B673" s="250" t="str">
        <f>VLOOKUP(MONTH(C673),'Lookup Tables'!$A$3:$B$14,2,FALSE)</f>
        <v>Feb</v>
      </c>
      <c r="C673" s="251">
        <v>43867</v>
      </c>
      <c r="D673" s="250" t="s">
        <v>455</v>
      </c>
      <c r="E673" s="250" t="str">
        <f t="shared" si="30"/>
        <v>Feb Dining Fast Food</v>
      </c>
      <c r="F673" s="250" t="s">
        <v>85</v>
      </c>
      <c r="G673" s="250" t="str">
        <f>IFERROR(VLOOKUP(F673,'2020 Budget'!$A$4:$B$462,2,FALSE),"N/F")</f>
        <v>04. Family Expenses</v>
      </c>
      <c r="H673" s="250">
        <v>-12.71</v>
      </c>
      <c r="I673" s="252">
        <v>-6510.7400000000007</v>
      </c>
      <c r="J673" s="253" t="s">
        <v>360</v>
      </c>
      <c r="K673" s="190"/>
    </row>
    <row r="674" spans="1:11" hidden="1">
      <c r="A674" s="249" t="s">
        <v>27</v>
      </c>
      <c r="B674" s="250" t="str">
        <f>VLOOKUP(MONTH(C674),'Lookup Tables'!$A$3:$B$14,2,FALSE)</f>
        <v>Feb</v>
      </c>
      <c r="C674" s="251">
        <v>43869</v>
      </c>
      <c r="D674" s="250" t="s">
        <v>462</v>
      </c>
      <c r="E674" s="250" t="str">
        <f t="shared" si="30"/>
        <v>Feb Dining Fast Food</v>
      </c>
      <c r="F674" s="250" t="s">
        <v>85</v>
      </c>
      <c r="G674" s="250" t="str">
        <f>IFERROR(VLOOKUP(F674,'2020 Budget'!$A$4:$B$462,2,FALSE),"N/F")</f>
        <v>04. Family Expenses</v>
      </c>
      <c r="H674" s="250">
        <v>-6.35</v>
      </c>
      <c r="I674" s="252">
        <v>-6566.5200000000013</v>
      </c>
      <c r="J674" s="253" t="s">
        <v>360</v>
      </c>
      <c r="K674" s="190"/>
    </row>
    <row r="675" spans="1:11" hidden="1">
      <c r="A675" s="249" t="s">
        <v>27</v>
      </c>
      <c r="B675" s="250" t="str">
        <f>VLOOKUP(MONTH(C675),'Lookup Tables'!$A$3:$B$14,2,FALSE)</f>
        <v>Feb</v>
      </c>
      <c r="C675" s="251">
        <v>43869</v>
      </c>
      <c r="D675" s="250" t="s">
        <v>308</v>
      </c>
      <c r="E675" s="250" t="str">
        <f t="shared" si="30"/>
        <v>Feb Merchandise Home</v>
      </c>
      <c r="F675" s="250" t="s">
        <v>19</v>
      </c>
      <c r="G675" s="250" t="str">
        <f>IFERROR(VLOOKUP(F675,'2020 Budget'!$A$4:$B$462,2,FALSE),"N/F")</f>
        <v>04. Household Expenses</v>
      </c>
      <c r="H675" s="250">
        <v>-16.489999999999998</v>
      </c>
      <c r="I675" s="252">
        <v>-6583.0100000000011</v>
      </c>
      <c r="J675" s="253" t="s">
        <v>360</v>
      </c>
      <c r="K675" s="190"/>
    </row>
    <row r="676" spans="1:11" hidden="1">
      <c r="A676" s="249" t="s">
        <v>27</v>
      </c>
      <c r="B676" s="250" t="str">
        <f>VLOOKUP(MONTH(C676),'Lookup Tables'!$A$3:$B$14,2,FALSE)</f>
        <v>Feb</v>
      </c>
      <c r="C676" s="251">
        <v>43869</v>
      </c>
      <c r="D676" s="250" t="s">
        <v>461</v>
      </c>
      <c r="E676" s="250" t="str">
        <f t="shared" si="30"/>
        <v>Feb Dating Dining</v>
      </c>
      <c r="F676" s="250" t="s">
        <v>532</v>
      </c>
      <c r="G676" s="250" t="str">
        <f>IFERROR(VLOOKUP(F676,'2020 Budget'!$A$4:$B$462,2,FALSE),"N/F")</f>
        <v>04. Family Expenses</v>
      </c>
      <c r="H676" s="250">
        <v>-49.43</v>
      </c>
      <c r="I676" s="252">
        <v>-6560.170000000001</v>
      </c>
      <c r="J676" s="253" t="s">
        <v>360</v>
      </c>
      <c r="K676" s="190"/>
    </row>
    <row r="677" spans="1:11" hidden="1">
      <c r="A677" s="249" t="s">
        <v>27</v>
      </c>
      <c r="B677" s="250" t="str">
        <f>VLOOKUP(MONTH(C677),'Lookup Tables'!$A$3:$B$14,2,FALSE)</f>
        <v>Feb</v>
      </c>
      <c r="C677" s="251">
        <v>43870</v>
      </c>
      <c r="D677" s="250" t="s">
        <v>460</v>
      </c>
      <c r="E677" s="250" t="str">
        <f t="shared" si="30"/>
        <v>Feb Dining Restaurant</v>
      </c>
      <c r="F677" s="250" t="s">
        <v>145</v>
      </c>
      <c r="G677" s="250" t="str">
        <f>IFERROR(VLOOKUP(F677,'2020 Budget'!$A$4:$B$462,2,FALSE),"N/F")</f>
        <v>04. Family Expenses</v>
      </c>
      <c r="H677" s="250">
        <v>-6.83</v>
      </c>
      <c r="I677" s="252">
        <v>-6589.8400000000011</v>
      </c>
      <c r="J677" s="253" t="s">
        <v>360</v>
      </c>
      <c r="K677" s="190"/>
    </row>
    <row r="678" spans="1:11" hidden="1">
      <c r="A678" s="249" t="s">
        <v>27</v>
      </c>
      <c r="B678" s="250" t="str">
        <f>VLOOKUP(MONTH(C678),'Lookup Tables'!$A$3:$B$14,2,FALSE)</f>
        <v>Feb</v>
      </c>
      <c r="C678" s="251">
        <v>43870</v>
      </c>
      <c r="D678" s="250" t="s">
        <v>308</v>
      </c>
      <c r="E678" s="250" t="str">
        <f t="shared" si="30"/>
        <v>Feb Merchandise Home</v>
      </c>
      <c r="F678" s="250" t="s">
        <v>19</v>
      </c>
      <c r="G678" s="250" t="str">
        <f>IFERROR(VLOOKUP(F678,'2020 Budget'!$A$4:$B$462,2,FALSE),"N/F")</f>
        <v>04. Household Expenses</v>
      </c>
      <c r="H678" s="250">
        <v>-3.15</v>
      </c>
      <c r="I678" s="252">
        <v>-6592.9900000000007</v>
      </c>
      <c r="J678" s="253" t="s">
        <v>360</v>
      </c>
      <c r="K678" s="190"/>
    </row>
    <row r="679" spans="1:11" hidden="1">
      <c r="A679" s="249" t="s">
        <v>27</v>
      </c>
      <c r="B679" s="250" t="str">
        <f>VLOOKUP(MONTH(C679),'Lookup Tables'!$A$3:$B$14,2,FALSE)</f>
        <v>Feb</v>
      </c>
      <c r="C679" s="251">
        <v>43871</v>
      </c>
      <c r="D679" s="250" t="s">
        <v>459</v>
      </c>
      <c r="E679" s="250" t="str">
        <f t="shared" si="30"/>
        <v>Feb Dining Fast Food</v>
      </c>
      <c r="F679" s="250" t="s">
        <v>85</v>
      </c>
      <c r="G679" s="250" t="str">
        <f>IFERROR(VLOOKUP(F679,'2020 Budget'!$A$4:$B$462,2,FALSE),"N/F")</f>
        <v>04. Family Expenses</v>
      </c>
      <c r="H679" s="250">
        <v>-10.06</v>
      </c>
      <c r="I679" s="252">
        <v>-6603.0500000000011</v>
      </c>
      <c r="J679" s="253" t="s">
        <v>360</v>
      </c>
      <c r="K679" s="190"/>
    </row>
    <row r="680" spans="1:11" hidden="1">
      <c r="A680" s="249" t="s">
        <v>27</v>
      </c>
      <c r="B680" s="250" t="str">
        <f>VLOOKUP(MONTH(C680),'Lookup Tables'!$A$3:$B$14,2,FALSE)</f>
        <v>Feb</v>
      </c>
      <c r="C680" s="251">
        <v>43872</v>
      </c>
      <c r="D680" s="250" t="s">
        <v>457</v>
      </c>
      <c r="E680" s="250" t="str">
        <f t="shared" si="30"/>
        <v>Feb Groceries</v>
      </c>
      <c r="F680" s="254" t="s">
        <v>11</v>
      </c>
      <c r="G680" s="250" t="str">
        <f>IFERROR(VLOOKUP(F680,'2020 Budget'!$A$4:$B$462,2,FALSE),"N/F")</f>
        <v>04. Family Expenses</v>
      </c>
      <c r="H680" s="250">
        <v>-56.98</v>
      </c>
      <c r="I680" s="252">
        <v>-6660.0300000000007</v>
      </c>
      <c r="J680" s="253" t="s">
        <v>360</v>
      </c>
      <c r="K680" s="190"/>
    </row>
    <row r="681" spans="1:11" hidden="1">
      <c r="A681" s="249" t="s">
        <v>27</v>
      </c>
      <c r="B681" s="250" t="str">
        <f>VLOOKUP(MONTH(C681),'Lookup Tables'!$A$3:$B$14,2,FALSE)</f>
        <v>Feb</v>
      </c>
      <c r="C681" s="251">
        <v>43872</v>
      </c>
      <c r="D681" s="250" t="s">
        <v>457</v>
      </c>
      <c r="E681" s="250" t="str">
        <f t="shared" si="30"/>
        <v>Feb Groceries</v>
      </c>
      <c r="F681" s="254" t="s">
        <v>11</v>
      </c>
      <c r="G681" s="250" t="str">
        <f>IFERROR(VLOOKUP(F681,'2020 Budget'!$A$4:$B$462,2,FALSE),"N/F")</f>
        <v>04. Family Expenses</v>
      </c>
      <c r="H681" s="250">
        <v>5.49</v>
      </c>
      <c r="I681" s="252">
        <v>-6654.5400000000009</v>
      </c>
      <c r="J681" s="253" t="s">
        <v>360</v>
      </c>
      <c r="K681" s="190"/>
    </row>
    <row r="682" spans="1:11" hidden="1">
      <c r="A682" s="249" t="s">
        <v>27</v>
      </c>
      <c r="B682" s="250" t="str">
        <f>VLOOKUP(MONTH(C682),'Lookup Tables'!$A$3:$B$14,2,FALSE)</f>
        <v>Feb</v>
      </c>
      <c r="C682" s="251">
        <v>43872</v>
      </c>
      <c r="D682" s="250" t="s">
        <v>458</v>
      </c>
      <c r="E682" s="250" t="str">
        <f t="shared" si="30"/>
        <v>Feb Groceries</v>
      </c>
      <c r="F682" s="250" t="s">
        <v>11</v>
      </c>
      <c r="G682" s="250" t="str">
        <f>IFERROR(VLOOKUP(F682,'2020 Budget'!$A$4:$B$462,2,FALSE),"N/F")</f>
        <v>04. Family Expenses</v>
      </c>
      <c r="H682" s="250">
        <v>-30.7</v>
      </c>
      <c r="I682" s="252">
        <v>-6685.2400000000007</v>
      </c>
      <c r="J682" s="253" t="s">
        <v>360</v>
      </c>
      <c r="K682" s="190"/>
    </row>
    <row r="683" spans="1:11" hidden="1">
      <c r="A683" s="249" t="s">
        <v>27</v>
      </c>
      <c r="B683" s="250" t="str">
        <f>VLOOKUP(MONTH(C683),'Lookup Tables'!$A$3:$B$14,2,FALSE)</f>
        <v>Feb</v>
      </c>
      <c r="C683" s="251">
        <v>43873</v>
      </c>
      <c r="D683" s="250" t="s">
        <v>456</v>
      </c>
      <c r="E683" s="250" t="str">
        <f t="shared" si="30"/>
        <v>Feb Groceries</v>
      </c>
      <c r="F683" s="250" t="s">
        <v>11</v>
      </c>
      <c r="G683" s="250" t="str">
        <f>IFERROR(VLOOKUP(F683,'2020 Budget'!$A$4:$B$462,2,FALSE),"N/F")</f>
        <v>04. Family Expenses</v>
      </c>
      <c r="H683" s="250">
        <v>-12.83</v>
      </c>
      <c r="I683" s="252">
        <v>-6698.0700000000006</v>
      </c>
      <c r="J683" s="253" t="s">
        <v>360</v>
      </c>
      <c r="K683" s="190"/>
    </row>
    <row r="684" spans="1:11" hidden="1">
      <c r="A684" s="249" t="s">
        <v>27</v>
      </c>
      <c r="B684" s="250" t="str">
        <f>VLOOKUP(MONTH(C684),'Lookup Tables'!$A$3:$B$14,2,FALSE)</f>
        <v>Feb</v>
      </c>
      <c r="C684" s="251">
        <v>43874</v>
      </c>
      <c r="D684" s="250" t="s">
        <v>455</v>
      </c>
      <c r="E684" s="250" t="str">
        <f t="shared" si="30"/>
        <v>Feb Dining Fast Food</v>
      </c>
      <c r="F684" s="250" t="s">
        <v>85</v>
      </c>
      <c r="G684" s="250" t="str">
        <f>IFERROR(VLOOKUP(F684,'2020 Budget'!$A$4:$B$462,2,FALSE),"N/F")</f>
        <v>04. Family Expenses</v>
      </c>
      <c r="H684" s="250">
        <v>-29.72</v>
      </c>
      <c r="I684" s="252">
        <v>-6727.7900000000009</v>
      </c>
      <c r="J684" s="253" t="s">
        <v>360</v>
      </c>
      <c r="K684" s="190"/>
    </row>
    <row r="685" spans="1:11" hidden="1">
      <c r="A685" s="249" t="s">
        <v>27</v>
      </c>
      <c r="B685" s="250" t="str">
        <f>VLOOKUP(MONTH(C685),'Lookup Tables'!$A$3:$B$14,2,FALSE)</f>
        <v>Feb</v>
      </c>
      <c r="C685" s="251">
        <v>43874</v>
      </c>
      <c r="D685" s="250" t="s">
        <v>454</v>
      </c>
      <c r="E685" s="250" t="str">
        <f t="shared" si="30"/>
        <v>Feb Phone</v>
      </c>
      <c r="F685" s="250" t="s">
        <v>21</v>
      </c>
      <c r="G685" s="250" t="str">
        <f>IFERROR(VLOOKUP(F685,'2020 Budget'!$A$4:$B$462,2,FALSE),"N/F")</f>
        <v>09. Internet TV Entertainment Electronics</v>
      </c>
      <c r="H685" s="250">
        <f>-207.73+50</f>
        <v>-157.72999999999999</v>
      </c>
      <c r="I685" s="252">
        <v>-6885.52</v>
      </c>
      <c r="J685" s="253" t="s">
        <v>360</v>
      </c>
      <c r="K685" s="190"/>
    </row>
    <row r="686" spans="1:11" hidden="1">
      <c r="A686" s="249" t="s">
        <v>27</v>
      </c>
      <c r="B686" s="250" t="str">
        <f>VLOOKUP(MONTH(C686),'Lookup Tables'!$A$3:$B$14,2,FALSE)</f>
        <v>Feb</v>
      </c>
      <c r="C686" s="251">
        <v>43874</v>
      </c>
      <c r="D686" s="250" t="s">
        <v>454</v>
      </c>
      <c r="E686" s="250" t="str">
        <f t="shared" si="30"/>
        <v>Feb Phone</v>
      </c>
      <c r="F686" s="250" t="s">
        <v>21</v>
      </c>
      <c r="G686" s="250" t="str">
        <f>IFERROR(VLOOKUP(F686,'2020 Budget'!$A$4:$B$462,2,FALSE),"N/F")</f>
        <v>09. Internet TV Entertainment Electronics</v>
      </c>
      <c r="H686" s="250">
        <v>-50</v>
      </c>
      <c r="I686" s="252">
        <v>-6935.52</v>
      </c>
      <c r="J686" s="253" t="s">
        <v>360</v>
      </c>
      <c r="K686" s="190"/>
    </row>
    <row r="687" spans="1:11" hidden="1">
      <c r="A687" s="249" t="s">
        <v>27</v>
      </c>
      <c r="B687" s="250" t="str">
        <f>VLOOKUP(MONTH(C687),'Lookup Tables'!$A$3:$B$14,2,FALSE)</f>
        <v>Feb</v>
      </c>
      <c r="C687" s="251">
        <v>43876</v>
      </c>
      <c r="D687" s="250" t="s">
        <v>638</v>
      </c>
      <c r="E687" s="250" t="str">
        <f t="shared" si="30"/>
        <v>Feb Merchandise Home</v>
      </c>
      <c r="F687" s="250" t="s">
        <v>19</v>
      </c>
      <c r="G687" s="250" t="str">
        <f>IFERROR(VLOOKUP(F687,'2020 Budget'!$A$4:$B$462,2,FALSE),"N/F")</f>
        <v>04. Household Expenses</v>
      </c>
      <c r="H687" s="250">
        <v>10.16</v>
      </c>
      <c r="I687" s="252">
        <v>-6925.3600000000006</v>
      </c>
      <c r="J687" s="253" t="s">
        <v>360</v>
      </c>
      <c r="K687" s="190"/>
    </row>
    <row r="688" spans="1:11" hidden="1">
      <c r="A688" s="249" t="s">
        <v>27</v>
      </c>
      <c r="B688" s="250" t="str">
        <f>VLOOKUP(MONTH(C688),'Lookup Tables'!$A$3:$B$14,2,FALSE)</f>
        <v>Feb</v>
      </c>
      <c r="C688" s="251">
        <v>43876</v>
      </c>
      <c r="D688" s="250" t="s">
        <v>308</v>
      </c>
      <c r="E688" s="250" t="str">
        <f t="shared" si="30"/>
        <v>Feb Merchandise Home</v>
      </c>
      <c r="F688" s="250" t="s">
        <v>19</v>
      </c>
      <c r="G688" s="250" t="str">
        <f>IFERROR(VLOOKUP(F688,'2020 Budget'!$A$4:$B$462,2,FALSE),"N/F")</f>
        <v>04. Household Expenses</v>
      </c>
      <c r="H688" s="250">
        <v>-14.81</v>
      </c>
      <c r="I688" s="252">
        <v>-6940.170000000001</v>
      </c>
      <c r="J688" s="253" t="s">
        <v>360</v>
      </c>
      <c r="K688" s="190"/>
    </row>
    <row r="689" spans="1:11" hidden="1">
      <c r="A689" s="249" t="s">
        <v>27</v>
      </c>
      <c r="B689" s="250" t="str">
        <f>VLOOKUP(MONTH(C689),'Lookup Tables'!$A$3:$B$14,2,FALSE)</f>
        <v>Feb</v>
      </c>
      <c r="C689" s="251">
        <v>43876</v>
      </c>
      <c r="D689" s="250" t="s">
        <v>308</v>
      </c>
      <c r="E689" s="250" t="str">
        <f t="shared" si="30"/>
        <v>Feb Merchandise Home</v>
      </c>
      <c r="F689" s="250" t="s">
        <v>19</v>
      </c>
      <c r="G689" s="250" t="str">
        <f>IFERROR(VLOOKUP(F689,'2020 Budget'!$A$4:$B$462,2,FALSE),"N/F")</f>
        <v>04. Household Expenses</v>
      </c>
      <c r="H689" s="250">
        <v>-25</v>
      </c>
      <c r="I689" s="252">
        <v>-6965.170000000001</v>
      </c>
      <c r="J689" s="253" t="s">
        <v>360</v>
      </c>
      <c r="K689" s="190"/>
    </row>
    <row r="690" spans="1:11" hidden="1">
      <c r="A690" s="249" t="s">
        <v>27</v>
      </c>
      <c r="B690" s="250" t="str">
        <f>VLOOKUP(MONTH(C690),'Lookup Tables'!$A$3:$B$14,2,FALSE)</f>
        <v>Feb</v>
      </c>
      <c r="C690" s="251">
        <v>43877</v>
      </c>
      <c r="D690" s="250" t="s">
        <v>639</v>
      </c>
      <c r="E690" s="250" t="str">
        <f t="shared" si="30"/>
        <v>Feb Dining Fast Food</v>
      </c>
      <c r="F690" s="250" t="s">
        <v>85</v>
      </c>
      <c r="G690" s="250" t="str">
        <f>IFERROR(VLOOKUP(F690,'2020 Budget'!$A$4:$B$462,2,FALSE),"N/F")</f>
        <v>04. Family Expenses</v>
      </c>
      <c r="H690" s="250">
        <v>-20</v>
      </c>
      <c r="I690" s="252">
        <v>-6985.170000000001</v>
      </c>
      <c r="J690" s="253" t="s">
        <v>360</v>
      </c>
      <c r="K690" s="190"/>
    </row>
    <row r="691" spans="1:11" hidden="1">
      <c r="A691" s="249" t="s">
        <v>27</v>
      </c>
      <c r="B691" s="250" t="str">
        <f>VLOOKUP(MONTH(C691),'Lookup Tables'!$A$3:$B$14,2,FALSE)</f>
        <v>Feb</v>
      </c>
      <c r="C691" s="251">
        <v>43880</v>
      </c>
      <c r="D691" s="250" t="s">
        <v>641</v>
      </c>
      <c r="E691" s="250" t="str">
        <f t="shared" si="30"/>
        <v>Feb Groceries</v>
      </c>
      <c r="F691" s="254" t="s">
        <v>11</v>
      </c>
      <c r="G691" s="250" t="str">
        <f>IFERROR(VLOOKUP(F691,'2020 Budget'!$A$4:$B$462,2,FALSE),"N/F")</f>
        <v>04. Family Expenses</v>
      </c>
      <c r="H691" s="250">
        <v>-32.35</v>
      </c>
      <c r="I691" s="252">
        <v>-7030.8300000000017</v>
      </c>
      <c r="J691" s="253" t="s">
        <v>360</v>
      </c>
      <c r="K691" s="190"/>
    </row>
    <row r="692" spans="1:11" hidden="1">
      <c r="A692" s="249" t="s">
        <v>27</v>
      </c>
      <c r="B692" s="250" t="str">
        <f>VLOOKUP(MONTH(C692),'Lookup Tables'!$A$3:$B$14,2,FALSE)</f>
        <v>Feb</v>
      </c>
      <c r="C692" s="251">
        <v>43880</v>
      </c>
      <c r="D692" s="250" t="s">
        <v>641</v>
      </c>
      <c r="E692" s="250" t="str">
        <f t="shared" si="30"/>
        <v>Feb Groceries</v>
      </c>
      <c r="F692" s="254" t="s">
        <v>11</v>
      </c>
      <c r="G692" s="250" t="str">
        <f>IFERROR(VLOOKUP(F692,'2020 Budget'!$A$4:$B$462,2,FALSE),"N/F")</f>
        <v>04. Family Expenses</v>
      </c>
      <c r="H692" s="250">
        <v>-12.17</v>
      </c>
      <c r="I692" s="252">
        <v>-7043.0000000000018</v>
      </c>
      <c r="J692" s="253" t="s">
        <v>360</v>
      </c>
      <c r="K692" s="190"/>
    </row>
    <row r="693" spans="1:11" hidden="1">
      <c r="A693" s="249" t="s">
        <v>27</v>
      </c>
      <c r="B693" s="250" t="str">
        <f>VLOOKUP(MONTH(C693),'Lookup Tables'!$A$3:$B$14,2,FALSE)</f>
        <v>Feb</v>
      </c>
      <c r="C693" s="251">
        <v>43880</v>
      </c>
      <c r="D693" s="250" t="s">
        <v>640</v>
      </c>
      <c r="E693" s="250" t="str">
        <f t="shared" si="30"/>
        <v>Feb Dining Fast Food</v>
      </c>
      <c r="F693" s="250" t="s">
        <v>85</v>
      </c>
      <c r="G693" s="250" t="str">
        <f>IFERROR(VLOOKUP(F693,'2020 Budget'!$A$4:$B$462,2,FALSE),"N/F")</f>
        <v>04. Family Expenses</v>
      </c>
      <c r="H693" s="250">
        <v>-13.31</v>
      </c>
      <c r="I693" s="252">
        <v>-6998.4800000000014</v>
      </c>
      <c r="J693" s="253" t="s">
        <v>360</v>
      </c>
      <c r="K693" s="190"/>
    </row>
    <row r="694" spans="1:11" hidden="1">
      <c r="A694" s="249" t="s">
        <v>27</v>
      </c>
      <c r="B694" s="250" t="str">
        <f>VLOOKUP(MONTH(C694),'Lookup Tables'!$A$3:$B$14,2,FALSE)</f>
        <v>Feb</v>
      </c>
      <c r="C694" s="251">
        <v>43881</v>
      </c>
      <c r="D694" s="250" t="s">
        <v>643</v>
      </c>
      <c r="E694" s="250" t="str">
        <f t="shared" si="30"/>
        <v>Feb Auto Fuel</v>
      </c>
      <c r="F694" s="250" t="s">
        <v>558</v>
      </c>
      <c r="G694" s="250" t="str">
        <f>IFERROR(VLOOKUP(F694,'2020 Budget'!$A$4:$B$462,2,FALSE),"N/F")</f>
        <v>05. Dodge Dart Auto Expenses</v>
      </c>
      <c r="H694" s="250">
        <v>-27.87</v>
      </c>
      <c r="I694" s="252">
        <v>-7070.8700000000017</v>
      </c>
      <c r="J694" s="253" t="s">
        <v>360</v>
      </c>
      <c r="K694" s="190"/>
    </row>
    <row r="695" spans="1:11" hidden="1">
      <c r="A695" s="249" t="s">
        <v>27</v>
      </c>
      <c r="B695" s="250" t="str">
        <f>VLOOKUP(MONTH(C695),'Lookup Tables'!$A$3:$B$14,2,FALSE)</f>
        <v>Feb</v>
      </c>
      <c r="C695" s="251">
        <v>43881</v>
      </c>
      <c r="D695" s="250" t="s">
        <v>641</v>
      </c>
      <c r="E695" s="250" t="str">
        <f t="shared" si="30"/>
        <v>Feb Groceries</v>
      </c>
      <c r="F695" s="254" t="s">
        <v>11</v>
      </c>
      <c r="G695" s="250" t="str">
        <f>IFERROR(VLOOKUP(F695,'2020 Budget'!$A$4:$B$462,2,FALSE),"N/F")</f>
        <v>04. Family Expenses</v>
      </c>
      <c r="H695" s="250">
        <v>-94.97</v>
      </c>
      <c r="I695" s="252">
        <v>-7195.2200000000021</v>
      </c>
      <c r="J695" s="253" t="s">
        <v>360</v>
      </c>
      <c r="K695" s="190"/>
    </row>
    <row r="696" spans="1:11" hidden="1">
      <c r="A696" s="249" t="s">
        <v>27</v>
      </c>
      <c r="B696" s="250" t="str">
        <f>VLOOKUP(MONTH(C696),'Lookup Tables'!$A$3:$B$14,2,FALSE)</f>
        <v>Feb</v>
      </c>
      <c r="C696" s="251">
        <v>43881</v>
      </c>
      <c r="D696" s="250" t="s">
        <v>642</v>
      </c>
      <c r="E696" s="250" t="str">
        <f t="shared" si="30"/>
        <v>Feb Dining Restaurant</v>
      </c>
      <c r="F696" s="250" t="s">
        <v>145</v>
      </c>
      <c r="G696" s="250" t="str">
        <f>IFERROR(VLOOKUP(F696,'2020 Budget'!$A$4:$B$462,2,FALSE),"N/F")</f>
        <v>04. Family Expenses</v>
      </c>
      <c r="H696" s="250">
        <v>-29.38</v>
      </c>
      <c r="I696" s="252">
        <v>-7100.2500000000018</v>
      </c>
      <c r="J696" s="253" t="s">
        <v>360</v>
      </c>
      <c r="K696" s="190"/>
    </row>
    <row r="697" spans="1:11" hidden="1">
      <c r="A697" s="249" t="s">
        <v>27</v>
      </c>
      <c r="B697" s="250" t="str">
        <f>VLOOKUP(MONTH(C697),'Lookup Tables'!$A$3:$B$14,2,FALSE)</f>
        <v>Feb</v>
      </c>
      <c r="C697" s="251">
        <v>43882</v>
      </c>
      <c r="D697" s="250" t="s">
        <v>644</v>
      </c>
      <c r="E697" s="250" t="str">
        <f t="shared" si="30"/>
        <v>Feb Dining Fast Food</v>
      </c>
      <c r="F697" s="250" t="s">
        <v>85</v>
      </c>
      <c r="G697" s="250" t="str">
        <f>IFERROR(VLOOKUP(F697,'2020 Budget'!$A$4:$B$462,2,FALSE),"N/F")</f>
        <v>04. Family Expenses</v>
      </c>
      <c r="H697" s="250">
        <v>-25</v>
      </c>
      <c r="I697" s="252">
        <v>-7220.2200000000021</v>
      </c>
      <c r="J697" s="253" t="s">
        <v>360</v>
      </c>
      <c r="K697" s="190"/>
    </row>
    <row r="698" spans="1:11" hidden="1">
      <c r="A698" s="249" t="s">
        <v>27</v>
      </c>
      <c r="B698" s="250" t="str">
        <f>VLOOKUP(MONTH(C698),'Lookup Tables'!$A$3:$B$14,2,FALSE)</f>
        <v>Feb</v>
      </c>
      <c r="C698" s="251">
        <v>43883</v>
      </c>
      <c r="D698" s="250" t="s">
        <v>645</v>
      </c>
      <c r="E698" s="250" t="str">
        <f t="shared" si="30"/>
        <v>Feb Dining Restaurant</v>
      </c>
      <c r="F698" s="250" t="s">
        <v>145</v>
      </c>
      <c r="G698" s="250" t="str">
        <f>IFERROR(VLOOKUP(F698,'2020 Budget'!$A$4:$B$462,2,FALSE),"N/F")</f>
        <v>04. Family Expenses</v>
      </c>
      <c r="H698" s="250">
        <v>-11.83</v>
      </c>
      <c r="I698" s="252">
        <v>-7232.050000000002</v>
      </c>
      <c r="J698" s="253" t="s">
        <v>360</v>
      </c>
      <c r="K698" s="190"/>
    </row>
    <row r="699" spans="1:11" hidden="1">
      <c r="A699" s="249" t="s">
        <v>27</v>
      </c>
      <c r="B699" s="250" t="str">
        <f>VLOOKUP(MONTH(C699),'Lookup Tables'!$A$3:$B$14,2,FALSE)</f>
        <v>Feb</v>
      </c>
      <c r="C699" s="251">
        <v>43884</v>
      </c>
      <c r="D699" s="250" t="s">
        <v>646</v>
      </c>
      <c r="E699" s="250" t="str">
        <f t="shared" si="30"/>
        <v>Feb Payment Other</v>
      </c>
      <c r="F699" s="250" t="s">
        <v>365</v>
      </c>
      <c r="G699" s="250" t="str">
        <f>IFERROR(VLOOKUP(F699,'2020 Budget'!$A$4:$B$462,2,FALSE),"N/F")</f>
        <v>16. Not Tracked</v>
      </c>
      <c r="H699" s="250">
        <v>1000</v>
      </c>
      <c r="I699" s="252">
        <v>-6271.050000000002</v>
      </c>
      <c r="J699" s="253" t="s">
        <v>360</v>
      </c>
      <c r="K699" s="190"/>
    </row>
    <row r="700" spans="1:11" hidden="1">
      <c r="A700" s="249" t="s">
        <v>27</v>
      </c>
      <c r="B700" s="250" t="str">
        <f>VLOOKUP(MONTH(C700),'Lookup Tables'!$A$3:$B$14,2,FALSE)</f>
        <v>Feb</v>
      </c>
      <c r="C700" s="251">
        <v>43884</v>
      </c>
      <c r="D700" s="250" t="s">
        <v>94</v>
      </c>
      <c r="E700" s="250" t="str">
        <f t="shared" si="30"/>
        <v>Feb Fee NSF</v>
      </c>
      <c r="F700" s="250" t="s">
        <v>94</v>
      </c>
      <c r="G700" s="250" t="str">
        <f>IFERROR(VLOOKUP(F700,'2020 Budget'!$A$4:$B$462,2,FALSE),"N/F")</f>
        <v>14. Undesired Expenses</v>
      </c>
      <c r="H700" s="250">
        <v>-39</v>
      </c>
      <c r="I700" s="252">
        <v>-7271.050000000002</v>
      </c>
      <c r="J700" s="253" t="s">
        <v>360</v>
      </c>
      <c r="K700" s="190"/>
    </row>
    <row r="701" spans="1:11" hidden="1">
      <c r="A701" s="249" t="s">
        <v>27</v>
      </c>
      <c r="B701" s="250" t="str">
        <f>VLOOKUP(MONTH(C701),'Lookup Tables'!$A$3:$B$14,2,FALSE)</f>
        <v>Feb</v>
      </c>
      <c r="C701" s="251">
        <v>43888</v>
      </c>
      <c r="D701" s="250" t="s">
        <v>465</v>
      </c>
      <c r="E701" s="250" t="str">
        <f t="shared" si="30"/>
        <v>Feb Fee Credit Card Interest</v>
      </c>
      <c r="F701" s="250" t="s">
        <v>255</v>
      </c>
      <c r="G701" s="250" t="str">
        <f>IFERROR(VLOOKUP(F701,'2020 Budget'!$A$4:$B$462,2,FALSE),"N/F")</f>
        <v>14. Undesired Expenses</v>
      </c>
      <c r="H701" s="250">
        <v>-95.07</v>
      </c>
      <c r="I701" s="252">
        <v>-6366.1200000000017</v>
      </c>
      <c r="J701" s="253" t="s">
        <v>360</v>
      </c>
      <c r="K701" s="190"/>
    </row>
    <row r="702" spans="1:11" hidden="1">
      <c r="A702" s="249" t="s">
        <v>27</v>
      </c>
      <c r="B702" s="250" t="str">
        <f>VLOOKUP(MONTH(C702),'Lookup Tables'!$A$3:$B$14,2,FALSE)</f>
        <v>Feb</v>
      </c>
      <c r="C702" s="251">
        <v>43889</v>
      </c>
      <c r="D702" s="250" t="s">
        <v>964</v>
      </c>
      <c r="E702" s="250" t="str">
        <f t="shared" si="30"/>
        <v>Feb Beginning Balance Other</v>
      </c>
      <c r="F702" s="250" t="s">
        <v>363</v>
      </c>
      <c r="G702" s="250" t="str">
        <f>IFERROR(VLOOKUP(F702,'2020 Budget'!$A$4:$B$462,2,FALSE),"N/F")</f>
        <v>16. Not Tracked</v>
      </c>
      <c r="H702" s="250"/>
      <c r="I702" s="254">
        <v>-6366.14</v>
      </c>
      <c r="J702" s="253" t="s">
        <v>360</v>
      </c>
      <c r="K702" s="190"/>
    </row>
    <row r="703" spans="1:11" hidden="1">
      <c r="A703" s="249" t="s">
        <v>27</v>
      </c>
      <c r="B703" s="250" t="str">
        <f>VLOOKUP(MONTH(C703),'Lookup Tables'!$A$3:$B$14,2,FALSE)</f>
        <v>Feb</v>
      </c>
      <c r="C703" s="251">
        <v>43889</v>
      </c>
      <c r="D703" s="250" t="s">
        <v>647</v>
      </c>
      <c r="E703" s="250" t="str">
        <f t="shared" si="30"/>
        <v>Feb Payment Other</v>
      </c>
      <c r="F703" s="250" t="s">
        <v>365</v>
      </c>
      <c r="G703" s="250" t="str">
        <f>IFERROR(VLOOKUP(F703,'2020 Budget'!$A$4:$B$462,2,FALSE),"N/F")</f>
        <v>16. Not Tracked</v>
      </c>
      <c r="H703" s="250">
        <v>-1000</v>
      </c>
      <c r="I703" s="252">
        <v>-7366.14</v>
      </c>
      <c r="J703" s="253" t="s">
        <v>360</v>
      </c>
      <c r="K703" s="190"/>
    </row>
    <row r="704" spans="1:11" hidden="1">
      <c r="A704" s="249" t="s">
        <v>27</v>
      </c>
      <c r="B704" s="250" t="str">
        <f>VLOOKUP(MONTH(C704),'Lookup Tables'!$A$3:$B$14,2,FALSE)</f>
        <v>Mar</v>
      </c>
      <c r="C704" s="251">
        <v>43913</v>
      </c>
      <c r="D704" s="250" t="s">
        <v>646</v>
      </c>
      <c r="E704" s="250" t="str">
        <f t="shared" si="30"/>
        <v>Mar Payment Other</v>
      </c>
      <c r="F704" s="250" t="s">
        <v>365</v>
      </c>
      <c r="G704" s="250" t="str">
        <f>IFERROR(VLOOKUP(F704,'2020 Budget'!$A$4:$B$462,2,FALSE),"N/F")</f>
        <v>16. Not Tracked</v>
      </c>
      <c r="H704" s="250">
        <v>1000</v>
      </c>
      <c r="I704" s="252">
        <v>-6405.14</v>
      </c>
      <c r="J704" s="253" t="s">
        <v>360</v>
      </c>
      <c r="K704" s="190"/>
    </row>
    <row r="705" spans="1:11" hidden="1">
      <c r="A705" s="249" t="s">
        <v>27</v>
      </c>
      <c r="B705" s="250" t="str">
        <f>VLOOKUP(MONTH(C705),'Lookup Tables'!$A$3:$B$14,2,FALSE)</f>
        <v>Mar</v>
      </c>
      <c r="C705" s="251">
        <v>43913</v>
      </c>
      <c r="D705" s="250" t="s">
        <v>94</v>
      </c>
      <c r="E705" s="250" t="str">
        <f t="shared" si="30"/>
        <v>Mar Fee NSF</v>
      </c>
      <c r="F705" s="250" t="s">
        <v>94</v>
      </c>
      <c r="G705" s="250" t="str">
        <f>IFERROR(VLOOKUP(F705,'2020 Budget'!$A$4:$B$462,2,FALSE),"N/F")</f>
        <v>14. Undesired Expenses</v>
      </c>
      <c r="H705" s="250">
        <v>-39</v>
      </c>
      <c r="I705" s="252">
        <v>-7405.14</v>
      </c>
      <c r="J705" s="253" t="s">
        <v>360</v>
      </c>
      <c r="K705" s="190"/>
    </row>
    <row r="706" spans="1:11" hidden="1">
      <c r="A706" s="249" t="s">
        <v>27</v>
      </c>
      <c r="B706" s="250" t="str">
        <f>VLOOKUP(MONTH(C706),'Lookup Tables'!$A$3:$B$14,2,FALSE)</f>
        <v>Mar</v>
      </c>
      <c r="C706" s="251">
        <v>43916</v>
      </c>
      <c r="D706" s="250" t="s">
        <v>465</v>
      </c>
      <c r="E706" s="250" t="str">
        <f t="shared" si="30"/>
        <v>Mar Fee Credit Card Interest</v>
      </c>
      <c r="F706" s="250" t="s">
        <v>255</v>
      </c>
      <c r="G706" s="250" t="str">
        <f>IFERROR(VLOOKUP(F706,'2020 Budget'!$A$4:$B$462,2,FALSE),"N/F")</f>
        <v>14. Undesired Expenses</v>
      </c>
      <c r="H706" s="250">
        <v>-84.94</v>
      </c>
      <c r="I706" s="252">
        <v>-6490.08</v>
      </c>
      <c r="J706" s="253" t="s">
        <v>360</v>
      </c>
      <c r="K706" s="190"/>
    </row>
    <row r="707" spans="1:11" hidden="1">
      <c r="A707" s="249" t="s">
        <v>27</v>
      </c>
      <c r="B707" s="250" t="str">
        <f>VLOOKUP(MONTH(C707),'Lookup Tables'!$A$3:$B$14,2,FALSE)</f>
        <v>Mar</v>
      </c>
      <c r="C707" s="255">
        <v>43916</v>
      </c>
      <c r="D707" s="256" t="s">
        <v>968</v>
      </c>
      <c r="E707" s="250" t="str">
        <f t="shared" si="30"/>
        <v>Mar Membership</v>
      </c>
      <c r="F707" s="257" t="s">
        <v>24</v>
      </c>
      <c r="G707" s="250" t="str">
        <f>IFERROR(VLOOKUP(F707,'2020 Budget'!$A$4:$B$462,2,FALSE),"N/F")</f>
        <v>13. Special Expenses</v>
      </c>
      <c r="H707" s="250">
        <v>0</v>
      </c>
      <c r="I707" s="252">
        <v>-6490.08</v>
      </c>
      <c r="J707" s="253" t="s">
        <v>360</v>
      </c>
      <c r="K707" s="190"/>
    </row>
    <row r="708" spans="1:11" hidden="1">
      <c r="A708" s="249" t="s">
        <v>27</v>
      </c>
      <c r="B708" s="250" t="str">
        <f>VLOOKUP(MONTH(C708),'Lookup Tables'!$A$3:$B$14,2,FALSE)</f>
        <v>Mar</v>
      </c>
      <c r="C708" s="251">
        <v>43917</v>
      </c>
      <c r="D708" s="250" t="s">
        <v>964</v>
      </c>
      <c r="E708" s="250" t="str">
        <f t="shared" si="30"/>
        <v>Mar Beginning Balance Other</v>
      </c>
      <c r="F708" s="250" t="s">
        <v>363</v>
      </c>
      <c r="G708" s="250" t="str">
        <f>IFERROR(VLOOKUP(F708,'2020 Budget'!$A$4:$B$462,2,FALSE),"N/F")</f>
        <v>16. Not Tracked</v>
      </c>
      <c r="H708" s="250"/>
      <c r="I708" s="254">
        <v>-6490.08</v>
      </c>
      <c r="J708" s="253" t="s">
        <v>360</v>
      </c>
      <c r="K708" s="190"/>
    </row>
    <row r="709" spans="1:11" hidden="1">
      <c r="A709" s="249" t="s">
        <v>27</v>
      </c>
      <c r="B709" s="250" t="str">
        <f>VLOOKUP(MONTH(C709),'Lookup Tables'!$A$3:$B$14,2,FALSE)</f>
        <v>Mar</v>
      </c>
      <c r="C709" s="251">
        <v>43918</v>
      </c>
      <c r="D709" s="250" t="s">
        <v>647</v>
      </c>
      <c r="E709" s="250" t="str">
        <f t="shared" si="30"/>
        <v>Mar Payment Other</v>
      </c>
      <c r="F709" s="250" t="s">
        <v>365</v>
      </c>
      <c r="G709" s="250" t="str">
        <f>IFERROR(VLOOKUP(F709,'2020 Budget'!$A$4:$B$462,2,FALSE),"N/F")</f>
        <v>16. Not Tracked</v>
      </c>
      <c r="H709" s="250">
        <v>-1000</v>
      </c>
      <c r="I709" s="254">
        <v>-7490.08</v>
      </c>
      <c r="J709" s="253" t="s">
        <v>360</v>
      </c>
      <c r="K709" s="190"/>
    </row>
    <row r="710" spans="1:11" hidden="1">
      <c r="A710" s="249" t="s">
        <v>27</v>
      </c>
      <c r="B710" s="250" t="str">
        <f>VLOOKUP(MONTH(C710),'Lookup Tables'!$A$3:$B$14,2,FALSE)</f>
        <v>Apr</v>
      </c>
      <c r="C710" s="255">
        <v>43927</v>
      </c>
      <c r="D710" s="256" t="s">
        <v>2</v>
      </c>
      <c r="E710" s="250" t="str">
        <f t="shared" si="30"/>
        <v>Apr Payment Other</v>
      </c>
      <c r="F710" s="250" t="s">
        <v>365</v>
      </c>
      <c r="G710" s="250" t="str">
        <f>IFERROR(VLOOKUP(F710,'2020 Budget'!$A$4:$B$462,2,FALSE),"N/F")</f>
        <v>16. Not Tracked</v>
      </c>
      <c r="H710" s="250">
        <v>500</v>
      </c>
      <c r="I710" s="254">
        <v>-6990.08</v>
      </c>
      <c r="J710" s="253" t="s">
        <v>360</v>
      </c>
      <c r="K710" s="190"/>
    </row>
    <row r="711" spans="1:11" hidden="1">
      <c r="A711" s="249" t="s">
        <v>27</v>
      </c>
      <c r="B711" s="250" t="str">
        <f>VLOOKUP(MONTH(C711),'Lookup Tables'!$A$3:$B$14,2,FALSE)</f>
        <v>Apr</v>
      </c>
      <c r="C711" s="251">
        <v>43948</v>
      </c>
      <c r="D711" s="250" t="s">
        <v>964</v>
      </c>
      <c r="E711" s="250" t="str">
        <f t="shared" si="30"/>
        <v>Apr Beginning Balance Other</v>
      </c>
      <c r="F711" s="250" t="s">
        <v>363</v>
      </c>
      <c r="G711" s="250" t="str">
        <f>IFERROR(VLOOKUP(F711,'2020 Budget'!$A$4:$B$462,2,FALSE),"N/F")</f>
        <v>16. Not Tracked</v>
      </c>
      <c r="H711" s="250"/>
      <c r="I711" s="254">
        <v>-7086.19</v>
      </c>
      <c r="J711" s="253" t="s">
        <v>360</v>
      </c>
      <c r="K711" s="190"/>
    </row>
    <row r="712" spans="1:11" hidden="1">
      <c r="A712" s="249" t="s">
        <v>27</v>
      </c>
      <c r="B712" s="250" t="str">
        <f>VLOOKUP(MONTH(C712),'Lookup Tables'!$A$3:$B$14,2,FALSE)</f>
        <v>Apr</v>
      </c>
      <c r="C712" s="255">
        <v>43948</v>
      </c>
      <c r="D712" s="256" t="s">
        <v>465</v>
      </c>
      <c r="E712" s="250" t="str">
        <f t="shared" si="30"/>
        <v>Apr Fee Credit Card Interest</v>
      </c>
      <c r="F712" s="250" t="s">
        <v>255</v>
      </c>
      <c r="G712" s="250" t="str">
        <f>IFERROR(VLOOKUP(F712,'2020 Budget'!$A$4:$B$462,2,FALSE),"N/F")</f>
        <v>14. Undesired Expenses</v>
      </c>
      <c r="H712" s="250">
        <v>-96.11</v>
      </c>
      <c r="I712" s="254">
        <v>-7086.19</v>
      </c>
      <c r="J712" s="253" t="s">
        <v>360</v>
      </c>
      <c r="K712" s="190"/>
    </row>
    <row r="713" spans="1:11" hidden="1">
      <c r="A713" s="249" t="s">
        <v>27</v>
      </c>
      <c r="B713" s="250" t="str">
        <f>VLOOKUP(MONTH(C713),'Lookup Tables'!$A$3:$B$14,2,FALSE)</f>
        <v>May</v>
      </c>
      <c r="C713" s="255">
        <v>43974</v>
      </c>
      <c r="D713" s="256" t="s">
        <v>2</v>
      </c>
      <c r="E713" s="250" t="str">
        <f t="shared" si="30"/>
        <v>May Payment Other</v>
      </c>
      <c r="F713" s="250" t="s">
        <v>365</v>
      </c>
      <c r="G713" s="250" t="str">
        <f>IFERROR(VLOOKUP(F713,'2020 Budget'!$A$4:$B$462,2,FALSE),"N/F")</f>
        <v>16. Not Tracked</v>
      </c>
      <c r="H713" s="250">
        <v>63.3</v>
      </c>
      <c r="I713" s="254">
        <f>I712+H713</f>
        <v>-7022.8899999999994</v>
      </c>
      <c r="J713" s="253" t="s">
        <v>360</v>
      </c>
      <c r="K713" s="190"/>
    </row>
    <row r="714" spans="1:11" hidden="1">
      <c r="A714" s="249" t="s">
        <v>27</v>
      </c>
      <c r="B714" s="250" t="str">
        <f>VLOOKUP(MONTH(C714),'Lookup Tables'!$A$3:$B$14,2,FALSE)</f>
        <v>May</v>
      </c>
      <c r="C714" s="255">
        <v>43974</v>
      </c>
      <c r="D714" s="256" t="s">
        <v>2</v>
      </c>
      <c r="E714" s="250" t="str">
        <f t="shared" si="30"/>
        <v>May Payment Other</v>
      </c>
      <c r="F714" s="250" t="s">
        <v>365</v>
      </c>
      <c r="G714" s="250" t="str">
        <f>IFERROR(VLOOKUP(F714,'2020 Budget'!$A$4:$B$462,2,FALSE),"N/F")</f>
        <v>16. Not Tracked</v>
      </c>
      <c r="H714" s="250">
        <v>490</v>
      </c>
      <c r="I714" s="254">
        <f>I713+H714</f>
        <v>-6532.8899999999994</v>
      </c>
      <c r="J714" s="253" t="s">
        <v>360</v>
      </c>
      <c r="K714" s="190"/>
    </row>
    <row r="715" spans="1:11" hidden="1">
      <c r="A715" s="249" t="s">
        <v>27</v>
      </c>
      <c r="B715" s="250" t="str">
        <f>VLOOKUP(MONTH(C715),'Lookup Tables'!$A$3:$B$14,2,FALSE)</f>
        <v>May</v>
      </c>
      <c r="C715" s="251">
        <v>43978</v>
      </c>
      <c r="D715" s="250" t="s">
        <v>964</v>
      </c>
      <c r="E715" s="250" t="str">
        <f t="shared" si="30"/>
        <v>May Beginning Balance Other</v>
      </c>
      <c r="F715" s="250" t="s">
        <v>363</v>
      </c>
      <c r="G715" s="250" t="str">
        <f>IFERROR(VLOOKUP(F715,'2020 Budget'!$A$4:$B$462,2,FALSE),"N/F")</f>
        <v>16. Not Tracked</v>
      </c>
      <c r="H715" s="250"/>
      <c r="I715" s="254">
        <v>-6621.03</v>
      </c>
      <c r="J715" s="253" t="s">
        <v>360</v>
      </c>
      <c r="K715" s="190"/>
    </row>
    <row r="716" spans="1:11" hidden="1">
      <c r="A716" s="249" t="s">
        <v>27</v>
      </c>
      <c r="B716" s="250" t="str">
        <f>VLOOKUP(MONTH(C716),'Lookup Tables'!$A$3:$B$14,2,FALSE)</f>
        <v>May</v>
      </c>
      <c r="C716" s="255">
        <v>43978</v>
      </c>
      <c r="D716" s="256" t="s">
        <v>465</v>
      </c>
      <c r="E716" s="250" t="str">
        <f t="shared" si="30"/>
        <v>May Fee Credit Card Interest</v>
      </c>
      <c r="F716" s="250" t="s">
        <v>255</v>
      </c>
      <c r="G716" s="250" t="str">
        <f>IFERROR(VLOOKUP(F716,'2020 Budget'!$A$4:$B$462,2,FALSE),"N/F")</f>
        <v>14. Undesired Expenses</v>
      </c>
      <c r="H716" s="250">
        <v>-88.14</v>
      </c>
      <c r="I716" s="254">
        <v>-6621.03</v>
      </c>
      <c r="J716" s="253" t="s">
        <v>360</v>
      </c>
      <c r="K716" s="190"/>
    </row>
    <row r="717" spans="1:11" hidden="1">
      <c r="A717" s="249" t="s">
        <v>27</v>
      </c>
      <c r="B717" s="250" t="str">
        <f>VLOOKUP(MONTH(C717),'Lookup Tables'!$A$3:$B$14,2,FALSE)</f>
        <v>Jun</v>
      </c>
      <c r="C717" s="255">
        <v>43983</v>
      </c>
      <c r="D717" s="256" t="s">
        <v>2</v>
      </c>
      <c r="E717" s="250" t="str">
        <f t="shared" si="30"/>
        <v>Jun Payment Other</v>
      </c>
      <c r="F717" s="250" t="s">
        <v>365</v>
      </c>
      <c r="G717" s="250" t="str">
        <f>IFERROR(VLOOKUP(F717,'2020 Budget'!$A$4:$B$462,2,FALSE),"N/F")</f>
        <v>16. Not Tracked</v>
      </c>
      <c r="H717" s="250">
        <v>1000</v>
      </c>
      <c r="I717" s="254">
        <v>-5621.03</v>
      </c>
      <c r="J717" s="253" t="s">
        <v>360</v>
      </c>
      <c r="K717" s="190"/>
    </row>
    <row r="718" spans="1:11" hidden="1">
      <c r="A718" s="249" t="s">
        <v>27</v>
      </c>
      <c r="B718" s="250" t="str">
        <f>VLOOKUP(MONTH(C718),'Lookup Tables'!$A$3:$B$14,2,FALSE)</f>
        <v>Jun</v>
      </c>
      <c r="C718" s="255">
        <v>43995</v>
      </c>
      <c r="D718" s="256" t="s">
        <v>967</v>
      </c>
      <c r="E718" s="250" t="str">
        <f t="shared" si="30"/>
        <v>Jun Merchandise Computer</v>
      </c>
      <c r="F718" s="250" t="s">
        <v>35</v>
      </c>
      <c r="G718" s="250" t="str">
        <f>IFERROR(VLOOKUP(F718,'2020 Budget'!$A$4:$B$462,2,FALSE),"N/F")</f>
        <v>09. Internet TV Entertainment Electronics</v>
      </c>
      <c r="H718" s="250">
        <v>-127.07</v>
      </c>
      <c r="I718" s="254">
        <v>-5748.0999999999995</v>
      </c>
      <c r="J718" s="253" t="s">
        <v>360</v>
      </c>
      <c r="K718" s="190"/>
    </row>
    <row r="719" spans="1:11" hidden="1">
      <c r="A719" s="249" t="s">
        <v>27</v>
      </c>
      <c r="B719" s="250" t="str">
        <f>VLOOKUP(MONTH(C719),'Lookup Tables'!$A$3:$B$14,2,FALSE)</f>
        <v>Jun</v>
      </c>
      <c r="C719" s="255">
        <v>44007</v>
      </c>
      <c r="D719" s="256" t="s">
        <v>465</v>
      </c>
      <c r="E719" s="250" t="str">
        <f t="shared" si="30"/>
        <v>Jun Fee Credit Card Interest</v>
      </c>
      <c r="F719" s="250" t="s">
        <v>255</v>
      </c>
      <c r="G719" s="250" t="str">
        <f>IFERROR(VLOOKUP(F719,'2020 Budget'!$A$4:$B$462,2,FALSE),"N/F")</f>
        <v>14. Undesired Expenses</v>
      </c>
      <c r="H719" s="250">
        <v>-70.84</v>
      </c>
      <c r="I719" s="254">
        <v>-5818.94</v>
      </c>
      <c r="J719" s="253" t="s">
        <v>360</v>
      </c>
      <c r="K719" s="190"/>
    </row>
    <row r="720" spans="1:11" hidden="1">
      <c r="A720" s="249" t="s">
        <v>27</v>
      </c>
      <c r="B720" s="250" t="str">
        <f>VLOOKUP(MONTH(C720),'Lookup Tables'!$A$3:$B$14,2,FALSE)</f>
        <v>Jun</v>
      </c>
      <c r="C720" s="251">
        <v>44008</v>
      </c>
      <c r="D720" s="250" t="s">
        <v>964</v>
      </c>
      <c r="E720" s="250" t="str">
        <f t="shared" si="30"/>
        <v>Jun Beginning Balance Other</v>
      </c>
      <c r="F720" s="250" t="s">
        <v>363</v>
      </c>
      <c r="G720" s="250" t="str">
        <f>IFERROR(VLOOKUP(F720,'2020 Budget'!$A$4:$B$462,2,FALSE),"N/F")</f>
        <v>16. Not Tracked</v>
      </c>
      <c r="H720" s="250"/>
      <c r="I720" s="254">
        <v>-5818.94</v>
      </c>
      <c r="J720" s="253" t="s">
        <v>360</v>
      </c>
      <c r="K720" s="190"/>
    </row>
    <row r="721" spans="1:11" hidden="1">
      <c r="A721" s="249" t="s">
        <v>27</v>
      </c>
      <c r="B721" s="250" t="str">
        <f>VLOOKUP(MONTH(C721),'Lookup Tables'!$A$3:$B$14,2,FALSE)</f>
        <v>Jul</v>
      </c>
      <c r="C721" s="251">
        <v>44039</v>
      </c>
      <c r="D721" s="250" t="s">
        <v>990</v>
      </c>
      <c r="E721" s="250" t="str">
        <f t="shared" ref="E721" si="31">B721&amp;" "&amp;F721</f>
        <v>Jul Payment Other</v>
      </c>
      <c r="F721" s="250" t="s">
        <v>365</v>
      </c>
      <c r="G721" s="250" t="str">
        <f>IFERROR(VLOOKUP(F721,'2020 Budget'!$A$4:$B$462,2,FALSE),"N/F")</f>
        <v>16. Not Tracked</v>
      </c>
      <c r="H721" s="250">
        <v>1000</v>
      </c>
      <c r="I721" s="254"/>
      <c r="J721" s="253"/>
      <c r="K721" s="190"/>
    </row>
    <row r="722" spans="1:11" hidden="1">
      <c r="A722" s="195" t="s">
        <v>638</v>
      </c>
      <c r="B722" s="196" t="str">
        <f>VLOOKUP(MONTH(C722),'Lookup Tables'!$A$3:$B$14,2,FALSE)</f>
        <v>Jan</v>
      </c>
      <c r="C722" s="197">
        <v>43831</v>
      </c>
      <c r="D722" s="196" t="s">
        <v>964</v>
      </c>
      <c r="E722" s="196" t="str">
        <f t="shared" ref="E722:E728" si="32">B722&amp;" "&amp;F722</f>
        <v>Jan Beginning Balance Other</v>
      </c>
      <c r="F722" s="196" t="s">
        <v>363</v>
      </c>
      <c r="G722" s="196" t="str">
        <f>IFERROR(VLOOKUP(F722,'2020 Budget'!$A$4:$B$462,2,FALSE),"N/F")</f>
        <v>16. Not Tracked</v>
      </c>
      <c r="H722" s="196"/>
      <c r="I722" s="198">
        <v>-493.08000000000004</v>
      </c>
      <c r="J722" s="199" t="s">
        <v>360</v>
      </c>
      <c r="K722" s="199"/>
    </row>
    <row r="723" spans="1:11" hidden="1">
      <c r="A723" s="195" t="s">
        <v>638</v>
      </c>
      <c r="B723" s="196" t="str">
        <f>VLOOKUP(MONTH(C723),'Lookup Tables'!$A$3:$B$14,2,FALSE)</f>
        <v>Jan</v>
      </c>
      <c r="C723" s="197">
        <v>43833</v>
      </c>
      <c r="D723" s="196" t="s">
        <v>990</v>
      </c>
      <c r="E723" s="196" t="str">
        <f t="shared" si="32"/>
        <v>Jan Payment Other</v>
      </c>
      <c r="F723" s="196" t="s">
        <v>365</v>
      </c>
      <c r="G723" s="196" t="str">
        <f>IFERROR(VLOOKUP(F723,'2020 Budget'!$A$4:$B$462,2,FALSE),"N/F")</f>
        <v>16. Not Tracked</v>
      </c>
      <c r="H723" s="196">
        <v>62</v>
      </c>
      <c r="I723" s="198">
        <v>-431.08000000000004</v>
      </c>
      <c r="J723" s="199" t="s">
        <v>360</v>
      </c>
      <c r="K723" s="199"/>
    </row>
    <row r="724" spans="1:11" hidden="1">
      <c r="A724" s="195" t="s">
        <v>638</v>
      </c>
      <c r="B724" s="196" t="str">
        <f>VLOOKUP(MONTH(C724),'Lookup Tables'!$A$3:$B$14,2,FALSE)</f>
        <v>Jan</v>
      </c>
      <c r="C724" s="197">
        <v>43836</v>
      </c>
      <c r="D724" s="196" t="s">
        <v>990</v>
      </c>
      <c r="E724" s="196" t="str">
        <f t="shared" si="32"/>
        <v>Jan Payment Other</v>
      </c>
      <c r="F724" s="196" t="s">
        <v>365</v>
      </c>
      <c r="G724" s="196" t="str">
        <f>IFERROR(VLOOKUP(F724,'2020 Budget'!$A$4:$B$462,2,FALSE),"N/F")</f>
        <v>16. Not Tracked</v>
      </c>
      <c r="H724" s="196">
        <v>40</v>
      </c>
      <c r="I724" s="198">
        <v>-391.08000000000004</v>
      </c>
      <c r="J724" s="199" t="s">
        <v>360</v>
      </c>
      <c r="K724" s="199"/>
    </row>
    <row r="725" spans="1:11" hidden="1">
      <c r="A725" s="195" t="s">
        <v>638</v>
      </c>
      <c r="B725" s="196" t="str">
        <f>VLOOKUP(MONTH(C725),'Lookup Tables'!$A$3:$B$14,2,FALSE)</f>
        <v>Feb</v>
      </c>
      <c r="C725" s="197">
        <v>43869</v>
      </c>
      <c r="D725" s="196" t="s">
        <v>997</v>
      </c>
      <c r="E725" s="196" t="str">
        <f t="shared" si="32"/>
        <v>Feb Fee Late Payment</v>
      </c>
      <c r="F725" s="18" t="s">
        <v>998</v>
      </c>
      <c r="G725" s="196" t="str">
        <f>IFERROR(VLOOKUP(F725,'2020 Budget'!$A$4:$B$462,2,FALSE),"N/F")</f>
        <v>14. Undesired Expenses</v>
      </c>
      <c r="H725" s="196">
        <v>-28</v>
      </c>
      <c r="I725" s="198">
        <v>-419.08000000000004</v>
      </c>
      <c r="J725" s="199" t="s">
        <v>360</v>
      </c>
      <c r="K725" s="199"/>
    </row>
    <row r="726" spans="1:11" hidden="1">
      <c r="A726" s="195" t="s">
        <v>638</v>
      </c>
      <c r="B726" s="196" t="str">
        <f>VLOOKUP(MONTH(C726),'Lookup Tables'!$A$3:$B$14,2,FALSE)</f>
        <v>Mar</v>
      </c>
      <c r="C726" s="197">
        <v>43898</v>
      </c>
      <c r="D726" s="196" t="s">
        <v>997</v>
      </c>
      <c r="E726" s="196" t="str">
        <f t="shared" si="32"/>
        <v>Mar Fee Late Payment</v>
      </c>
      <c r="F726" s="196" t="s">
        <v>998</v>
      </c>
      <c r="G726" s="196" t="str">
        <f>IFERROR(VLOOKUP(F726,'2020 Budget'!$A$4:$B$462,2,FALSE),"N/F")</f>
        <v>14. Undesired Expenses</v>
      </c>
      <c r="H726" s="196">
        <v>-39</v>
      </c>
      <c r="I726" s="198">
        <v>-458.08000000000004</v>
      </c>
      <c r="J726" s="199" t="s">
        <v>360</v>
      </c>
      <c r="K726" s="199"/>
    </row>
    <row r="727" spans="1:11" hidden="1">
      <c r="A727" s="195" t="s">
        <v>638</v>
      </c>
      <c r="B727" s="196" t="str">
        <f>VLOOKUP(MONTH(C727),'Lookup Tables'!$A$3:$B$14,2,FALSE)</f>
        <v>Mar</v>
      </c>
      <c r="C727" s="197">
        <v>43902</v>
      </c>
      <c r="D727" s="196" t="s">
        <v>999</v>
      </c>
      <c r="E727" s="196" t="str">
        <f t="shared" si="32"/>
        <v>Mar Fee Credit Card Interest</v>
      </c>
      <c r="F727" s="196" t="s">
        <v>255</v>
      </c>
      <c r="G727" s="196" t="str">
        <f>IFERROR(VLOOKUP(F727,'2020 Budget'!$A$4:$B$462,2,FALSE),"N/F")</f>
        <v>14. Undesired Expenses</v>
      </c>
      <c r="H727" s="196">
        <v>-2</v>
      </c>
      <c r="I727" s="198">
        <v>-460.08000000000004</v>
      </c>
      <c r="J727" s="199" t="s">
        <v>360</v>
      </c>
      <c r="K727" s="199"/>
    </row>
    <row r="728" spans="1:11" hidden="1">
      <c r="A728" s="195" t="s">
        <v>638</v>
      </c>
      <c r="B728" s="196" t="str">
        <f>VLOOKUP(MONTH(C728),'Lookup Tables'!$A$3:$B$14,2,FALSE)</f>
        <v>Apr</v>
      </c>
      <c r="C728" s="197">
        <v>43933</v>
      </c>
      <c r="D728" s="196" t="s">
        <v>990</v>
      </c>
      <c r="E728" s="196" t="str">
        <f t="shared" si="32"/>
        <v>Apr Payment Other</v>
      </c>
      <c r="F728" s="196" t="s">
        <v>365</v>
      </c>
      <c r="G728" s="196" t="str">
        <f>IFERROR(VLOOKUP(F728,'2020 Budget'!$A$4:$B$462,2,FALSE),"N/F")</f>
        <v>16. Not Tracked</v>
      </c>
      <c r="H728" s="196">
        <v>460.08</v>
      </c>
      <c r="I728" s="198">
        <v>0</v>
      </c>
      <c r="J728" s="199" t="s">
        <v>360</v>
      </c>
      <c r="K728" s="199"/>
    </row>
    <row r="729" spans="1:11" hidden="1">
      <c r="A729" s="195" t="s">
        <v>638</v>
      </c>
      <c r="B729" s="196" t="str">
        <f>VLOOKUP(MONTH(C729),'Lookup Tables'!$A$3:$B$14,2,FALSE)</f>
        <v>May</v>
      </c>
      <c r="C729" s="197">
        <v>43961</v>
      </c>
      <c r="D729" s="196" t="s">
        <v>1000</v>
      </c>
      <c r="E729" s="196" t="str">
        <f t="shared" ref="E729" si="33">B729&amp;" "&amp;F729</f>
        <v>May Merchandise Home</v>
      </c>
      <c r="F729" s="196" t="s">
        <v>19</v>
      </c>
      <c r="G729" s="196" t="str">
        <f>IFERROR(VLOOKUP(F729,'2020 Budget'!$A$4:$B$462,2,FALSE),"N/F")</f>
        <v>04. Household Expenses</v>
      </c>
      <c r="H729" s="196">
        <v>-13.76</v>
      </c>
      <c r="I729" s="198">
        <v>-13.76</v>
      </c>
      <c r="J729" s="199" t="s">
        <v>360</v>
      </c>
      <c r="K729" s="199"/>
    </row>
    <row r="730" spans="1:11" hidden="1">
      <c r="A730" s="195" t="s">
        <v>638</v>
      </c>
      <c r="B730" s="196" t="str">
        <f>VLOOKUP(MONTH(C730),'Lookup Tables'!$A$3:$B$14,2,FALSE)</f>
        <v>May</v>
      </c>
      <c r="C730" s="197">
        <v>43978</v>
      </c>
      <c r="D730" s="196" t="s">
        <v>990</v>
      </c>
      <c r="E730" s="196" t="str">
        <f t="shared" ref="E730:E731" si="34">B730&amp;" "&amp;F730</f>
        <v>May Payment Other</v>
      </c>
      <c r="F730" s="196" t="s">
        <v>365</v>
      </c>
      <c r="G730" s="196" t="str">
        <f>IFERROR(VLOOKUP(F730,'2020 Budget'!$A$4:$B$462,2,FALSE),"N/F")</f>
        <v>16. Not Tracked</v>
      </c>
      <c r="H730" s="196">
        <v>13.76</v>
      </c>
      <c r="I730" s="198">
        <v>0</v>
      </c>
      <c r="J730" s="199" t="s">
        <v>360</v>
      </c>
      <c r="K730" s="199"/>
    </row>
    <row r="731" spans="1:11" hidden="1">
      <c r="A731" s="195" t="s">
        <v>638</v>
      </c>
      <c r="B731" s="196" t="str">
        <f>VLOOKUP(MONTH(C731),'Lookup Tables'!$A$3:$B$14,2,FALSE)</f>
        <v>May</v>
      </c>
      <c r="C731" s="197">
        <v>43979</v>
      </c>
      <c r="D731" s="196" t="s">
        <v>1001</v>
      </c>
      <c r="E731" s="196" t="str">
        <f t="shared" si="34"/>
        <v>May Merchandise Home</v>
      </c>
      <c r="F731" s="196" t="s">
        <v>19</v>
      </c>
      <c r="G731" s="196" t="str">
        <f>IFERROR(VLOOKUP(F731,'2020 Budget'!$A$4:$B$462,2,FALSE),"N/F")</f>
        <v>04. Household Expenses</v>
      </c>
      <c r="H731" s="196">
        <v>-3.68</v>
      </c>
      <c r="I731" s="198">
        <v>-3.68</v>
      </c>
      <c r="J731" s="199" t="s">
        <v>360</v>
      </c>
      <c r="K731" s="199"/>
    </row>
    <row r="732" spans="1:11" hidden="1">
      <c r="A732" s="195" t="s">
        <v>638</v>
      </c>
      <c r="B732" s="196" t="str">
        <f>VLOOKUP(MONTH(C732),'Lookup Tables'!$A$3:$B$14,2,FALSE)</f>
        <v>Jun</v>
      </c>
      <c r="C732" s="197">
        <v>43987</v>
      </c>
      <c r="D732" s="196" t="s">
        <v>1000</v>
      </c>
      <c r="E732" s="196" t="str">
        <f t="shared" ref="E732:E733" si="35">B732&amp;" "&amp;F732</f>
        <v>Jun Merchandise Home</v>
      </c>
      <c r="F732" s="196" t="s">
        <v>19</v>
      </c>
      <c r="G732" s="196" t="str">
        <f>IFERROR(VLOOKUP(F732,'2020 Budget'!$A$4:$B$462,2,FALSE),"N/F")</f>
        <v>04. Household Expenses</v>
      </c>
      <c r="H732" s="196">
        <v>-29.31</v>
      </c>
      <c r="I732" s="198">
        <v>-32.99</v>
      </c>
      <c r="J732" s="199" t="s">
        <v>360</v>
      </c>
      <c r="K732" s="199"/>
    </row>
    <row r="733" spans="1:11" hidden="1">
      <c r="A733" s="195" t="s">
        <v>638</v>
      </c>
      <c r="B733" s="196" t="str">
        <f>VLOOKUP(MONTH(C733),'Lookup Tables'!$A$3:$B$14,2,FALSE)</f>
        <v>Jun</v>
      </c>
      <c r="C733" s="197">
        <v>43989</v>
      </c>
      <c r="D733" s="197" t="s">
        <v>1002</v>
      </c>
      <c r="E733" s="196" t="str">
        <f t="shared" si="35"/>
        <v>Jun Merchandise Home</v>
      </c>
      <c r="F733" s="196" t="s">
        <v>19</v>
      </c>
      <c r="G733" s="196" t="str">
        <f>IFERROR(VLOOKUP(F733,'2020 Budget'!$A$4:$B$462,2,FALSE),"N/F")</f>
        <v>04. Household Expenses</v>
      </c>
      <c r="H733" s="196">
        <v>-15.26</v>
      </c>
      <c r="I733" s="198">
        <v>-48.25</v>
      </c>
      <c r="J733" s="199" t="s">
        <v>360</v>
      </c>
      <c r="K733" s="199"/>
    </row>
    <row r="734" spans="1:11" hidden="1">
      <c r="A734" s="195" t="s">
        <v>638</v>
      </c>
      <c r="B734" s="196" t="str">
        <f>VLOOKUP(MONTH(C734),'Lookup Tables'!$A$3:$B$14,2,FALSE)</f>
        <v>Jun</v>
      </c>
      <c r="C734" s="197">
        <v>43989</v>
      </c>
      <c r="D734" s="196" t="s">
        <v>1003</v>
      </c>
      <c r="E734" s="196" t="str">
        <f t="shared" ref="E734:E742" si="36">B734&amp;" "&amp;F734</f>
        <v>Jun Merchandise Home</v>
      </c>
      <c r="F734" s="196" t="s">
        <v>19</v>
      </c>
      <c r="G734" s="196" t="str">
        <f>IFERROR(VLOOKUP(F734,'2020 Budget'!$A$4:$B$462,2,FALSE),"N/F")</f>
        <v>04. Household Expenses</v>
      </c>
      <c r="H734" s="196">
        <v>-2.84</v>
      </c>
      <c r="I734" s="198">
        <v>-51.09</v>
      </c>
      <c r="J734" s="199" t="s">
        <v>360</v>
      </c>
      <c r="K734" s="199"/>
    </row>
    <row r="735" spans="1:11" hidden="1">
      <c r="A735" s="195" t="s">
        <v>638</v>
      </c>
      <c r="B735" s="196" t="str">
        <f>VLOOKUP(MONTH(C735),'Lookup Tables'!$A$3:$B$14,2,FALSE)</f>
        <v>Jun</v>
      </c>
      <c r="C735" s="197">
        <v>43993</v>
      </c>
      <c r="D735" s="196" t="s">
        <v>1004</v>
      </c>
      <c r="E735" s="196" t="str">
        <f t="shared" si="36"/>
        <v>Jun Service Home Maintenance/Improvement</v>
      </c>
      <c r="F735" s="196" t="s">
        <v>944</v>
      </c>
      <c r="G735" s="196" t="str">
        <f>IFERROR(VLOOKUP(F735,'2020 Budget'!$A$4:$B$462,2,FALSE),"N/F")</f>
        <v>04. Household Expenses</v>
      </c>
      <c r="H735" s="196">
        <v>48.24</v>
      </c>
      <c r="I735" s="198">
        <f>I734+H735</f>
        <v>-2.8500000000000014</v>
      </c>
      <c r="J735" s="199" t="s">
        <v>360</v>
      </c>
      <c r="K735" s="199"/>
    </row>
    <row r="736" spans="1:11" hidden="1">
      <c r="A736" s="195" t="s">
        <v>638</v>
      </c>
      <c r="B736" s="196" t="str">
        <f>VLOOKUP(MONTH(C736),'Lookup Tables'!$A$3:$B$14,2,FALSE)</f>
        <v>Jun</v>
      </c>
      <c r="C736" s="197">
        <v>43993</v>
      </c>
      <c r="D736" s="196" t="s">
        <v>1005</v>
      </c>
      <c r="E736" s="196" t="str">
        <f t="shared" si="36"/>
        <v>Jun Merchandise Home</v>
      </c>
      <c r="F736" s="196" t="s">
        <v>19</v>
      </c>
      <c r="G736" s="196" t="str">
        <f>IFERROR(VLOOKUP(F736,'2020 Budget'!$A$4:$B$462,2,FALSE),"N/F")</f>
        <v>04. Household Expenses</v>
      </c>
      <c r="H736" s="196">
        <v>-150</v>
      </c>
      <c r="I736" s="198">
        <v>-152.85</v>
      </c>
      <c r="J736" s="199" t="s">
        <v>360</v>
      </c>
      <c r="K736" s="199"/>
    </row>
    <row r="737" spans="1:11" hidden="1">
      <c r="A737" s="195" t="s">
        <v>638</v>
      </c>
      <c r="B737" s="196" t="str">
        <f>VLOOKUP(MONTH(C737),'Lookup Tables'!$A$3:$B$14,2,FALSE)</f>
        <v>Jun</v>
      </c>
      <c r="C737" s="197">
        <v>43993</v>
      </c>
      <c r="D737" s="196" t="s">
        <v>1005</v>
      </c>
      <c r="E737" s="196" t="str">
        <f>B737&amp;" "&amp;F737</f>
        <v>Jun Merchandise Home</v>
      </c>
      <c r="F737" s="196" t="s">
        <v>19</v>
      </c>
      <c r="G737" s="196" t="str">
        <f>IFERROR(VLOOKUP(F737,'2020 Budget'!$A$4:$B$462,2,FALSE),"N/F")</f>
        <v>04. Household Expenses</v>
      </c>
      <c r="H737" s="196">
        <v>-400</v>
      </c>
      <c r="I737" s="198">
        <v>-552.85</v>
      </c>
      <c r="J737" s="199" t="s">
        <v>360</v>
      </c>
      <c r="K737" s="199"/>
    </row>
    <row r="738" spans="1:11" hidden="1">
      <c r="A738" s="195" t="s">
        <v>638</v>
      </c>
      <c r="B738" s="196" t="str">
        <f>VLOOKUP(MONTH(C738),'Lookup Tables'!$A$3:$B$14,2,FALSE)</f>
        <v>May</v>
      </c>
      <c r="C738" s="197">
        <v>43961</v>
      </c>
      <c r="D738" s="196" t="s">
        <v>1004</v>
      </c>
      <c r="E738" s="196" t="str">
        <f t="shared" si="36"/>
        <v>May Merchandise Home</v>
      </c>
      <c r="F738" s="196" t="s">
        <v>19</v>
      </c>
      <c r="G738" s="196" t="str">
        <f>IFERROR(VLOOKUP(F738,'2020 Budget'!$A$4:$B$462,2,FALSE),"N/F")</f>
        <v>04. Household Expenses</v>
      </c>
      <c r="H738" s="196">
        <v>247.54</v>
      </c>
      <c r="I738" s="198">
        <v>-305.31000000000006</v>
      </c>
      <c r="J738" s="199" t="s">
        <v>360</v>
      </c>
      <c r="K738" s="199"/>
    </row>
    <row r="739" spans="1:11" hidden="1">
      <c r="A739" s="195" t="s">
        <v>638</v>
      </c>
      <c r="B739" s="196" t="str">
        <f>VLOOKUP(MONTH(C739),'Lookup Tables'!$A$3:$B$14,2,FALSE)</f>
        <v>Jun</v>
      </c>
      <c r="C739" s="197">
        <v>43998</v>
      </c>
      <c r="D739" s="196" t="s">
        <v>1006</v>
      </c>
      <c r="E739" s="196" t="str">
        <f t="shared" si="36"/>
        <v>Jun Merchandise Home</v>
      </c>
      <c r="F739" s="196" t="s">
        <v>19</v>
      </c>
      <c r="G739" s="196" t="str">
        <f>IFERROR(VLOOKUP(F739,'2020 Budget'!$A$4:$B$462,2,FALSE),"N/F")</f>
        <v>04. Household Expenses</v>
      </c>
      <c r="H739" s="196">
        <v>-52.28</v>
      </c>
      <c r="I739" s="198">
        <v>-357.59000000000003</v>
      </c>
      <c r="J739" s="199" t="s">
        <v>360</v>
      </c>
      <c r="K739" s="199"/>
    </row>
    <row r="740" spans="1:11" hidden="1">
      <c r="A740" s="195" t="s">
        <v>638</v>
      </c>
      <c r="B740" s="196" t="str">
        <f>VLOOKUP(MONTH(C740),'Lookup Tables'!$A$3:$B$14,2,FALSE)</f>
        <v>Jun</v>
      </c>
      <c r="C740" s="197">
        <v>44000</v>
      </c>
      <c r="D740" s="196" t="s">
        <v>1006</v>
      </c>
      <c r="E740" s="196" t="str">
        <f t="shared" si="36"/>
        <v>Jun Merchandise Home</v>
      </c>
      <c r="F740" s="196" t="s">
        <v>19</v>
      </c>
      <c r="G740" s="196" t="str">
        <f>IFERROR(VLOOKUP(F740,'2020 Budget'!$A$4:$B$462,2,FALSE),"N/F")</f>
        <v>04. Household Expenses</v>
      </c>
      <c r="H740" s="196">
        <v>-11.49</v>
      </c>
      <c r="I740" s="198">
        <v>-369.08000000000004</v>
      </c>
      <c r="J740" s="199" t="s">
        <v>360</v>
      </c>
      <c r="K740" s="199"/>
    </row>
    <row r="741" spans="1:11" hidden="1">
      <c r="A741" s="195" t="s">
        <v>638</v>
      </c>
      <c r="B741" s="196" t="str">
        <f>VLOOKUP(MONTH(C741),'Lookup Tables'!$A$3:$B$14,2,FALSE)</f>
        <v>Jun</v>
      </c>
      <c r="C741" s="197">
        <v>44000</v>
      </c>
      <c r="D741" s="196" t="s">
        <v>1006</v>
      </c>
      <c r="E741" s="196" t="str">
        <f t="shared" si="36"/>
        <v>Jun Merchandise Home</v>
      </c>
      <c r="F741" s="196" t="s">
        <v>19</v>
      </c>
      <c r="G741" s="196" t="str">
        <f>IFERROR(VLOOKUP(F741,'2020 Budget'!$A$4:$B$462,2,FALSE),"N/F")</f>
        <v>04. Household Expenses</v>
      </c>
      <c r="H741" s="196">
        <v>-4.22</v>
      </c>
      <c r="I741" s="198">
        <v>-373.30000000000007</v>
      </c>
      <c r="J741" s="199" t="s">
        <v>360</v>
      </c>
      <c r="K741" s="199"/>
    </row>
    <row r="742" spans="1:11" hidden="1">
      <c r="A742" s="195" t="s">
        <v>638</v>
      </c>
      <c r="B742" s="196" t="str">
        <f>VLOOKUP(MONTH(C742),'Lookup Tables'!$A$3:$B$14,2,FALSE)</f>
        <v>Jun</v>
      </c>
      <c r="C742" s="197">
        <v>44001</v>
      </c>
      <c r="D742" s="196" t="s">
        <v>1006</v>
      </c>
      <c r="E742" s="196" t="str">
        <f t="shared" si="36"/>
        <v>Jun Merchandise Home</v>
      </c>
      <c r="F742" s="196" t="s">
        <v>19</v>
      </c>
      <c r="G742" s="196" t="str">
        <f>IFERROR(VLOOKUP(F742,'2020 Budget'!$A$4:$B$462,2,FALSE),"N/F")</f>
        <v>04. Household Expenses</v>
      </c>
      <c r="H742" s="196">
        <v>2.4900000000000002</v>
      </c>
      <c r="I742" s="198">
        <v>-370.81000000000006</v>
      </c>
      <c r="J742" s="199" t="s">
        <v>360</v>
      </c>
      <c r="K742" s="199"/>
    </row>
    <row r="743" spans="1:11" hidden="1">
      <c r="A743" s="195" t="s">
        <v>638</v>
      </c>
      <c r="B743" s="196" t="str">
        <f>VLOOKUP(MONTH(C743),'Lookup Tables'!$A$3:$B$14,2,FALSE)</f>
        <v>Jun</v>
      </c>
      <c r="C743" s="197">
        <v>44001</v>
      </c>
      <c r="D743" s="196" t="s">
        <v>1006</v>
      </c>
      <c r="E743" s="196" t="str">
        <f t="shared" ref="E743:E744" si="37">B743&amp;" "&amp;F743</f>
        <v>Jun Merchandise Home</v>
      </c>
      <c r="F743" s="196" t="s">
        <v>19</v>
      </c>
      <c r="G743" s="196" t="str">
        <f>IFERROR(VLOOKUP(F743,'2020 Budget'!$A$4:$B$462,2,FALSE),"N/F")</f>
        <v>04. Household Expenses</v>
      </c>
      <c r="H743" s="196">
        <v>-2.04</v>
      </c>
      <c r="I743" s="198">
        <v>-372.85000000000008</v>
      </c>
      <c r="J743" s="199" t="s">
        <v>360</v>
      </c>
      <c r="K743" s="199"/>
    </row>
    <row r="744" spans="1:11" hidden="1">
      <c r="A744" s="195" t="s">
        <v>638</v>
      </c>
      <c r="B744" s="196" t="str">
        <f>VLOOKUP(MONTH(C744),'Lookup Tables'!$A$3:$B$14,2,FALSE)</f>
        <v>Jun</v>
      </c>
      <c r="C744" s="197">
        <v>44006</v>
      </c>
      <c r="D744" s="196" t="s">
        <v>1006</v>
      </c>
      <c r="E744" s="196" t="str">
        <f t="shared" si="37"/>
        <v>Jun Merchandise Home</v>
      </c>
      <c r="F744" s="196" t="s">
        <v>19</v>
      </c>
      <c r="G744" s="196" t="str">
        <f>IFERROR(VLOOKUP(F744,'2020 Budget'!$A$4:$B$462,2,FALSE),"N/F")</f>
        <v>04. Household Expenses</v>
      </c>
      <c r="H744" s="196">
        <v>-2.76</v>
      </c>
      <c r="I744" s="198">
        <v>-375.61000000000007</v>
      </c>
      <c r="J744" s="199" t="s">
        <v>360</v>
      </c>
      <c r="K744" s="199"/>
    </row>
    <row r="745" spans="1:11" hidden="1">
      <c r="A745" s="195" t="s">
        <v>638</v>
      </c>
      <c r="B745" s="196" t="str">
        <f>VLOOKUP(MONTH(C745),'Lookup Tables'!$A$3:$B$14,2,FALSE)</f>
        <v>Jul</v>
      </c>
      <c r="C745" s="197">
        <v>44018</v>
      </c>
      <c r="D745" s="196" t="s">
        <v>1002</v>
      </c>
      <c r="E745" s="196" t="str">
        <f t="shared" ref="E745" si="38">B745&amp;" "&amp;F745</f>
        <v>Jul Merchandise Home</v>
      </c>
      <c r="F745" s="196" t="s">
        <v>19</v>
      </c>
      <c r="G745" s="196" t="str">
        <f>IFERROR(VLOOKUP(F745,'2020 Budget'!$A$4:$B$462,2,FALSE),"N/F")</f>
        <v>04. Household Expenses</v>
      </c>
      <c r="H745" s="196">
        <v>-34.96</v>
      </c>
      <c r="I745" s="198">
        <v>-410.57000000000005</v>
      </c>
      <c r="J745" s="199" t="s">
        <v>360</v>
      </c>
      <c r="K745" s="199"/>
    </row>
    <row r="746" spans="1:11" hidden="1">
      <c r="A746" s="195" t="s">
        <v>638</v>
      </c>
      <c r="B746" s="196" t="str">
        <f>VLOOKUP(MONTH(C746),'Lookup Tables'!$A$3:$B$14,2,FALSE)</f>
        <v>Jul</v>
      </c>
      <c r="C746" s="197">
        <v>44020</v>
      </c>
      <c r="D746" s="196" t="s">
        <v>997</v>
      </c>
      <c r="E746" s="196" t="str">
        <f t="shared" ref="E746" si="39">B746&amp;" "&amp;F746</f>
        <v>Jul Fee Late Payment</v>
      </c>
      <c r="F746" s="196" t="s">
        <v>998</v>
      </c>
      <c r="G746" s="196" t="str">
        <f>IFERROR(VLOOKUP(F746,'2020 Budget'!$A$4:$B$462,2,FALSE),"N/F")</f>
        <v>14. Undesired Expenses</v>
      </c>
      <c r="H746" s="196">
        <v>-2.85</v>
      </c>
      <c r="I746" s="198">
        <v>-413.42000000000007</v>
      </c>
      <c r="J746" s="199" t="s">
        <v>360</v>
      </c>
      <c r="K746" s="199"/>
    </row>
    <row r="747" spans="1:11" hidden="1">
      <c r="A747" s="195" t="s">
        <v>638</v>
      </c>
      <c r="B747" s="196" t="str">
        <f>VLOOKUP(MONTH(C747),'Lookup Tables'!$A$3:$B$14,2,FALSE)</f>
        <v>Jul</v>
      </c>
      <c r="C747" s="197">
        <v>44039</v>
      </c>
      <c r="D747" s="196" t="s">
        <v>2</v>
      </c>
      <c r="E747" s="196" t="str">
        <f t="shared" ref="E747:E748" si="40">B747&amp;" "&amp;F747</f>
        <v>Jul Payment Other</v>
      </c>
      <c r="F747" s="196" t="s">
        <v>365</v>
      </c>
      <c r="G747" s="196" t="str">
        <f>IFERROR(VLOOKUP(F747,'2020 Budget'!$A$4:$B$462,2,FALSE),"N/F")</f>
        <v>16. Not Tracked</v>
      </c>
      <c r="H747" s="196">
        <v>413.42</v>
      </c>
      <c r="I747" s="198">
        <f>I746+H747</f>
        <v>0</v>
      </c>
      <c r="J747" s="199"/>
      <c r="K747" s="199"/>
    </row>
    <row r="748" spans="1:11" customFormat="1" hidden="1">
      <c r="A748" s="195" t="s">
        <v>638</v>
      </c>
      <c r="B748" s="196" t="str">
        <f>VLOOKUP(MONTH(C748),'Lookup Tables'!$A$3:$B$14,2,FALSE)</f>
        <v>Aug</v>
      </c>
      <c r="C748" s="197">
        <v>44069</v>
      </c>
      <c r="D748" s="196" t="s">
        <v>1005</v>
      </c>
      <c r="E748" s="196" t="str">
        <f t="shared" si="40"/>
        <v>Aug Merchandise Home</v>
      </c>
      <c r="F748" s="196" t="s">
        <v>19</v>
      </c>
      <c r="G748" s="196" t="str">
        <f>IFERROR(VLOOKUP(F748,'2020 Budget'!$A$4:$B$462,2,FALSE),"N/F")</f>
        <v>04. Household Expenses</v>
      </c>
      <c r="H748" s="196">
        <v>-72.03</v>
      </c>
      <c r="I748" s="198">
        <f>I747+H748</f>
        <v>-72.03</v>
      </c>
      <c r="J748" s="199"/>
      <c r="K748" s="199"/>
    </row>
    <row r="749" spans="1:11" ht="15.75" hidden="1" customHeight="1">
      <c r="A749" s="258" t="s">
        <v>13</v>
      </c>
      <c r="B749" s="259" t="str">
        <f>VLOOKUP(MONTH(C749),'Lookup Tables'!$A$3:$B$14,2,FALSE)</f>
        <v>Jan</v>
      </c>
      <c r="C749" s="260">
        <v>43831</v>
      </c>
      <c r="D749" s="259" t="s">
        <v>80</v>
      </c>
      <c r="E749" s="259" t="str">
        <f t="shared" ref="E749:E787" si="41">B749&amp;" "&amp;F749</f>
        <v>Jan Beginning Balance Other</v>
      </c>
      <c r="F749" s="259" t="s">
        <v>363</v>
      </c>
      <c r="G749" s="259" t="str">
        <f>IFERROR(VLOOKUP(F749,'2020 Budget'!$A$4:$B$462,2,FALSE),"N/F")</f>
        <v>16. Not Tracked</v>
      </c>
      <c r="H749" s="259"/>
      <c r="I749" s="261">
        <v>143971.57</v>
      </c>
      <c r="J749" s="262"/>
      <c r="K749" s="204"/>
    </row>
    <row r="750" spans="1:11" hidden="1">
      <c r="A750" s="258" t="s">
        <v>13</v>
      </c>
      <c r="B750" s="259" t="str">
        <f>VLOOKUP(MONTH(C750),'Lookup Tables'!$A$3:$B$14,2,FALSE)</f>
        <v>Jan</v>
      </c>
      <c r="C750" s="260">
        <v>43839</v>
      </c>
      <c r="D750" s="259" t="s">
        <v>327</v>
      </c>
      <c r="E750" s="259" t="str">
        <f t="shared" si="41"/>
        <v>Jan Mortgage Escrow</v>
      </c>
      <c r="F750" s="259" t="s">
        <v>327</v>
      </c>
      <c r="G750" s="259" t="str">
        <f>IFERROR(VLOOKUP(F750,'2020 Budget'!$A$4:$B$462,2,FALSE),"N/F")</f>
        <v>12. Mortgage Grouping</v>
      </c>
      <c r="H750" s="259">
        <v>-697.44</v>
      </c>
      <c r="I750" s="263"/>
      <c r="J750" s="258"/>
      <c r="K750" s="200"/>
    </row>
    <row r="751" spans="1:11" hidden="1">
      <c r="A751" s="258" t="s">
        <v>13</v>
      </c>
      <c r="B751" s="259" t="str">
        <f>VLOOKUP(MONTH(C751),'Lookup Tables'!$A$3:$B$14,2,FALSE)</f>
        <v>Jan</v>
      </c>
      <c r="C751" s="260">
        <v>43839</v>
      </c>
      <c r="D751" s="259" t="s">
        <v>326</v>
      </c>
      <c r="E751" s="259" t="str">
        <f t="shared" si="41"/>
        <v>Jan Mortgage Fees</v>
      </c>
      <c r="F751" s="259" t="s">
        <v>326</v>
      </c>
      <c r="G751" s="259" t="str">
        <f>IFERROR(VLOOKUP(F751,'2020 Budget'!$A$4:$B$462,2,FALSE),"N/F")</f>
        <v>14. Undesired Expenses</v>
      </c>
      <c r="H751" s="259">
        <v>0</v>
      </c>
      <c r="I751" s="263"/>
      <c r="J751" s="258"/>
      <c r="K751" s="200"/>
    </row>
    <row r="752" spans="1:11" hidden="1">
      <c r="A752" s="258" t="s">
        <v>13</v>
      </c>
      <c r="B752" s="259" t="str">
        <f>VLOOKUP(MONTH(C752),'Lookup Tables'!$A$3:$B$14,2,FALSE)</f>
        <v>Jan</v>
      </c>
      <c r="C752" s="260">
        <v>43839</v>
      </c>
      <c r="D752" s="259" t="s">
        <v>324</v>
      </c>
      <c r="E752" s="259" t="str">
        <f t="shared" si="41"/>
        <v>Jan Mortgage Interest</v>
      </c>
      <c r="F752" s="259" t="s">
        <v>324</v>
      </c>
      <c r="G752" s="259" t="str">
        <f>IFERROR(VLOOKUP(F752,'2020 Budget'!$A$4:$B$462,2,FALSE),"N/F")</f>
        <v>12. Mortgage Grouping</v>
      </c>
      <c r="H752" s="259">
        <v>-584.88</v>
      </c>
      <c r="I752" s="263"/>
      <c r="J752" s="258"/>
      <c r="K752" s="200"/>
    </row>
    <row r="753" spans="1:11" hidden="1">
      <c r="A753" s="258" t="s">
        <v>13</v>
      </c>
      <c r="B753" s="259" t="str">
        <f>VLOOKUP(MONTH(C753),'Lookup Tables'!$A$3:$B$14,2,FALSE)</f>
        <v>Jan</v>
      </c>
      <c r="C753" s="260">
        <v>43839</v>
      </c>
      <c r="D753" s="259" t="s">
        <v>325</v>
      </c>
      <c r="E753" s="259" t="str">
        <f t="shared" si="41"/>
        <v>Jan Mortgage Principle</v>
      </c>
      <c r="F753" s="259" t="s">
        <v>325</v>
      </c>
      <c r="G753" s="259" t="str">
        <f>IFERROR(VLOOKUP(F753,'2020 Budget'!$A$4:$B$462,2,FALSE),"N/F")</f>
        <v>12. Mortgage Grouping</v>
      </c>
      <c r="H753" s="259">
        <v>-240.68</v>
      </c>
      <c r="I753" s="264"/>
      <c r="J753" s="262"/>
      <c r="K753" s="204"/>
    </row>
    <row r="754" spans="1:11" ht="15.75" hidden="1" customHeight="1">
      <c r="A754" s="258" t="s">
        <v>13</v>
      </c>
      <c r="B754" s="259" t="str">
        <f>VLOOKUP(MONTH(C754),'Lookup Tables'!$A$3:$B$14,2,FALSE)</f>
        <v>Feb</v>
      </c>
      <c r="C754" s="260">
        <v>43862</v>
      </c>
      <c r="D754" s="259" t="s">
        <v>80</v>
      </c>
      <c r="E754" s="259" t="str">
        <f t="shared" si="41"/>
        <v>Feb Beginning Balance Other</v>
      </c>
      <c r="F754" s="259" t="s">
        <v>363</v>
      </c>
      <c r="G754" s="259" t="str">
        <f>IFERROR(VLOOKUP(F754,'2020 Budget'!$A$4:$B$462,2,FALSE),"N/F")</f>
        <v>16. Not Tracked</v>
      </c>
      <c r="H754" s="259"/>
      <c r="I754" s="261">
        <v>143730.89000000001</v>
      </c>
      <c r="J754" s="262"/>
      <c r="K754" s="204"/>
    </row>
    <row r="755" spans="1:11" hidden="1">
      <c r="A755" s="258" t="s">
        <v>13</v>
      </c>
      <c r="B755" s="259" t="str">
        <f>VLOOKUP(MONTH(C755),'Lookup Tables'!$A$3:$B$14,2,FALSE)</f>
        <v>Feb</v>
      </c>
      <c r="C755" s="260">
        <v>43864</v>
      </c>
      <c r="D755" s="259" t="s">
        <v>327</v>
      </c>
      <c r="E755" s="259" t="str">
        <f t="shared" si="41"/>
        <v>Feb Mortgage Escrow</v>
      </c>
      <c r="F755" s="259" t="s">
        <v>327</v>
      </c>
      <c r="G755" s="259" t="str">
        <f>IFERROR(VLOOKUP(F755,'2020 Budget'!$A$4:$B$462,2,FALSE),"N/F")</f>
        <v>12. Mortgage Grouping</v>
      </c>
      <c r="H755" s="259">
        <v>-697.44</v>
      </c>
      <c r="I755" s="258"/>
      <c r="J755" s="265"/>
      <c r="K755" s="205"/>
    </row>
    <row r="756" spans="1:11" hidden="1">
      <c r="A756" s="258" t="s">
        <v>13</v>
      </c>
      <c r="B756" s="259" t="str">
        <f>VLOOKUP(MONTH(C756),'Lookup Tables'!$A$3:$B$14,2,FALSE)</f>
        <v>Feb</v>
      </c>
      <c r="C756" s="260">
        <v>43864</v>
      </c>
      <c r="D756" s="259" t="s">
        <v>326</v>
      </c>
      <c r="E756" s="259" t="str">
        <f t="shared" si="41"/>
        <v>Feb Mortgage Fees</v>
      </c>
      <c r="F756" s="259" t="s">
        <v>326</v>
      </c>
      <c r="G756" s="259" t="str">
        <f>IFERROR(VLOOKUP(F756,'2020 Budget'!$A$4:$B$462,2,FALSE),"N/F")</f>
        <v>14. Undesired Expenses</v>
      </c>
      <c r="H756" s="259">
        <v>0</v>
      </c>
      <c r="I756" s="258"/>
      <c r="J756" s="258"/>
      <c r="K756" s="200"/>
    </row>
    <row r="757" spans="1:11" hidden="1">
      <c r="A757" s="258" t="s">
        <v>13</v>
      </c>
      <c r="B757" s="259" t="str">
        <f>VLOOKUP(MONTH(C757),'Lookup Tables'!$A$3:$B$14,2,FALSE)</f>
        <v>Feb</v>
      </c>
      <c r="C757" s="260">
        <v>43864</v>
      </c>
      <c r="D757" s="259" t="s">
        <v>324</v>
      </c>
      <c r="E757" s="259" t="str">
        <f t="shared" si="41"/>
        <v>Feb Mortgage Interest</v>
      </c>
      <c r="F757" s="259" t="s">
        <v>324</v>
      </c>
      <c r="G757" s="259" t="str">
        <f>IFERROR(VLOOKUP(F757,'2020 Budget'!$A$4:$B$462,2,FALSE),"N/F")</f>
        <v>12. Mortgage Grouping</v>
      </c>
      <c r="H757" s="259">
        <v>-583.91</v>
      </c>
      <c r="I757" s="264"/>
      <c r="J757" s="262"/>
      <c r="K757" s="204"/>
    </row>
    <row r="758" spans="1:11" hidden="1">
      <c r="A758" s="258" t="s">
        <v>13</v>
      </c>
      <c r="B758" s="259" t="str">
        <f>VLOOKUP(MONTH(C758),'Lookup Tables'!$A$3:$B$14,2,FALSE)</f>
        <v>Feb</v>
      </c>
      <c r="C758" s="260">
        <v>43864</v>
      </c>
      <c r="D758" s="259" t="s">
        <v>325</v>
      </c>
      <c r="E758" s="259" t="str">
        <f t="shared" si="41"/>
        <v>Feb Mortgage Principle</v>
      </c>
      <c r="F758" s="259" t="s">
        <v>325</v>
      </c>
      <c r="G758" s="259" t="str">
        <f>IFERROR(VLOOKUP(F758,'2020 Budget'!$A$4:$B$462,2,FALSE),"N/F")</f>
        <v>12. Mortgage Grouping</v>
      </c>
      <c r="H758" s="259">
        <v>-241.65</v>
      </c>
      <c r="I758" s="258"/>
      <c r="J758" s="258"/>
      <c r="K758" s="200"/>
    </row>
    <row r="759" spans="1:11" ht="15.75" hidden="1" customHeight="1">
      <c r="A759" s="258" t="s">
        <v>13</v>
      </c>
      <c r="B759" s="259" t="str">
        <f>VLOOKUP(MONTH(C759),'Lookup Tables'!$A$3:$B$14,2,FALSE)</f>
        <v>Mar</v>
      </c>
      <c r="C759" s="260">
        <v>43891</v>
      </c>
      <c r="D759" s="259" t="s">
        <v>80</v>
      </c>
      <c r="E759" s="259" t="str">
        <f t="shared" si="41"/>
        <v>Mar Beginning Balance Other</v>
      </c>
      <c r="F759" s="259" t="s">
        <v>363</v>
      </c>
      <c r="G759" s="259" t="str">
        <f>IFERROR(VLOOKUP(F759,'2020 Budget'!$A$4:$B$462,2,FALSE),"N/F")</f>
        <v>16. Not Tracked</v>
      </c>
      <c r="H759" s="259"/>
      <c r="I759" s="261">
        <f>I754+H755</f>
        <v>143033.45000000001</v>
      </c>
      <c r="J759" s="262"/>
      <c r="K759" s="204"/>
    </row>
    <row r="760" spans="1:11" hidden="1">
      <c r="A760" s="258" t="s">
        <v>13</v>
      </c>
      <c r="B760" s="259" t="str">
        <f>VLOOKUP(MONTH(C760),'Lookup Tables'!$A$3:$B$14,2,FALSE)</f>
        <v>Mar</v>
      </c>
      <c r="C760" s="260">
        <v>43893</v>
      </c>
      <c r="D760" s="259" t="s">
        <v>327</v>
      </c>
      <c r="E760" s="259" t="str">
        <f t="shared" si="41"/>
        <v>Mar Mortgage Escrow</v>
      </c>
      <c r="F760" s="259" t="s">
        <v>327</v>
      </c>
      <c r="G760" s="259" t="str">
        <f>IFERROR(VLOOKUP(F760,'2020 Budget'!$A$4:$B$462,2,FALSE),"N/F")</f>
        <v>12. Mortgage Grouping</v>
      </c>
      <c r="H760" s="259">
        <v>-697.44</v>
      </c>
      <c r="I760" s="258"/>
      <c r="J760" s="258"/>
      <c r="K760" s="200"/>
    </row>
    <row r="761" spans="1:11" hidden="1">
      <c r="A761" s="258" t="s">
        <v>13</v>
      </c>
      <c r="B761" s="259" t="str">
        <f>VLOOKUP(MONTH(C761),'Lookup Tables'!$A$3:$B$14,2,FALSE)</f>
        <v>Mar</v>
      </c>
      <c r="C761" s="260">
        <v>43893</v>
      </c>
      <c r="D761" s="259" t="s">
        <v>876</v>
      </c>
      <c r="E761" s="259" t="str">
        <f t="shared" si="41"/>
        <v>Mar Mortgage Escrow</v>
      </c>
      <c r="F761" s="259" t="s">
        <v>327</v>
      </c>
      <c r="G761" s="259" t="str">
        <f>IFERROR(VLOOKUP(F761,'2020 Budget'!$A$4:$B$462,2,FALSE),"N/F")</f>
        <v>12. Mortgage Grouping</v>
      </c>
      <c r="H761" s="259">
        <v>697.44</v>
      </c>
      <c r="I761" s="264"/>
      <c r="J761" s="262"/>
      <c r="K761" s="204"/>
    </row>
    <row r="762" spans="1:11" hidden="1">
      <c r="A762" s="258" t="s">
        <v>13</v>
      </c>
      <c r="B762" s="259" t="str">
        <f>VLOOKUP(MONTH(C762),'Lookup Tables'!$A$3:$B$14,2,FALSE)</f>
        <v>Mar</v>
      </c>
      <c r="C762" s="260">
        <v>43893</v>
      </c>
      <c r="D762" s="259" t="s">
        <v>326</v>
      </c>
      <c r="E762" s="259" t="str">
        <f t="shared" si="41"/>
        <v>Mar Mortgage Fees</v>
      </c>
      <c r="F762" s="259" t="s">
        <v>326</v>
      </c>
      <c r="G762" s="259" t="str">
        <f>IFERROR(VLOOKUP(F762,'2020 Budget'!$A$4:$B$462,2,FALSE),"N/F")</f>
        <v>14. Undesired Expenses</v>
      </c>
      <c r="H762" s="259">
        <v>0</v>
      </c>
      <c r="I762" s="264"/>
      <c r="J762" s="262"/>
      <c r="K762" s="204"/>
    </row>
    <row r="763" spans="1:11" hidden="1">
      <c r="A763" s="258" t="s">
        <v>13</v>
      </c>
      <c r="B763" s="259" t="str">
        <f>VLOOKUP(MONTH(C763),'Lookup Tables'!$A$3:$B$14,2,FALSE)</f>
        <v>Mar</v>
      </c>
      <c r="C763" s="260">
        <v>43893</v>
      </c>
      <c r="D763" s="259" t="s">
        <v>324</v>
      </c>
      <c r="E763" s="259" t="str">
        <f t="shared" si="41"/>
        <v>Mar Mortgage Interest</v>
      </c>
      <c r="F763" s="259" t="s">
        <v>324</v>
      </c>
      <c r="G763" s="259" t="str">
        <f>IFERROR(VLOOKUP(F763,'2020 Budget'!$A$4:$B$462,2,FALSE),"N/F")</f>
        <v>12. Mortgage Grouping</v>
      </c>
      <c r="H763" s="259">
        <v>-582.92999999999995</v>
      </c>
      <c r="I763" s="259"/>
      <c r="J763" s="259"/>
      <c r="K763" s="201"/>
    </row>
    <row r="764" spans="1:11" hidden="1">
      <c r="A764" s="258" t="s">
        <v>13</v>
      </c>
      <c r="B764" s="259" t="str">
        <f>VLOOKUP(MONTH(C764),'Lookup Tables'!$A$3:$B$14,2,FALSE)</f>
        <v>Mar</v>
      </c>
      <c r="C764" s="260">
        <v>43893</v>
      </c>
      <c r="D764" s="259" t="s">
        <v>877</v>
      </c>
      <c r="E764" s="259" t="str">
        <f t="shared" si="41"/>
        <v>Mar Mortgage Interest</v>
      </c>
      <c r="F764" s="259" t="s">
        <v>324</v>
      </c>
      <c r="G764" s="259" t="str">
        <f>IFERROR(VLOOKUP(F764,'2020 Budget'!$A$4:$B$462,2,FALSE),"N/F")</f>
        <v>12. Mortgage Grouping</v>
      </c>
      <c r="H764" s="259">
        <v>582.92999999999995</v>
      </c>
      <c r="I764" s="264"/>
      <c r="J764" s="262"/>
      <c r="K764" s="204"/>
    </row>
    <row r="765" spans="1:11" hidden="1">
      <c r="A765" s="258" t="s">
        <v>13</v>
      </c>
      <c r="B765" s="259" t="str">
        <f>VLOOKUP(MONTH(C765),'Lookup Tables'!$A$3:$B$14,2,FALSE)</f>
        <v>Mar</v>
      </c>
      <c r="C765" s="260">
        <v>43893</v>
      </c>
      <c r="D765" s="259" t="s">
        <v>325</v>
      </c>
      <c r="E765" s="259" t="str">
        <f t="shared" si="41"/>
        <v>Mar Mortgage Principle</v>
      </c>
      <c r="F765" s="259" t="s">
        <v>325</v>
      </c>
      <c r="G765" s="259" t="str">
        <f>IFERROR(VLOOKUP(F765,'2020 Budget'!$A$4:$B$462,2,FALSE),"N/F")</f>
        <v>12. Mortgage Grouping</v>
      </c>
      <c r="H765" s="259">
        <v>-242.63</v>
      </c>
      <c r="I765" s="263"/>
      <c r="J765" s="258"/>
      <c r="K765" s="200"/>
    </row>
    <row r="766" spans="1:11" hidden="1">
      <c r="A766" s="258" t="s">
        <v>13</v>
      </c>
      <c r="B766" s="259" t="str">
        <f>VLOOKUP(MONTH(C766),'Lookup Tables'!$A$3:$B$14,2,FALSE)</f>
        <v>Mar</v>
      </c>
      <c r="C766" s="260">
        <v>43893</v>
      </c>
      <c r="D766" s="259" t="s">
        <v>878</v>
      </c>
      <c r="E766" s="259" t="str">
        <f t="shared" si="41"/>
        <v>Mar Mortgage Principle</v>
      </c>
      <c r="F766" s="259" t="s">
        <v>325</v>
      </c>
      <c r="G766" s="259" t="str">
        <f>IFERROR(VLOOKUP(F766,'2020 Budget'!$A$4:$B$462,2,FALSE),"N/F")</f>
        <v>12. Mortgage Grouping</v>
      </c>
      <c r="H766" s="259">
        <v>242.63</v>
      </c>
      <c r="I766" s="263"/>
      <c r="J766" s="258"/>
      <c r="K766" s="200"/>
    </row>
    <row r="767" spans="1:11" ht="15.75" hidden="1" customHeight="1">
      <c r="A767" s="258" t="s">
        <v>13</v>
      </c>
      <c r="B767" s="259" t="str">
        <f>VLOOKUP(MONTH(C767),'Lookup Tables'!$A$3:$B$14,2,FALSE)</f>
        <v>Apr</v>
      </c>
      <c r="C767" s="260">
        <v>43922</v>
      </c>
      <c r="D767" s="259" t="s">
        <v>80</v>
      </c>
      <c r="E767" s="259" t="str">
        <f t="shared" si="41"/>
        <v>Apr Beginning Balance Other</v>
      </c>
      <c r="F767" s="259" t="s">
        <v>363</v>
      </c>
      <c r="G767" s="259" t="str">
        <f>IFERROR(VLOOKUP(F767,'2020 Budget'!$A$4:$B$462,2,FALSE),"N/F")</f>
        <v>16. Not Tracked</v>
      </c>
      <c r="H767" s="259"/>
      <c r="I767" s="261">
        <v>143246.60999999999</v>
      </c>
      <c r="J767" s="262"/>
      <c r="K767" s="204"/>
    </row>
    <row r="768" spans="1:11" hidden="1">
      <c r="A768" s="258" t="s">
        <v>13</v>
      </c>
      <c r="B768" s="259" t="str">
        <f>VLOOKUP(MONTH(C768),'Lookup Tables'!$A$3:$B$14,2,FALSE)</f>
        <v>Apr</v>
      </c>
      <c r="C768" s="260">
        <v>43927</v>
      </c>
      <c r="D768" s="259" t="s">
        <v>327</v>
      </c>
      <c r="E768" s="259" t="str">
        <f t="shared" si="41"/>
        <v>Apr Mortgage Escrow</v>
      </c>
      <c r="F768" s="259" t="s">
        <v>327</v>
      </c>
      <c r="G768" s="259" t="str">
        <f>IFERROR(VLOOKUP(F768,'2020 Budget'!$A$4:$B$462,2,FALSE),"N/F")</f>
        <v>12. Mortgage Grouping</v>
      </c>
      <c r="H768" s="259">
        <v>-596.16</v>
      </c>
      <c r="I768" s="264"/>
      <c r="J768" s="262"/>
      <c r="K768" s="204"/>
    </row>
    <row r="769" spans="1:11" hidden="1">
      <c r="A769" s="258" t="s">
        <v>13</v>
      </c>
      <c r="B769" s="259" t="str">
        <f>VLOOKUP(MONTH(C769),'Lookup Tables'!$A$3:$B$14,2,FALSE)</f>
        <v>Apr</v>
      </c>
      <c r="C769" s="260">
        <v>43927</v>
      </c>
      <c r="D769" s="259" t="s">
        <v>326</v>
      </c>
      <c r="E769" s="259" t="str">
        <f t="shared" si="41"/>
        <v>Apr Mortgage Fees</v>
      </c>
      <c r="F769" s="259" t="s">
        <v>326</v>
      </c>
      <c r="G769" s="259" t="str">
        <f>IFERROR(VLOOKUP(F769,'2020 Budget'!$A$4:$B$462,2,FALSE),"N/F")</f>
        <v>14. Undesired Expenses</v>
      </c>
      <c r="H769" s="259"/>
      <c r="I769" s="264"/>
      <c r="J769" s="262"/>
      <c r="K769" s="204"/>
    </row>
    <row r="770" spans="1:11" hidden="1">
      <c r="A770" s="258" t="s">
        <v>13</v>
      </c>
      <c r="B770" s="259" t="str">
        <f>VLOOKUP(MONTH(C770),'Lookup Tables'!$A$3:$B$14,2,FALSE)</f>
        <v>Apr</v>
      </c>
      <c r="C770" s="260">
        <v>43927</v>
      </c>
      <c r="D770" s="259" t="s">
        <v>324</v>
      </c>
      <c r="E770" s="259" t="str">
        <f t="shared" si="41"/>
        <v>Apr Mortgage Interest</v>
      </c>
      <c r="F770" s="259" t="s">
        <v>324</v>
      </c>
      <c r="G770" s="259" t="str">
        <f>IFERROR(VLOOKUP(F770,'2020 Budget'!$A$4:$B$462,2,FALSE),"N/F")</f>
        <v>12. Mortgage Grouping</v>
      </c>
      <c r="H770" s="259">
        <v>-582.92999999999995</v>
      </c>
      <c r="I770" s="264"/>
      <c r="J770" s="262"/>
      <c r="K770" s="204"/>
    </row>
    <row r="771" spans="1:11" hidden="1">
      <c r="A771" s="258" t="s">
        <v>13</v>
      </c>
      <c r="B771" s="259" t="str">
        <f>VLOOKUP(MONTH(C771),'Lookup Tables'!$A$3:$B$14,2,FALSE)</f>
        <v>Apr</v>
      </c>
      <c r="C771" s="260">
        <v>43927</v>
      </c>
      <c r="D771" s="259" t="s">
        <v>325</v>
      </c>
      <c r="E771" s="259" t="str">
        <f t="shared" si="41"/>
        <v>Apr Mortgage Principle</v>
      </c>
      <c r="F771" s="259" t="s">
        <v>325</v>
      </c>
      <c r="G771" s="259" t="str">
        <f>IFERROR(VLOOKUP(F771,'2020 Budget'!$A$4:$B$462,2,FALSE),"N/F")</f>
        <v>12. Mortgage Grouping</v>
      </c>
      <c r="H771" s="259">
        <v>-242.63</v>
      </c>
      <c r="I771" s="263"/>
      <c r="J771" s="258"/>
      <c r="K771" s="200"/>
    </row>
    <row r="772" spans="1:11" ht="15.75" hidden="1" customHeight="1">
      <c r="A772" s="258" t="s">
        <v>13</v>
      </c>
      <c r="B772" s="259" t="str">
        <f>VLOOKUP(MONTH(C772),'Lookup Tables'!$A$3:$B$14,2,FALSE)</f>
        <v>May</v>
      </c>
      <c r="C772" s="260">
        <v>43952</v>
      </c>
      <c r="D772" s="259" t="s">
        <v>80</v>
      </c>
      <c r="E772" s="259" t="str">
        <f t="shared" si="41"/>
        <v>May Beginning Balance Other</v>
      </c>
      <c r="F772" s="259" t="s">
        <v>363</v>
      </c>
      <c r="G772" s="259" t="str">
        <f>IFERROR(VLOOKUP(F772,'2020 Budget'!$A$4:$B$462,2,FALSE),"N/F")</f>
        <v>16. Not Tracked</v>
      </c>
      <c r="H772" s="259"/>
      <c r="I772" s="261">
        <v>143246.60999999999</v>
      </c>
      <c r="J772" s="262"/>
      <c r="K772" s="204"/>
    </row>
    <row r="773" spans="1:11" hidden="1">
      <c r="A773" s="258" t="s">
        <v>13</v>
      </c>
      <c r="B773" s="259" t="str">
        <f>VLOOKUP(MONTH(C773),'Lookup Tables'!$A$3:$B$14,2,FALSE)</f>
        <v>May</v>
      </c>
      <c r="C773" s="260">
        <v>43956</v>
      </c>
      <c r="D773" s="259" t="s">
        <v>327</v>
      </c>
      <c r="E773" s="259" t="str">
        <f t="shared" si="41"/>
        <v>May Mortgage Escrow</v>
      </c>
      <c r="F773" s="259" t="s">
        <v>327</v>
      </c>
      <c r="G773" s="259" t="str">
        <f>IFERROR(VLOOKUP(F773,'2020 Budget'!$A$4:$B$462,2,FALSE),"N/F")</f>
        <v>12. Mortgage Grouping</v>
      </c>
      <c r="H773" s="259">
        <v>-596.16</v>
      </c>
      <c r="I773" s="264"/>
      <c r="J773" s="262"/>
      <c r="K773" s="204"/>
    </row>
    <row r="774" spans="1:11" hidden="1">
      <c r="A774" s="258" t="s">
        <v>13</v>
      </c>
      <c r="B774" s="259" t="str">
        <f>VLOOKUP(MONTH(C774),'Lookup Tables'!$A$3:$B$14,2,FALSE)</f>
        <v>May</v>
      </c>
      <c r="C774" s="260">
        <v>43956</v>
      </c>
      <c r="D774" s="259" t="s">
        <v>876</v>
      </c>
      <c r="E774" s="259" t="str">
        <f t="shared" si="41"/>
        <v>May Mortgage Escrow</v>
      </c>
      <c r="F774" s="259" t="s">
        <v>327</v>
      </c>
      <c r="G774" s="259" t="str">
        <f>IFERROR(VLOOKUP(F774,'2020 Budget'!$A$4:$B$462,2,FALSE),"N/F")</f>
        <v>12. Mortgage Grouping</v>
      </c>
      <c r="H774" s="259">
        <v>697.44</v>
      </c>
      <c r="I774" s="264"/>
      <c r="J774" s="262"/>
      <c r="K774" s="204"/>
    </row>
    <row r="775" spans="1:11" hidden="1">
      <c r="A775" s="258" t="s">
        <v>13</v>
      </c>
      <c r="B775" s="259" t="str">
        <f>VLOOKUP(MONTH(C775),'Lookup Tables'!$A$3:$B$14,2,FALSE)</f>
        <v>May</v>
      </c>
      <c r="C775" s="260">
        <v>43956</v>
      </c>
      <c r="D775" s="259" t="s">
        <v>326</v>
      </c>
      <c r="E775" s="259" t="str">
        <f t="shared" si="41"/>
        <v>May Mortgage Fees</v>
      </c>
      <c r="F775" s="259" t="s">
        <v>326</v>
      </c>
      <c r="G775" s="259" t="str">
        <f>IFERROR(VLOOKUP(F775,'2020 Budget'!$A$4:$B$462,2,FALSE),"N/F")</f>
        <v>14. Undesired Expenses</v>
      </c>
      <c r="H775" s="259"/>
      <c r="I775" s="264"/>
      <c r="J775" s="262"/>
      <c r="K775" s="204"/>
    </row>
    <row r="776" spans="1:11" hidden="1">
      <c r="A776" s="258" t="s">
        <v>13</v>
      </c>
      <c r="B776" s="259" t="str">
        <f>VLOOKUP(MONTH(C776),'Lookup Tables'!$A$3:$B$14,2,FALSE)</f>
        <v>May</v>
      </c>
      <c r="C776" s="260">
        <v>43956</v>
      </c>
      <c r="D776" s="259" t="s">
        <v>324</v>
      </c>
      <c r="E776" s="259" t="str">
        <f t="shared" si="41"/>
        <v>May Mortgage Interest</v>
      </c>
      <c r="F776" s="259" t="s">
        <v>324</v>
      </c>
      <c r="G776" s="259" t="str">
        <f>IFERROR(VLOOKUP(F776,'2020 Budget'!$A$4:$B$462,2,FALSE),"N/F")</f>
        <v>12. Mortgage Grouping</v>
      </c>
      <c r="H776" s="259">
        <v>-582.92999999999995</v>
      </c>
      <c r="I776" s="264"/>
      <c r="J776" s="262"/>
      <c r="K776" s="204"/>
    </row>
    <row r="777" spans="1:11" hidden="1">
      <c r="A777" s="258" t="s">
        <v>13</v>
      </c>
      <c r="B777" s="259" t="str">
        <f>VLOOKUP(MONTH(C777),'Lookup Tables'!$A$3:$B$14,2,FALSE)</f>
        <v>May</v>
      </c>
      <c r="C777" s="260">
        <v>43956</v>
      </c>
      <c r="D777" s="259" t="s">
        <v>877</v>
      </c>
      <c r="E777" s="259" t="str">
        <f t="shared" si="41"/>
        <v>May Mortgage Interest</v>
      </c>
      <c r="F777" s="259" t="s">
        <v>324</v>
      </c>
      <c r="G777" s="259" t="str">
        <f>IFERROR(VLOOKUP(F777,'2020 Budget'!$A$4:$B$462,2,FALSE),"N/F")</f>
        <v>12. Mortgage Grouping</v>
      </c>
      <c r="H777" s="259">
        <v>582.92999999999995</v>
      </c>
      <c r="I777" s="264"/>
      <c r="J777" s="262"/>
      <c r="K777" s="204"/>
    </row>
    <row r="778" spans="1:11" hidden="1">
      <c r="A778" s="258" t="s">
        <v>13</v>
      </c>
      <c r="B778" s="259" t="str">
        <f>VLOOKUP(MONTH(C778),'Lookup Tables'!$A$3:$B$14,2,FALSE)</f>
        <v>May</v>
      </c>
      <c r="C778" s="260">
        <v>43956</v>
      </c>
      <c r="D778" s="259" t="s">
        <v>325</v>
      </c>
      <c r="E778" s="259" t="str">
        <f t="shared" si="41"/>
        <v>May Mortgage Principle</v>
      </c>
      <c r="F778" s="259" t="s">
        <v>325</v>
      </c>
      <c r="G778" s="259" t="str">
        <f>IFERROR(VLOOKUP(F778,'2020 Budget'!$A$4:$B$462,2,FALSE),"N/F")</f>
        <v>12. Mortgage Grouping</v>
      </c>
      <c r="H778" s="259">
        <v>-242.63</v>
      </c>
      <c r="I778" s="263"/>
      <c r="J778" s="258"/>
      <c r="K778" s="200"/>
    </row>
    <row r="779" spans="1:11" hidden="1">
      <c r="A779" s="258" t="s">
        <v>13</v>
      </c>
      <c r="B779" s="259" t="str">
        <f>VLOOKUP(MONTH(C779),'Lookup Tables'!$A$3:$B$14,2,FALSE)</f>
        <v>May</v>
      </c>
      <c r="C779" s="260">
        <v>43956</v>
      </c>
      <c r="D779" s="259" t="s">
        <v>878</v>
      </c>
      <c r="E779" s="259" t="str">
        <f t="shared" si="41"/>
        <v>May Mortgage Principle</v>
      </c>
      <c r="F779" s="259" t="s">
        <v>325</v>
      </c>
      <c r="G779" s="259" t="str">
        <f>IFERROR(VLOOKUP(F779,'2020 Budget'!$A$4:$B$462,2,FALSE),"N/F")</f>
        <v>12. Mortgage Grouping</v>
      </c>
      <c r="H779" s="259">
        <v>242.63</v>
      </c>
      <c r="I779" s="263"/>
      <c r="J779" s="258"/>
      <c r="K779" s="200"/>
    </row>
    <row r="780" spans="1:11" hidden="1">
      <c r="A780" s="258" t="s">
        <v>13</v>
      </c>
      <c r="B780" s="259" t="str">
        <f>VLOOKUP(MONTH(C780),'Lookup Tables'!$A$3:$B$14,2,FALSE)</f>
        <v>May</v>
      </c>
      <c r="C780" s="260">
        <v>43970</v>
      </c>
      <c r="D780" s="259" t="s">
        <v>327</v>
      </c>
      <c r="E780" s="259" t="str">
        <f t="shared" si="41"/>
        <v>May Mortgage Escrow</v>
      </c>
      <c r="F780" s="259" t="s">
        <v>327</v>
      </c>
      <c r="G780" s="259" t="str">
        <f>IFERROR(VLOOKUP(F780,'2020 Budget'!$A$4:$B$462,2,FALSE),"N/F")</f>
        <v>12. Mortgage Grouping</v>
      </c>
      <c r="H780" s="259">
        <v>-596.16</v>
      </c>
      <c r="I780" s="264"/>
      <c r="J780" s="262"/>
      <c r="K780" s="204"/>
    </row>
    <row r="781" spans="1:11" hidden="1">
      <c r="A781" s="258" t="s">
        <v>13</v>
      </c>
      <c r="B781" s="259" t="str">
        <f>VLOOKUP(MONTH(C781),'Lookup Tables'!$A$3:$B$14,2,FALSE)</f>
        <v>May</v>
      </c>
      <c r="C781" s="260">
        <v>43970</v>
      </c>
      <c r="D781" s="259" t="s">
        <v>326</v>
      </c>
      <c r="E781" s="259" t="str">
        <f t="shared" si="41"/>
        <v>May Mortgage Fees</v>
      </c>
      <c r="F781" s="259" t="s">
        <v>326</v>
      </c>
      <c r="G781" s="259" t="str">
        <f>IFERROR(VLOOKUP(F781,'2020 Budget'!$A$4:$B$462,2,FALSE),"N/F")</f>
        <v>14. Undesired Expenses</v>
      </c>
      <c r="H781" s="259"/>
      <c r="I781" s="264"/>
      <c r="J781" s="262"/>
      <c r="K781" s="204"/>
    </row>
    <row r="782" spans="1:11" hidden="1">
      <c r="A782" s="258" t="s">
        <v>13</v>
      </c>
      <c r="B782" s="259" t="str">
        <f>VLOOKUP(MONTH(C782),'Lookup Tables'!$A$3:$B$14,2,FALSE)</f>
        <v>May</v>
      </c>
      <c r="C782" s="260">
        <v>43970</v>
      </c>
      <c r="D782" s="259" t="s">
        <v>324</v>
      </c>
      <c r="E782" s="259" t="str">
        <f t="shared" si="41"/>
        <v>May Mortgage Interest</v>
      </c>
      <c r="F782" s="259" t="s">
        <v>324</v>
      </c>
      <c r="G782" s="259" t="str">
        <f>IFERROR(VLOOKUP(F782,'2020 Budget'!$A$4:$B$462,2,FALSE),"N/F")</f>
        <v>12. Mortgage Grouping</v>
      </c>
      <c r="H782" s="259">
        <v>-582.92999999999995</v>
      </c>
      <c r="I782" s="264"/>
      <c r="J782" s="262"/>
      <c r="K782" s="204"/>
    </row>
    <row r="783" spans="1:11" hidden="1">
      <c r="A783" s="258" t="s">
        <v>13</v>
      </c>
      <c r="B783" s="259" t="str">
        <f>VLOOKUP(MONTH(C783),'Lookup Tables'!$A$3:$B$14,2,FALSE)</f>
        <v>May</v>
      </c>
      <c r="C783" s="260">
        <v>43970</v>
      </c>
      <c r="D783" s="259" t="s">
        <v>325</v>
      </c>
      <c r="E783" s="259" t="str">
        <f t="shared" si="41"/>
        <v>May Mortgage Principle</v>
      </c>
      <c r="F783" s="259" t="s">
        <v>325</v>
      </c>
      <c r="G783" s="259" t="str">
        <f>IFERROR(VLOOKUP(F783,'2020 Budget'!$A$4:$B$462,2,FALSE),"N/F")</f>
        <v>12. Mortgage Grouping</v>
      </c>
      <c r="H783" s="259">
        <v>-242.63</v>
      </c>
      <c r="I783" s="263"/>
      <c r="J783" s="258"/>
      <c r="K783" s="200"/>
    </row>
    <row r="784" spans="1:11" ht="15.75" hidden="1" customHeight="1">
      <c r="A784" s="258" t="s">
        <v>13</v>
      </c>
      <c r="B784" s="259" t="str">
        <f>VLOOKUP(MONTH(C784),'Lookup Tables'!$A$3:$B$14,2,FALSE)</f>
        <v>Jun</v>
      </c>
      <c r="C784" s="260">
        <v>43983</v>
      </c>
      <c r="D784" s="259" t="s">
        <v>80</v>
      </c>
      <c r="E784" s="259" t="str">
        <f t="shared" si="41"/>
        <v>Jun Beginning Balance Other</v>
      </c>
      <c r="F784" s="259" t="s">
        <v>363</v>
      </c>
      <c r="G784" s="259" t="str">
        <f>IFERROR(VLOOKUP(F784,'2020 Budget'!$A$4:$B$462,2,FALSE),"N/F")</f>
        <v>16. Not Tracked</v>
      </c>
      <c r="H784" s="259"/>
      <c r="I784" s="261">
        <v>143002.99</v>
      </c>
      <c r="J784" s="262"/>
      <c r="K784" s="204"/>
    </row>
    <row r="785" spans="1:11" hidden="1">
      <c r="A785" s="258" t="s">
        <v>13</v>
      </c>
      <c r="B785" s="259" t="str">
        <f>VLOOKUP(MONTH(C785),'Lookup Tables'!$A$3:$B$14,2,FALSE)</f>
        <v>Jun</v>
      </c>
      <c r="C785" s="260">
        <v>43987</v>
      </c>
      <c r="D785" s="259" t="s">
        <v>327</v>
      </c>
      <c r="E785" s="259" t="str">
        <f t="shared" si="41"/>
        <v>Jun Mortgage Escrow</v>
      </c>
      <c r="F785" s="259" t="s">
        <v>327</v>
      </c>
      <c r="G785" s="259" t="str">
        <f>IFERROR(VLOOKUP(F785,'2020 Budget'!$A$4:$B$462,2,FALSE),"N/F")</f>
        <v>12. Mortgage Grouping</v>
      </c>
      <c r="H785" s="259">
        <v>-596.16</v>
      </c>
      <c r="I785" s="264"/>
      <c r="J785" s="262"/>
      <c r="K785" s="204"/>
    </row>
    <row r="786" spans="1:11" hidden="1">
      <c r="A786" s="258" t="s">
        <v>13</v>
      </c>
      <c r="B786" s="259" t="str">
        <f>VLOOKUP(MONTH(C786),'Lookup Tables'!$A$3:$B$14,2,FALSE)</f>
        <v>Jun</v>
      </c>
      <c r="C786" s="260">
        <v>43987</v>
      </c>
      <c r="D786" s="259" t="s">
        <v>326</v>
      </c>
      <c r="E786" s="259" t="str">
        <f t="shared" si="41"/>
        <v>Jun Mortgage Fees</v>
      </c>
      <c r="F786" s="259" t="s">
        <v>326</v>
      </c>
      <c r="G786" s="259" t="str">
        <f>IFERROR(VLOOKUP(F786,'2020 Budget'!$A$4:$B$462,2,FALSE),"N/F")</f>
        <v>14. Undesired Expenses</v>
      </c>
      <c r="H786" s="259"/>
      <c r="I786" s="264"/>
      <c r="J786" s="262"/>
      <c r="K786" s="204"/>
    </row>
    <row r="787" spans="1:11" hidden="1">
      <c r="A787" s="258" t="s">
        <v>13</v>
      </c>
      <c r="B787" s="259" t="str">
        <f>VLOOKUP(MONTH(C787),'Lookup Tables'!$A$3:$B$14,2,FALSE)</f>
        <v>Jun</v>
      </c>
      <c r="C787" s="260">
        <v>43987</v>
      </c>
      <c r="D787" s="259" t="s">
        <v>324</v>
      </c>
      <c r="E787" s="259" t="str">
        <f t="shared" si="41"/>
        <v>Jun Mortgage Interest</v>
      </c>
      <c r="F787" s="259" t="s">
        <v>324</v>
      </c>
      <c r="G787" s="259" t="str">
        <f>IFERROR(VLOOKUP(F787,'2020 Budget'!$A$4:$B$462,2,FALSE),"N/F")</f>
        <v>12. Mortgage Grouping</v>
      </c>
      <c r="H787" s="259">
        <v>-582.92999999999995</v>
      </c>
      <c r="I787" s="264"/>
      <c r="J787" s="262"/>
      <c r="K787" s="204"/>
    </row>
    <row r="788" spans="1:11" ht="15.75" hidden="1" customHeight="1">
      <c r="A788" s="258" t="s">
        <v>13</v>
      </c>
      <c r="B788" s="259" t="str">
        <f>VLOOKUP(MONTH(C788),'Lookup Tables'!$A$3:$B$14,2,FALSE)</f>
        <v>Jul</v>
      </c>
      <c r="C788" s="260">
        <v>44013</v>
      </c>
      <c r="D788" s="259" t="s">
        <v>80</v>
      </c>
      <c r="E788" s="259" t="str">
        <f>B788&amp;" "&amp;F788</f>
        <v>Jul Beginning Balance Other</v>
      </c>
      <c r="F788" s="259" t="s">
        <v>363</v>
      </c>
      <c r="G788" s="259" t="str">
        <f>IFERROR(VLOOKUP(F788,'2020 Budget'!$A$4:$B$462,2,FALSE),"N/F")</f>
        <v>16. Not Tracked</v>
      </c>
      <c r="H788" s="259"/>
      <c r="I788" s="261">
        <v>142758.38</v>
      </c>
      <c r="J788" s="262"/>
      <c r="K788" s="204"/>
    </row>
    <row r="789" spans="1:11" ht="22.5" hidden="1" customHeight="1">
      <c r="A789" s="258" t="s">
        <v>13</v>
      </c>
      <c r="B789" s="259" t="str">
        <f>VLOOKUP(MONTH(C789),'Lookup Tables'!$A$3:$B$14,2,FALSE)</f>
        <v>Aug</v>
      </c>
      <c r="C789" s="260">
        <v>44068</v>
      </c>
      <c r="D789" s="259" t="s">
        <v>1030</v>
      </c>
      <c r="E789" s="259" t="str">
        <f>B789&amp;" "&amp;F789</f>
        <v>Aug Homeowners Insurance</v>
      </c>
      <c r="F789" s="259" t="s">
        <v>1033</v>
      </c>
      <c r="G789" s="259" t="str">
        <f>IFERROR(VLOOKUP(F789,'2020 Budget'!$A$4:$B$462,2,FALSE),"N/F")</f>
        <v>12. Mortgage Grouping</v>
      </c>
      <c r="H789" s="259">
        <v>-1519</v>
      </c>
      <c r="I789" s="261"/>
      <c r="J789" s="262"/>
      <c r="K789" s="204"/>
    </row>
    <row r="790" spans="1:11" ht="15.75" hidden="1" customHeight="1">
      <c r="A790" s="258" t="s">
        <v>13</v>
      </c>
      <c r="B790" s="259" t="str">
        <f>VLOOKUP(MONTH(C790),'Lookup Tables'!$A$3:$B$14,2,FALSE)</f>
        <v>Aug</v>
      </c>
      <c r="C790" s="260">
        <v>44050</v>
      </c>
      <c r="D790" s="259" t="s">
        <v>1032</v>
      </c>
      <c r="E790" s="259" t="str">
        <f t="shared" ref="E790:E806" si="42">B790&amp;" "&amp;F790</f>
        <v>Aug Property Taxes</v>
      </c>
      <c r="F790" s="259" t="s">
        <v>333</v>
      </c>
      <c r="G790" s="259" t="str">
        <f>IFERROR(VLOOKUP(F790,'2020 Budget'!$A$4:$B$462,2,FALSE),"N/F")</f>
        <v>12. Mortgage Grouping</v>
      </c>
      <c r="H790" s="259">
        <v>-4098.84</v>
      </c>
      <c r="I790" s="261"/>
      <c r="J790" s="262"/>
      <c r="K790" s="204"/>
    </row>
    <row r="791" spans="1:11" ht="15.75" hidden="1" customHeight="1">
      <c r="A791" s="258" t="s">
        <v>13</v>
      </c>
      <c r="B791" s="259" t="str">
        <f>VLOOKUP(MONTH(C791),'Lookup Tables'!$A$3:$B$14,2,FALSE)</f>
        <v>Sep</v>
      </c>
      <c r="C791" s="260">
        <v>44076</v>
      </c>
      <c r="D791" s="259" t="s">
        <v>1029</v>
      </c>
      <c r="E791" s="259" t="str">
        <f t="shared" si="42"/>
        <v>Sep Mortgage Escrow</v>
      </c>
      <c r="F791" s="259" t="s">
        <v>327</v>
      </c>
      <c r="G791" s="259" t="str">
        <f>IFERROR(VLOOKUP(F791,'2020 Budget'!$A$4:$B$462,2,FALSE),"N/F")</f>
        <v>12. Mortgage Grouping</v>
      </c>
      <c r="H791" s="259">
        <v>-697.44</v>
      </c>
      <c r="I791" s="261"/>
      <c r="J791" s="262"/>
      <c r="K791" s="204"/>
    </row>
    <row r="792" spans="1:11" ht="15.75" hidden="1" customHeight="1">
      <c r="A792" s="258" t="s">
        <v>13</v>
      </c>
      <c r="B792" s="259" t="str">
        <f>VLOOKUP(MONTH(C792),'Lookup Tables'!$A$3:$B$14,2,FALSE)</f>
        <v>Sep</v>
      </c>
      <c r="C792" s="260">
        <v>44076</v>
      </c>
      <c r="D792" s="259" t="s">
        <v>1027</v>
      </c>
      <c r="E792" s="259" t="str">
        <f t="shared" si="42"/>
        <v>Sep Mortgage Interest</v>
      </c>
      <c r="F792" s="259" t="s">
        <v>324</v>
      </c>
      <c r="G792" s="259" t="str">
        <f>IFERROR(VLOOKUP(F792,'2020 Budget'!$A$4:$B$462,2,FALSE),"N/F")</f>
        <v>12. Mortgage Grouping</v>
      </c>
      <c r="H792" s="259">
        <v>-576.95000000000005</v>
      </c>
      <c r="I792" s="261"/>
      <c r="J792" s="262"/>
      <c r="K792" s="204"/>
    </row>
    <row r="793" spans="1:11" ht="15.75" hidden="1" customHeight="1">
      <c r="A793" s="258" t="s">
        <v>13</v>
      </c>
      <c r="B793" s="259" t="str">
        <f>VLOOKUP(MONTH(C793),'Lookup Tables'!$A$3:$B$14,2,FALSE)</f>
        <v>Sep</v>
      </c>
      <c r="C793" s="260">
        <v>44076</v>
      </c>
      <c r="D793" s="259" t="s">
        <v>1028</v>
      </c>
      <c r="E793" s="259" t="str">
        <f t="shared" si="42"/>
        <v>Sep Mortgage Principle</v>
      </c>
      <c r="F793" s="259" t="s">
        <v>325</v>
      </c>
      <c r="G793" s="259" t="str">
        <f>IFERROR(VLOOKUP(F793,'2020 Budget'!$A$4:$B$462,2,FALSE),"N/F")</f>
        <v>12. Mortgage Grouping</v>
      </c>
      <c r="H793" s="259">
        <v>-248.61</v>
      </c>
      <c r="I793" s="261"/>
      <c r="J793" s="262"/>
      <c r="K793" s="204"/>
    </row>
    <row r="794" spans="1:11" ht="15.75" hidden="1" customHeight="1">
      <c r="A794" s="258" t="s">
        <v>13</v>
      </c>
      <c r="B794" s="259" t="str">
        <f>VLOOKUP(MONTH(C794),'Lookup Tables'!$A$3:$B$14,2,FALSE)</f>
        <v>Jun</v>
      </c>
      <c r="C794" s="260">
        <v>43987</v>
      </c>
      <c r="D794" s="259" t="s">
        <v>325</v>
      </c>
      <c r="E794" s="259" t="str">
        <f t="shared" si="42"/>
        <v>Jun Mortgage Principle</v>
      </c>
      <c r="F794" s="259" t="s">
        <v>325</v>
      </c>
      <c r="G794" s="259" t="str">
        <f>IFERROR(VLOOKUP(F794,'2020 Budget'!$A$4:$B$462,2,FALSE),"N/F")</f>
        <v>12. Mortgage Grouping</v>
      </c>
      <c r="H794" s="259">
        <v>-242.63</v>
      </c>
      <c r="I794" s="263"/>
      <c r="J794" s="258"/>
      <c r="K794" s="200"/>
    </row>
    <row r="795" spans="1:11" ht="15.75" hidden="1" customHeight="1">
      <c r="A795" s="258" t="s">
        <v>13</v>
      </c>
      <c r="B795" s="259" t="str">
        <f>VLOOKUP(MONTH(C795),'Lookup Tables'!$A$3:$B$14,2,FALSE)</f>
        <v>Aug</v>
      </c>
      <c r="C795" s="260">
        <v>44050</v>
      </c>
      <c r="D795" s="259" t="s">
        <v>1031</v>
      </c>
      <c r="E795" s="259" t="str">
        <f t="shared" si="42"/>
        <v>Aug Mortgage Escrow</v>
      </c>
      <c r="F795" s="259" t="s">
        <v>327</v>
      </c>
      <c r="G795" s="259" t="str">
        <f>IFERROR(VLOOKUP(F795,'2020 Budget'!$A$4:$B$462,2,FALSE),"N/F")</f>
        <v>12. Mortgage Grouping</v>
      </c>
      <c r="H795" s="259">
        <v>697.44</v>
      </c>
      <c r="I795" s="261"/>
      <c r="J795" s="262"/>
      <c r="K795" s="204"/>
    </row>
    <row r="796" spans="1:11" ht="15.75" hidden="1" customHeight="1">
      <c r="A796" s="258" t="s">
        <v>13</v>
      </c>
      <c r="B796" s="259" t="str">
        <f>VLOOKUP(MONTH(C796),'Lookup Tables'!$A$3:$B$14,2,FALSE)</f>
        <v>Aug</v>
      </c>
      <c r="C796" s="260">
        <v>44050</v>
      </c>
      <c r="D796" s="259" t="s">
        <v>1031</v>
      </c>
      <c r="E796" s="259" t="str">
        <f t="shared" si="42"/>
        <v>Aug Mortgage Escrow</v>
      </c>
      <c r="F796" s="259" t="s">
        <v>327</v>
      </c>
      <c r="G796" s="259" t="str">
        <f>IFERROR(VLOOKUP(F796,'2020 Budget'!$A$4:$B$462,2,FALSE),"N/F")</f>
        <v>12. Mortgage Grouping</v>
      </c>
      <c r="H796" s="259">
        <v>697.44</v>
      </c>
      <c r="I796" s="261"/>
      <c r="J796" s="262"/>
      <c r="K796" s="204"/>
    </row>
    <row r="797" spans="1:11" ht="15.75" hidden="1" customHeight="1">
      <c r="A797" s="258" t="s">
        <v>13</v>
      </c>
      <c r="B797" s="259" t="str">
        <f>VLOOKUP(MONTH(C797),'Lookup Tables'!$A$3:$B$14,2,FALSE)</f>
        <v>Jul</v>
      </c>
      <c r="C797" s="260">
        <v>44025</v>
      </c>
      <c r="D797" s="259" t="s">
        <v>1026</v>
      </c>
      <c r="E797" s="259" t="str">
        <f t="shared" si="42"/>
        <v>Jul Mortgage Escrow</v>
      </c>
      <c r="F797" s="259" t="s">
        <v>327</v>
      </c>
      <c r="G797" s="259" t="str">
        <f>IFERROR(VLOOKUP(F797,'2020 Budget'!$A$4:$B$462,2,FALSE),"N/F")</f>
        <v>12. Mortgage Grouping</v>
      </c>
      <c r="H797" s="259">
        <v>697.44</v>
      </c>
      <c r="I797" s="261"/>
      <c r="J797" s="262"/>
      <c r="K797" s="204"/>
    </row>
    <row r="798" spans="1:11" ht="15.75" hidden="1" customHeight="1">
      <c r="A798" s="258" t="s">
        <v>13</v>
      </c>
      <c r="B798" s="259" t="str">
        <f>VLOOKUP(MONTH(C798),'Lookup Tables'!$A$3:$B$14,2,FALSE)</f>
        <v>Sep</v>
      </c>
      <c r="C798" s="260">
        <v>44076</v>
      </c>
      <c r="D798" s="259" t="s">
        <v>1026</v>
      </c>
      <c r="E798" s="259" t="str">
        <f t="shared" si="42"/>
        <v>Sep Mortgage Escrow</v>
      </c>
      <c r="F798" s="259" t="s">
        <v>327</v>
      </c>
      <c r="G798" s="259" t="str">
        <f>IFERROR(VLOOKUP(F798,'2020 Budget'!$A$4:$B$462,2,FALSE),"N/F")</f>
        <v>12. Mortgage Grouping</v>
      </c>
      <c r="H798" s="259">
        <v>697.44</v>
      </c>
      <c r="I798" s="261"/>
      <c r="J798" s="262"/>
      <c r="K798" s="204"/>
    </row>
    <row r="799" spans="1:11" ht="15.75" hidden="1" customHeight="1">
      <c r="A799" s="258" t="s">
        <v>13</v>
      </c>
      <c r="B799" s="259" t="str">
        <f>VLOOKUP(MONTH(C799),'Lookup Tables'!$A$3:$B$14,2,FALSE)</f>
        <v>Jul</v>
      </c>
      <c r="C799" s="260">
        <v>44025</v>
      </c>
      <c r="D799" s="259" t="s">
        <v>1024</v>
      </c>
      <c r="E799" s="259" t="str">
        <f t="shared" si="42"/>
        <v>Jul Mortgage Interest</v>
      </c>
      <c r="F799" s="259" t="s">
        <v>324</v>
      </c>
      <c r="G799" s="259" t="str">
        <f>IFERROR(VLOOKUP(F799,'2020 Budget'!$A$4:$B$462,2,FALSE),"N/F")</f>
        <v>12. Mortgage Grouping</v>
      </c>
      <c r="H799" s="259">
        <v>579.96</v>
      </c>
      <c r="I799" s="261"/>
      <c r="J799" s="262"/>
      <c r="K799" s="204"/>
    </row>
    <row r="800" spans="1:11" ht="15.75" hidden="1" customHeight="1">
      <c r="A800" s="258" t="s">
        <v>13</v>
      </c>
      <c r="B800" s="259" t="str">
        <f>VLOOKUP(MONTH(C800),'Lookup Tables'!$A$3:$B$14,2,FALSE)</f>
        <v>Aug</v>
      </c>
      <c r="C800" s="260">
        <v>44050</v>
      </c>
      <c r="D800" s="259" t="s">
        <v>1024</v>
      </c>
      <c r="E800" s="259" t="str">
        <f t="shared" si="42"/>
        <v>Aug Mortgage Interest</v>
      </c>
      <c r="F800" s="259" t="s">
        <v>324</v>
      </c>
      <c r="G800" s="259" t="str">
        <f>IFERROR(VLOOKUP(F800,'2020 Budget'!$A$4:$B$462,2,FALSE),"N/F")</f>
        <v>12. Mortgage Grouping</v>
      </c>
      <c r="H800" s="259">
        <v>578.96</v>
      </c>
      <c r="I800" s="261"/>
      <c r="J800" s="262"/>
      <c r="K800" s="204"/>
    </row>
    <row r="801" spans="1:11" ht="15.75" hidden="1" customHeight="1">
      <c r="A801" s="258" t="s">
        <v>13</v>
      </c>
      <c r="B801" s="259" t="str">
        <f>VLOOKUP(MONTH(C801),'Lookup Tables'!$A$3:$B$14,2,FALSE)</f>
        <v>Aug</v>
      </c>
      <c r="C801" s="260">
        <v>44050</v>
      </c>
      <c r="D801" s="259" t="s">
        <v>1024</v>
      </c>
      <c r="E801" s="259" t="str">
        <f t="shared" si="42"/>
        <v>Aug Mortgage Interest</v>
      </c>
      <c r="F801" s="259" t="s">
        <v>324</v>
      </c>
      <c r="G801" s="259" t="str">
        <f>IFERROR(VLOOKUP(F801,'2020 Budget'!$A$4:$B$462,2,FALSE),"N/F")</f>
        <v>12. Mortgage Grouping</v>
      </c>
      <c r="H801" s="259">
        <v>577.96</v>
      </c>
      <c r="I801" s="261"/>
      <c r="J801" s="262"/>
      <c r="K801" s="204"/>
    </row>
    <row r="802" spans="1:11" ht="15.75" hidden="1" customHeight="1">
      <c r="A802" s="258" t="s">
        <v>13</v>
      </c>
      <c r="B802" s="259" t="str">
        <f>VLOOKUP(MONTH(C802),'Lookup Tables'!$A$3:$B$14,2,FALSE)</f>
        <v>Sep</v>
      </c>
      <c r="C802" s="260">
        <v>44076</v>
      </c>
      <c r="D802" s="259" t="s">
        <v>1024</v>
      </c>
      <c r="E802" s="259" t="str">
        <f t="shared" si="42"/>
        <v>Sep Mortgage Interest</v>
      </c>
      <c r="F802" s="259" t="s">
        <v>324</v>
      </c>
      <c r="G802" s="259" t="str">
        <f>IFERROR(VLOOKUP(F802,'2020 Budget'!$A$4:$B$462,2,FALSE),"N/F")</f>
        <v>12. Mortgage Grouping</v>
      </c>
      <c r="H802" s="259">
        <v>576.95000000000005</v>
      </c>
      <c r="I802" s="261"/>
      <c r="J802" s="262"/>
      <c r="K802" s="204"/>
    </row>
    <row r="803" spans="1:11" ht="15.75" hidden="1" customHeight="1">
      <c r="A803" s="258" t="s">
        <v>13</v>
      </c>
      <c r="B803" s="259" t="str">
        <f>VLOOKUP(MONTH(C803),'Lookup Tables'!$A$3:$B$14,2,FALSE)</f>
        <v>Jul</v>
      </c>
      <c r="C803" s="260">
        <v>44025</v>
      </c>
      <c r="D803" s="259" t="s">
        <v>1025</v>
      </c>
      <c r="E803" s="259" t="str">
        <f t="shared" si="42"/>
        <v>Jul Mortgage Principle</v>
      </c>
      <c r="F803" s="259" t="s">
        <v>325</v>
      </c>
      <c r="G803" s="259" t="str">
        <f>IFERROR(VLOOKUP(F803,'2020 Budget'!$A$4:$B$462,2,FALSE),"N/F")</f>
        <v>12. Mortgage Grouping</v>
      </c>
      <c r="H803" s="259">
        <v>245.6</v>
      </c>
      <c r="I803" s="261"/>
      <c r="J803" s="262"/>
      <c r="K803" s="204"/>
    </row>
    <row r="804" spans="1:11" ht="15.75" hidden="1" customHeight="1">
      <c r="A804" s="258" t="s">
        <v>13</v>
      </c>
      <c r="B804" s="259" t="str">
        <f>VLOOKUP(MONTH(C804),'Lookup Tables'!$A$3:$B$14,2,FALSE)</f>
        <v>Aug</v>
      </c>
      <c r="C804" s="260">
        <v>44050</v>
      </c>
      <c r="D804" s="259" t="s">
        <v>1025</v>
      </c>
      <c r="E804" s="259" t="str">
        <f t="shared" si="42"/>
        <v>Aug Mortgage Principle</v>
      </c>
      <c r="F804" s="259" t="s">
        <v>325</v>
      </c>
      <c r="G804" s="259" t="str">
        <f>IFERROR(VLOOKUP(F804,'2020 Budget'!$A$4:$B$462,2,FALSE),"N/F")</f>
        <v>12. Mortgage Grouping</v>
      </c>
      <c r="H804" s="259">
        <v>246.6</v>
      </c>
      <c r="I804" s="261"/>
      <c r="J804" s="262"/>
      <c r="K804" s="204"/>
    </row>
    <row r="805" spans="1:11" ht="15.75" hidden="1" customHeight="1">
      <c r="A805" s="258" t="s">
        <v>13</v>
      </c>
      <c r="B805" s="259" t="str">
        <f>VLOOKUP(MONTH(C805),'Lookup Tables'!$A$3:$B$14,2,FALSE)</f>
        <v>Aug</v>
      </c>
      <c r="C805" s="260">
        <v>44050</v>
      </c>
      <c r="D805" s="259" t="s">
        <v>1025</v>
      </c>
      <c r="E805" s="259" t="str">
        <f t="shared" si="42"/>
        <v>Aug Mortgage Principle</v>
      </c>
      <c r="F805" s="259" t="s">
        <v>325</v>
      </c>
      <c r="G805" s="259" t="str">
        <f>IFERROR(VLOOKUP(F805,'2020 Budget'!$A$4:$B$462,2,FALSE),"N/F")</f>
        <v>12. Mortgage Grouping</v>
      </c>
      <c r="H805" s="259">
        <v>247.6</v>
      </c>
      <c r="I805" s="261"/>
      <c r="J805" s="262"/>
      <c r="K805" s="204"/>
    </row>
    <row r="806" spans="1:11" ht="15.75" hidden="1" customHeight="1">
      <c r="A806" s="258" t="s">
        <v>13</v>
      </c>
      <c r="B806" s="259" t="str">
        <f>VLOOKUP(MONTH(C806),'Lookup Tables'!$A$3:$B$14,2,FALSE)</f>
        <v>Sep</v>
      </c>
      <c r="C806" s="260">
        <v>44076</v>
      </c>
      <c r="D806" s="259" t="s">
        <v>1025</v>
      </c>
      <c r="E806" s="259" t="str">
        <f t="shared" si="42"/>
        <v>Sep Mortgage Principle</v>
      </c>
      <c r="F806" s="259" t="s">
        <v>325</v>
      </c>
      <c r="G806" s="259" t="str">
        <f>IFERROR(VLOOKUP(F806,'2020 Budget'!$A$4:$B$462,2,FALSE),"N/F")</f>
        <v>12. Mortgage Grouping</v>
      </c>
      <c r="H806" s="259">
        <v>248.61</v>
      </c>
      <c r="I806" s="261"/>
      <c r="J806" s="262"/>
      <c r="K806" s="204"/>
    </row>
    <row r="807" spans="1:11" ht="15.75" hidden="1" customHeight="1">
      <c r="A807" s="200"/>
      <c r="B807" s="201"/>
      <c r="C807" s="202"/>
      <c r="D807" s="201"/>
      <c r="E807" s="201"/>
      <c r="F807" s="201"/>
      <c r="G807" s="201"/>
      <c r="H807" s="201"/>
      <c r="I807" s="203"/>
      <c r="J807" s="204"/>
      <c r="K807" s="204"/>
    </row>
    <row r="808" spans="1:11" ht="15.75" hidden="1" customHeight="1" outlineLevel="1">
      <c r="A808" s="266" t="s">
        <v>563</v>
      </c>
      <c r="B808" s="267" t="str">
        <f>VLOOKUP(MONTH(C808),'Lookup Tables'!$A$3:$B$14,2,FALSE)</f>
        <v>Jan</v>
      </c>
      <c r="C808" s="268">
        <v>43849</v>
      </c>
      <c r="D808" s="267" t="s">
        <v>555</v>
      </c>
      <c r="E808" s="267" t="str">
        <f>B808&amp;" "&amp;F808</f>
        <v>Jan Gifts Received</v>
      </c>
      <c r="F808" s="267" t="s">
        <v>84</v>
      </c>
      <c r="G808" s="267" t="str">
        <f>IFERROR(VLOOKUP(F808,'2020 Budget'!$A$4:$B$462,2,FALSE),"N/F")</f>
        <v>01. Checking Account Income</v>
      </c>
      <c r="H808" s="267">
        <v>15</v>
      </c>
      <c r="I808" s="267"/>
      <c r="J808" s="267"/>
      <c r="K808" s="192"/>
    </row>
    <row r="809" spans="1:11" hidden="1" outlineLevel="1">
      <c r="A809" s="266" t="s">
        <v>563</v>
      </c>
      <c r="B809" s="267" t="str">
        <f>VLOOKUP(MONTH(C809),'Lookup Tables'!$A$3:$B$14,2,FALSE)</f>
        <v>Jan</v>
      </c>
      <c r="C809" s="268">
        <v>43849</v>
      </c>
      <c r="D809" s="267" t="s">
        <v>554</v>
      </c>
      <c r="E809" s="267" t="str">
        <f>B809&amp;" "&amp;F809</f>
        <v>Jan Membership</v>
      </c>
      <c r="F809" s="267" t="s">
        <v>24</v>
      </c>
      <c r="G809" s="267" t="str">
        <f>IFERROR(VLOOKUP(F809,'2020 Budget'!$A$4:$B$462,2,FALSE),"N/F")</f>
        <v>13. Special Expenses</v>
      </c>
      <c r="H809" s="267">
        <v>-60</v>
      </c>
      <c r="I809" s="266"/>
      <c r="J809" s="266"/>
      <c r="K809" s="191"/>
    </row>
    <row r="810" spans="1:11" hidden="1" outlineLevel="1">
      <c r="A810" s="266" t="s">
        <v>563</v>
      </c>
      <c r="B810" s="267" t="str">
        <f>VLOOKUP(MONTH(C810),'Lookup Tables'!$A$3:$B$14,2,FALSE)</f>
        <v>Jan</v>
      </c>
      <c r="C810" s="268">
        <v>43851</v>
      </c>
      <c r="D810" s="267" t="s">
        <v>463</v>
      </c>
      <c r="E810" s="267" t="str">
        <f t="shared" ref="E810:E873" si="43">B810&amp;" "&amp;F810</f>
        <v>Jan Auto Fuel</v>
      </c>
      <c r="F810" s="267" t="s">
        <v>558</v>
      </c>
      <c r="G810" s="267" t="str">
        <f>IFERROR(VLOOKUP(F810,'2020 Budget'!$A$4:$B$462,2,FALSE),"N/F")</f>
        <v>05. Dodge Dart Auto Expenses</v>
      </c>
      <c r="H810" s="267">
        <v>-26.96</v>
      </c>
      <c r="I810" s="269"/>
      <c r="J810" s="266"/>
      <c r="K810" s="191"/>
    </row>
    <row r="811" spans="1:11" hidden="1" outlineLevel="1">
      <c r="A811" s="266" t="s">
        <v>563</v>
      </c>
      <c r="B811" s="267" t="str">
        <f>VLOOKUP(MONTH(C811),'Lookup Tables'!$A$3:$B$14,2,FALSE)</f>
        <v>Feb</v>
      </c>
      <c r="C811" s="268">
        <v>43864</v>
      </c>
      <c r="D811" s="267" t="s">
        <v>464</v>
      </c>
      <c r="E811" s="267" t="str">
        <f t="shared" si="43"/>
        <v>Feb Groceries</v>
      </c>
      <c r="F811" s="267" t="s">
        <v>11</v>
      </c>
      <c r="G811" s="267" t="str">
        <f>IFERROR(VLOOKUP(F811,'2020 Budget'!$A$4:$B$462,2,FALSE),"N/F")</f>
        <v>04. Family Expenses</v>
      </c>
      <c r="H811" s="267">
        <v>-60</v>
      </c>
      <c r="I811" s="270"/>
      <c r="J811" s="271"/>
      <c r="K811" s="193"/>
    </row>
    <row r="812" spans="1:11" hidden="1" outlineLevel="1">
      <c r="A812" s="266" t="s">
        <v>563</v>
      </c>
      <c r="B812" s="267" t="str">
        <f>VLOOKUP(MONTH(C812),'Lookup Tables'!$A$3:$B$14,2,FALSE)</f>
        <v>Feb</v>
      </c>
      <c r="C812" s="268">
        <v>43886</v>
      </c>
      <c r="D812" s="267" t="s">
        <v>456</v>
      </c>
      <c r="E812" s="267" t="str">
        <f t="shared" si="43"/>
        <v>Feb Groceries</v>
      </c>
      <c r="F812" s="267" t="s">
        <v>11</v>
      </c>
      <c r="G812" s="267" t="str">
        <f>IFERROR(VLOOKUP(F812,'2020 Budget'!$A$4:$B$462,2,FALSE),"N/F")</f>
        <v>04. Family Expenses</v>
      </c>
      <c r="H812" s="267">
        <v>-12.39</v>
      </c>
      <c r="I812" s="269"/>
      <c r="J812" s="266"/>
      <c r="K812" s="191"/>
    </row>
    <row r="813" spans="1:11" ht="15.75" hidden="1" customHeight="1" outlineLevel="1">
      <c r="A813" s="266" t="s">
        <v>563</v>
      </c>
      <c r="B813" s="267" t="str">
        <f>VLOOKUP(MONTH(C813),'Lookup Tables'!$A$3:$B$14,2,FALSE)</f>
        <v>Feb</v>
      </c>
      <c r="C813" s="268">
        <v>43886</v>
      </c>
      <c r="D813" s="267" t="s">
        <v>483</v>
      </c>
      <c r="E813" s="267" t="str">
        <f t="shared" si="43"/>
        <v>Feb Groceries</v>
      </c>
      <c r="F813" s="269" t="s">
        <v>11</v>
      </c>
      <c r="G813" s="267" t="str">
        <f>IFERROR(VLOOKUP(F813,'2020 Budget'!$A$4:$B$462,2,FALSE),"N/F")</f>
        <v>04. Family Expenses</v>
      </c>
      <c r="H813" s="267">
        <v>-21.27</v>
      </c>
      <c r="I813" s="270"/>
      <c r="J813" s="271"/>
      <c r="K813" s="193"/>
    </row>
    <row r="814" spans="1:11" hidden="1" outlineLevel="1">
      <c r="A814" s="266" t="s">
        <v>563</v>
      </c>
      <c r="B814" s="267" t="str">
        <f>VLOOKUP(MONTH(C814),'Lookup Tables'!$A$3:$B$14,2,FALSE)</f>
        <v>Feb</v>
      </c>
      <c r="C814" s="268">
        <v>43886</v>
      </c>
      <c r="D814" s="267" t="s">
        <v>553</v>
      </c>
      <c r="E814" s="267" t="str">
        <f t="shared" si="43"/>
        <v>Feb Dining Fast Food</v>
      </c>
      <c r="F814" s="267" t="s">
        <v>85</v>
      </c>
      <c r="G814" s="267" t="str">
        <f>IFERROR(VLOOKUP(F814,'2020 Budget'!$A$4:$B$462,2,FALSE),"N/F")</f>
        <v>04. Family Expenses</v>
      </c>
      <c r="H814" s="267">
        <v>-6.88</v>
      </c>
      <c r="I814" s="266"/>
      <c r="J814" s="266"/>
      <c r="K814" s="191"/>
    </row>
    <row r="815" spans="1:11" hidden="1" outlineLevel="1">
      <c r="A815" s="266" t="s">
        <v>563</v>
      </c>
      <c r="B815" s="267" t="str">
        <f>VLOOKUP(MONTH(C815),'Lookup Tables'!$A$3:$B$14,2,FALSE)</f>
        <v>Feb</v>
      </c>
      <c r="C815" s="268">
        <v>43886</v>
      </c>
      <c r="D815" s="267" t="s">
        <v>553</v>
      </c>
      <c r="E815" s="267" t="str">
        <f t="shared" si="43"/>
        <v>Feb Dining Fast Food</v>
      </c>
      <c r="F815" s="267" t="s">
        <v>85</v>
      </c>
      <c r="G815" s="267" t="str">
        <f>IFERROR(VLOOKUP(F815,'2020 Budget'!$A$4:$B$462,2,FALSE),"N/F")</f>
        <v>04. Family Expenses</v>
      </c>
      <c r="H815" s="267">
        <v>-12.06</v>
      </c>
      <c r="I815" s="269"/>
      <c r="J815" s="266"/>
      <c r="K815" s="191"/>
    </row>
    <row r="816" spans="1:11" hidden="1" outlineLevel="1">
      <c r="A816" s="266" t="s">
        <v>563</v>
      </c>
      <c r="B816" s="267" t="str">
        <f>VLOOKUP(MONTH(C816),'Lookup Tables'!$A$3:$B$14,2,FALSE)</f>
        <v>Feb</v>
      </c>
      <c r="C816" s="268">
        <v>43887</v>
      </c>
      <c r="D816" s="267" t="s">
        <v>463</v>
      </c>
      <c r="E816" s="267" t="str">
        <f t="shared" si="43"/>
        <v>Feb Auto Fuel</v>
      </c>
      <c r="F816" s="267" t="s">
        <v>558</v>
      </c>
      <c r="G816" s="267" t="str">
        <f>IFERROR(VLOOKUP(F816,'2020 Budget'!$A$4:$B$462,2,FALSE),"N/F")</f>
        <v>05. Dodge Dart Auto Expenses</v>
      </c>
      <c r="H816" s="267">
        <v>-30.38</v>
      </c>
      <c r="I816" s="267"/>
      <c r="J816" s="267"/>
      <c r="K816" s="192"/>
    </row>
    <row r="817" spans="1:11" hidden="1" outlineLevel="1">
      <c r="A817" s="266" t="s">
        <v>563</v>
      </c>
      <c r="B817" s="267" t="str">
        <f>VLOOKUP(MONTH(C817),'Lookup Tables'!$A$3:$B$14,2,FALSE)</f>
        <v>Feb</v>
      </c>
      <c r="C817" s="268">
        <v>43887</v>
      </c>
      <c r="D817" s="267" t="s">
        <v>464</v>
      </c>
      <c r="E817" s="267" t="str">
        <f t="shared" si="43"/>
        <v>Feb Groceries</v>
      </c>
      <c r="F817" s="267" t="s">
        <v>11</v>
      </c>
      <c r="G817" s="267" t="str">
        <f>IFERROR(VLOOKUP(F817,'2020 Budget'!$A$4:$B$462,2,FALSE),"N/F")</f>
        <v>04. Family Expenses</v>
      </c>
      <c r="H817" s="267">
        <v>-33.53</v>
      </c>
      <c r="I817" s="269"/>
      <c r="J817" s="266"/>
      <c r="K817" s="191"/>
    </row>
    <row r="818" spans="1:11" ht="15.75" hidden="1" customHeight="1" outlineLevel="1">
      <c r="A818" s="266" t="s">
        <v>563</v>
      </c>
      <c r="B818" s="267" t="str">
        <f>VLOOKUP(MONTH(C818),'Lookup Tables'!$A$3:$B$14,2,FALSE)</f>
        <v>Feb</v>
      </c>
      <c r="C818" s="268">
        <v>43887</v>
      </c>
      <c r="D818" s="267" t="s">
        <v>547</v>
      </c>
      <c r="E818" s="267" t="str">
        <f t="shared" si="43"/>
        <v>Feb Dining Fast Food</v>
      </c>
      <c r="F818" s="267" t="s">
        <v>85</v>
      </c>
      <c r="G818" s="267" t="str">
        <f>IFERROR(VLOOKUP(F818,'2020 Budget'!$A$4:$B$462,2,FALSE),"N/F")</f>
        <v>04. Family Expenses</v>
      </c>
      <c r="H818" s="267">
        <v>-6.83</v>
      </c>
      <c r="I818" s="269"/>
      <c r="J818" s="266"/>
      <c r="K818" s="191"/>
    </row>
    <row r="819" spans="1:11" hidden="1" outlineLevel="1">
      <c r="A819" s="266" t="s">
        <v>563</v>
      </c>
      <c r="B819" s="267" t="str">
        <f>VLOOKUP(MONTH(C819),'Lookup Tables'!$A$3:$B$14,2,FALSE)</f>
        <v>Feb</v>
      </c>
      <c r="C819" s="268">
        <v>43888</v>
      </c>
      <c r="D819" s="267" t="s">
        <v>552</v>
      </c>
      <c r="E819" s="267" t="str">
        <f t="shared" si="43"/>
        <v>Feb Dining Restaurant</v>
      </c>
      <c r="F819" s="267" t="s">
        <v>145</v>
      </c>
      <c r="G819" s="267" t="str">
        <f>IFERROR(VLOOKUP(F819,'2020 Budget'!$A$4:$B$462,2,FALSE),"N/F")</f>
        <v>04. Family Expenses</v>
      </c>
      <c r="H819" s="267">
        <v>-8.1300000000000008</v>
      </c>
      <c r="I819" s="270"/>
      <c r="J819" s="271"/>
      <c r="K819" s="193"/>
    </row>
    <row r="820" spans="1:11" hidden="1" outlineLevel="1">
      <c r="A820" s="266" t="s">
        <v>563</v>
      </c>
      <c r="B820" s="267" t="str">
        <f>VLOOKUP(MONTH(C820),'Lookup Tables'!$A$3:$B$14,2,FALSE)</f>
        <v>Feb</v>
      </c>
      <c r="C820" s="268">
        <v>43890</v>
      </c>
      <c r="D820" s="267" t="s">
        <v>551</v>
      </c>
      <c r="E820" s="267" t="str">
        <f t="shared" si="43"/>
        <v>Feb Dating Dining</v>
      </c>
      <c r="F820" s="267" t="s">
        <v>532</v>
      </c>
      <c r="G820" s="267" t="str">
        <f>IFERROR(VLOOKUP(F820,'2020 Budget'!$A$4:$B$462,2,FALSE),"N/F")</f>
        <v>04. Family Expenses</v>
      </c>
      <c r="H820" s="267">
        <v>-37</v>
      </c>
      <c r="I820" s="267"/>
      <c r="J820" s="267"/>
      <c r="K820" s="192"/>
    </row>
    <row r="821" spans="1:11" hidden="1" outlineLevel="1">
      <c r="A821" s="266" t="s">
        <v>563</v>
      </c>
      <c r="B821" s="267" t="str">
        <f>VLOOKUP(MONTH(C821),'Lookup Tables'!$A$3:$B$14,2,FALSE)</f>
        <v>Mar</v>
      </c>
      <c r="C821" s="268">
        <v>43892</v>
      </c>
      <c r="D821" s="267" t="s">
        <v>459</v>
      </c>
      <c r="E821" s="267" t="str">
        <f t="shared" si="43"/>
        <v>Mar Dining Fast Food</v>
      </c>
      <c r="F821" s="267" t="s">
        <v>85</v>
      </c>
      <c r="G821" s="267" t="str">
        <f>IFERROR(VLOOKUP(F821,'2020 Budget'!$A$4:$B$462,2,FALSE),"N/F")</f>
        <v>04. Family Expenses</v>
      </c>
      <c r="H821" s="267">
        <v>-10.6</v>
      </c>
      <c r="I821" s="270"/>
      <c r="J821" s="271"/>
      <c r="K821" s="193"/>
    </row>
    <row r="822" spans="1:11" hidden="1" outlineLevel="1">
      <c r="A822" s="266" t="s">
        <v>563</v>
      </c>
      <c r="B822" s="267" t="str">
        <f>VLOOKUP(MONTH(C822),'Lookup Tables'!$A$3:$B$14,2,FALSE)</f>
        <v>Mar</v>
      </c>
      <c r="C822" s="268">
        <v>43893</v>
      </c>
      <c r="D822" s="267" t="s">
        <v>549</v>
      </c>
      <c r="E822" s="267" t="str">
        <f t="shared" si="43"/>
        <v>Mar Dining Treats</v>
      </c>
      <c r="F822" s="267" t="s">
        <v>87</v>
      </c>
      <c r="G822" s="267" t="str">
        <f>IFERROR(VLOOKUP(F822,'2020 Budget'!$A$4:$B$462,2,FALSE),"N/F")</f>
        <v>04. Family Expenses</v>
      </c>
      <c r="H822" s="267">
        <v>-4.54</v>
      </c>
      <c r="I822" s="266"/>
      <c r="J822" s="272"/>
      <c r="K822" s="194"/>
    </row>
    <row r="823" spans="1:11" hidden="1" outlineLevel="1">
      <c r="A823" s="266" t="s">
        <v>563</v>
      </c>
      <c r="B823" s="267" t="str">
        <f>VLOOKUP(MONTH(C823),'Lookup Tables'!$A$3:$B$14,2,FALSE)</f>
        <v>Mar</v>
      </c>
      <c r="C823" s="268">
        <v>43894</v>
      </c>
      <c r="D823" s="267" t="s">
        <v>550</v>
      </c>
      <c r="E823" s="267" t="str">
        <f t="shared" si="43"/>
        <v>Mar Dining Treats</v>
      </c>
      <c r="F823" s="267" t="s">
        <v>87</v>
      </c>
      <c r="G823" s="267" t="str">
        <f>IFERROR(VLOOKUP(F823,'2020 Budget'!$A$4:$B$462,2,FALSE),"N/F")</f>
        <v>04. Family Expenses</v>
      </c>
      <c r="H823" s="267">
        <v>-2.52</v>
      </c>
      <c r="I823" s="266"/>
      <c r="J823" s="266"/>
      <c r="K823" s="191"/>
    </row>
    <row r="824" spans="1:11" hidden="1" outlineLevel="1">
      <c r="A824" s="266" t="s">
        <v>563</v>
      </c>
      <c r="B824" s="267" t="str">
        <f>VLOOKUP(MONTH(C824),'Lookup Tables'!$A$3:$B$14,2,FALSE)</f>
        <v>Mar</v>
      </c>
      <c r="C824" s="268">
        <v>43894</v>
      </c>
      <c r="D824" s="267" t="s">
        <v>547</v>
      </c>
      <c r="E824" s="267" t="str">
        <f t="shared" si="43"/>
        <v>Mar Dining Fast Food</v>
      </c>
      <c r="F824" s="267" t="s">
        <v>85</v>
      </c>
      <c r="G824" s="267" t="str">
        <f>IFERROR(VLOOKUP(F824,'2020 Budget'!$A$4:$B$462,2,FALSE),"N/F")</f>
        <v>04. Family Expenses</v>
      </c>
      <c r="H824" s="267">
        <v>-4.4400000000000004</v>
      </c>
      <c r="I824" s="266"/>
      <c r="J824" s="266"/>
      <c r="K824" s="191"/>
    </row>
    <row r="825" spans="1:11" hidden="1" outlineLevel="1">
      <c r="A825" s="266" t="s">
        <v>563</v>
      </c>
      <c r="B825" s="267" t="str">
        <f>VLOOKUP(MONTH(C825),'Lookup Tables'!$A$3:$B$14,2,FALSE)</f>
        <v>Mar</v>
      </c>
      <c r="C825" s="268">
        <v>43895</v>
      </c>
      <c r="D825" s="267" t="s">
        <v>455</v>
      </c>
      <c r="E825" s="267" t="str">
        <f t="shared" si="43"/>
        <v>Mar Dining Fast Food</v>
      </c>
      <c r="F825" s="267" t="s">
        <v>85</v>
      </c>
      <c r="G825" s="267" t="str">
        <f>IFERROR(VLOOKUP(F825,'2020 Budget'!$A$4:$B$462,2,FALSE),"N/F")</f>
        <v>04. Family Expenses</v>
      </c>
      <c r="H825" s="267">
        <v>-11.97</v>
      </c>
      <c r="I825" s="267"/>
      <c r="J825" s="267"/>
      <c r="K825" s="192"/>
    </row>
    <row r="826" spans="1:11" ht="15.75" hidden="1" customHeight="1" outlineLevel="1">
      <c r="A826" s="266" t="s">
        <v>563</v>
      </c>
      <c r="B826" s="267" t="str">
        <f>VLOOKUP(MONTH(C826),'Lookup Tables'!$A$3:$B$14,2,FALSE)</f>
        <v>Mar</v>
      </c>
      <c r="C826" s="268">
        <v>43895</v>
      </c>
      <c r="D826" s="267" t="s">
        <v>458</v>
      </c>
      <c r="E826" s="267" t="str">
        <f t="shared" si="43"/>
        <v>Mar Groceries</v>
      </c>
      <c r="F826" s="267" t="s">
        <v>11</v>
      </c>
      <c r="G826" s="267" t="str">
        <f>IFERROR(VLOOKUP(F826,'2020 Budget'!$A$4:$B$462,2,FALSE),"N/F")</f>
        <v>04. Family Expenses</v>
      </c>
      <c r="H826" s="267">
        <v>-7.34</v>
      </c>
      <c r="I826" s="267"/>
      <c r="J826" s="267"/>
      <c r="K826" s="192"/>
    </row>
    <row r="827" spans="1:11" hidden="1" outlineLevel="1">
      <c r="A827" s="266" t="s">
        <v>563</v>
      </c>
      <c r="B827" s="267" t="str">
        <f>VLOOKUP(MONTH(C827),'Lookup Tables'!$A$3:$B$14,2,FALSE)</f>
        <v>Mar</v>
      </c>
      <c r="C827" s="268">
        <v>43897</v>
      </c>
      <c r="D827" s="267" t="s">
        <v>547</v>
      </c>
      <c r="E827" s="267" t="str">
        <f t="shared" si="43"/>
        <v>Mar Dining Fast Food</v>
      </c>
      <c r="F827" s="267" t="s">
        <v>85</v>
      </c>
      <c r="G827" s="267" t="str">
        <f>IFERROR(VLOOKUP(F827,'2020 Budget'!$A$4:$B$462,2,FALSE),"N/F")</f>
        <v>04. Family Expenses</v>
      </c>
      <c r="H827" s="267">
        <v>-4.2300000000000004</v>
      </c>
      <c r="I827" s="270"/>
      <c r="J827" s="271"/>
      <c r="K827" s="193"/>
    </row>
    <row r="828" spans="1:11" hidden="1" outlineLevel="1">
      <c r="A828" s="266" t="s">
        <v>563</v>
      </c>
      <c r="B828" s="267" t="str">
        <f>VLOOKUP(MONTH(C828),'Lookup Tables'!$A$3:$B$14,2,FALSE)</f>
        <v>Mar</v>
      </c>
      <c r="C828" s="268">
        <v>43898</v>
      </c>
      <c r="D828" s="267" t="s">
        <v>457</v>
      </c>
      <c r="E828" s="267" t="str">
        <f t="shared" si="43"/>
        <v>Mar Groceries</v>
      </c>
      <c r="F828" s="269" t="s">
        <v>11</v>
      </c>
      <c r="G828" s="267" t="str">
        <f>IFERROR(VLOOKUP(F828,'2020 Budget'!$A$4:$B$462,2,FALSE),"N/F")</f>
        <v>04. Family Expenses</v>
      </c>
      <c r="H828" s="267">
        <v>-9.0299999999999994</v>
      </c>
      <c r="I828" s="270"/>
      <c r="J828" s="271"/>
      <c r="K828" s="193"/>
    </row>
    <row r="829" spans="1:11" hidden="1" outlineLevel="1">
      <c r="A829" s="266" t="s">
        <v>563</v>
      </c>
      <c r="B829" s="267" t="str">
        <f>VLOOKUP(MONTH(C829),'Lookup Tables'!$A$3:$B$14,2,FALSE)</f>
        <v>Mar</v>
      </c>
      <c r="C829" s="268">
        <v>43898</v>
      </c>
      <c r="D829" s="267" t="s">
        <v>540</v>
      </c>
      <c r="E829" s="267" t="str">
        <f t="shared" si="43"/>
        <v>Mar Dining Fast Food</v>
      </c>
      <c r="F829" s="267" t="s">
        <v>85</v>
      </c>
      <c r="G829" s="267" t="str">
        <f>IFERROR(VLOOKUP(F829,'2020 Budget'!$A$4:$B$462,2,FALSE),"N/F")</f>
        <v>04. Family Expenses</v>
      </c>
      <c r="H829" s="267">
        <v>-4.0199999999999996</v>
      </c>
      <c r="I829" s="266"/>
      <c r="J829" s="266"/>
      <c r="K829" s="191"/>
    </row>
    <row r="830" spans="1:11" hidden="1" outlineLevel="1">
      <c r="A830" s="266" t="s">
        <v>563</v>
      </c>
      <c r="B830" s="267" t="str">
        <f>VLOOKUP(MONTH(C830),'Lookup Tables'!$A$3:$B$14,2,FALSE)</f>
        <v>Mar</v>
      </c>
      <c r="C830" s="268">
        <v>43898</v>
      </c>
      <c r="D830" s="267" t="s">
        <v>540</v>
      </c>
      <c r="E830" s="267" t="str">
        <f t="shared" si="43"/>
        <v>Mar Dining Fast Food</v>
      </c>
      <c r="F830" s="267" t="s">
        <v>85</v>
      </c>
      <c r="G830" s="267" t="str">
        <f>IFERROR(VLOOKUP(F830,'2020 Budget'!$A$4:$B$462,2,FALSE),"N/F")</f>
        <v>04. Family Expenses</v>
      </c>
      <c r="H830" s="267">
        <v>-5.7</v>
      </c>
      <c r="I830" s="266"/>
      <c r="J830" s="266"/>
      <c r="K830" s="191"/>
    </row>
    <row r="831" spans="1:11" ht="15.75" hidden="1" customHeight="1" outlineLevel="1">
      <c r="A831" s="266" t="s">
        <v>563</v>
      </c>
      <c r="B831" s="267" t="str">
        <f>VLOOKUP(MONTH(C831),'Lookup Tables'!$A$3:$B$14,2,FALSE)</f>
        <v>Mar</v>
      </c>
      <c r="C831" s="268">
        <v>43899</v>
      </c>
      <c r="D831" s="267" t="s">
        <v>457</v>
      </c>
      <c r="E831" s="267" t="str">
        <f t="shared" si="43"/>
        <v>Mar Groceries</v>
      </c>
      <c r="F831" s="269" t="s">
        <v>11</v>
      </c>
      <c r="G831" s="267" t="str">
        <f>IFERROR(VLOOKUP(F831,'2020 Budget'!$A$4:$B$462,2,FALSE),"N/F")</f>
        <v>04. Family Expenses</v>
      </c>
      <c r="H831" s="267">
        <v>-40.130000000000003</v>
      </c>
      <c r="I831" s="270"/>
      <c r="J831" s="271"/>
      <c r="K831" s="193"/>
    </row>
    <row r="832" spans="1:11" hidden="1" outlineLevel="1">
      <c r="A832" s="266" t="s">
        <v>563</v>
      </c>
      <c r="B832" s="267" t="str">
        <f>VLOOKUP(MONTH(C832),'Lookup Tables'!$A$3:$B$14,2,FALSE)</f>
        <v>Mar</v>
      </c>
      <c r="C832" s="268">
        <v>43899</v>
      </c>
      <c r="D832" s="267" t="s">
        <v>541</v>
      </c>
      <c r="E832" s="267" t="str">
        <f t="shared" si="43"/>
        <v>Mar Groceries</v>
      </c>
      <c r="F832" s="267" t="s">
        <v>11</v>
      </c>
      <c r="G832" s="267" t="str">
        <f>IFERROR(VLOOKUP(F832,'2020 Budget'!$A$4:$B$462,2,FALSE),"N/F")</f>
        <v>04. Family Expenses</v>
      </c>
      <c r="H832" s="267">
        <v>-21.88</v>
      </c>
      <c r="I832" s="266"/>
      <c r="J832" s="266"/>
      <c r="K832" s="191"/>
    </row>
    <row r="833" spans="1:11" hidden="1" outlineLevel="1">
      <c r="A833" s="266" t="s">
        <v>563</v>
      </c>
      <c r="B833" s="267" t="str">
        <f>VLOOKUP(MONTH(C833),'Lookup Tables'!$A$3:$B$14,2,FALSE)</f>
        <v>Mar</v>
      </c>
      <c r="C833" s="268">
        <v>43900</v>
      </c>
      <c r="D833" s="267" t="s">
        <v>549</v>
      </c>
      <c r="E833" s="267" t="str">
        <f t="shared" si="43"/>
        <v>Mar Dining Treats</v>
      </c>
      <c r="F833" s="267" t="s">
        <v>87</v>
      </c>
      <c r="G833" s="267" t="str">
        <f>IFERROR(VLOOKUP(F833,'2020 Budget'!$A$4:$B$462,2,FALSE),"N/F")</f>
        <v>04. Family Expenses</v>
      </c>
      <c r="H833" s="267">
        <v>-1.69</v>
      </c>
      <c r="I833" s="267"/>
      <c r="J833" s="267"/>
      <c r="K833" s="192"/>
    </row>
    <row r="834" spans="1:11" hidden="1" outlineLevel="1">
      <c r="A834" s="266" t="s">
        <v>563</v>
      </c>
      <c r="B834" s="267" t="str">
        <f>VLOOKUP(MONTH(C834),'Lookup Tables'!$A$3:$B$14,2,FALSE)</f>
        <v>Mar</v>
      </c>
      <c r="C834" s="268">
        <v>43900</v>
      </c>
      <c r="D834" s="267" t="s">
        <v>548</v>
      </c>
      <c r="E834" s="267" t="str">
        <f t="shared" si="43"/>
        <v>Mar Payment Other</v>
      </c>
      <c r="F834" s="267" t="s">
        <v>365</v>
      </c>
      <c r="G834" s="267" t="str">
        <f>IFERROR(VLOOKUP(F834,'2020 Budget'!$A$4:$B$462,2,FALSE),"N/F")</f>
        <v>16. Not Tracked</v>
      </c>
      <c r="H834" s="267">
        <v>11.96</v>
      </c>
      <c r="I834" s="269">
        <v>388.57</v>
      </c>
      <c r="J834" s="266"/>
      <c r="K834" s="191"/>
    </row>
    <row r="835" spans="1:11" hidden="1" outlineLevel="1">
      <c r="A835" s="266" t="s">
        <v>563</v>
      </c>
      <c r="B835" s="267" t="str">
        <f>VLOOKUP(MONTH(C835),'Lookup Tables'!$A$3:$B$14,2,FALSE)</f>
        <v>Mar</v>
      </c>
      <c r="C835" s="268">
        <v>43900</v>
      </c>
      <c r="D835" s="267" t="s">
        <v>456</v>
      </c>
      <c r="E835" s="267" t="str">
        <f t="shared" si="43"/>
        <v>Mar Groceries</v>
      </c>
      <c r="F835" s="267" t="s">
        <v>11</v>
      </c>
      <c r="G835" s="267" t="str">
        <f>IFERROR(VLOOKUP(F835,'2020 Budget'!$A$4:$B$462,2,FALSE),"N/F")</f>
        <v>04. Family Expenses</v>
      </c>
      <c r="H835" s="267">
        <v>-12.83</v>
      </c>
      <c r="I835" s="267"/>
      <c r="J835" s="267"/>
      <c r="K835" s="192"/>
    </row>
    <row r="836" spans="1:11" hidden="1" outlineLevel="1">
      <c r="A836" s="266" t="s">
        <v>563</v>
      </c>
      <c r="B836" s="267" t="str">
        <f>VLOOKUP(MONTH(C836),'Lookup Tables'!$A$3:$B$14,2,FALSE)</f>
        <v>Mar</v>
      </c>
      <c r="C836" s="268">
        <v>43901</v>
      </c>
      <c r="D836" s="267" t="s">
        <v>539</v>
      </c>
      <c r="E836" s="267" t="str">
        <f t="shared" si="43"/>
        <v>Mar Groceries</v>
      </c>
      <c r="F836" s="269" t="s">
        <v>11</v>
      </c>
      <c r="G836" s="267" t="str">
        <f>IFERROR(VLOOKUP(F836,'2020 Budget'!$A$4:$B$462,2,FALSE),"N/F")</f>
        <v>04. Family Expenses</v>
      </c>
      <c r="H836" s="267">
        <v>-4.49</v>
      </c>
      <c r="I836" s="269"/>
      <c r="J836" s="266"/>
      <c r="K836" s="191"/>
    </row>
    <row r="837" spans="1:11" hidden="1" outlineLevel="1">
      <c r="A837" s="266" t="s">
        <v>563</v>
      </c>
      <c r="B837" s="267" t="str">
        <f>VLOOKUP(MONTH(C837),'Lookup Tables'!$A$3:$B$14,2,FALSE)</f>
        <v>Mar</v>
      </c>
      <c r="C837" s="268">
        <v>43901</v>
      </c>
      <c r="D837" s="267" t="s">
        <v>458</v>
      </c>
      <c r="E837" s="267" t="str">
        <f t="shared" si="43"/>
        <v>Mar Groceries</v>
      </c>
      <c r="F837" s="267" t="s">
        <v>11</v>
      </c>
      <c r="G837" s="267" t="str">
        <f>IFERROR(VLOOKUP(F837,'2020 Budget'!$A$4:$B$462,2,FALSE),"N/F")</f>
        <v>04. Family Expenses</v>
      </c>
      <c r="H837" s="267">
        <v>-3.05</v>
      </c>
      <c r="I837" s="267"/>
      <c r="J837" s="267"/>
      <c r="K837" s="192"/>
    </row>
    <row r="838" spans="1:11" hidden="1" outlineLevel="1">
      <c r="A838" s="266" t="s">
        <v>563</v>
      </c>
      <c r="B838" s="267" t="str">
        <f>VLOOKUP(MONTH(C838),'Lookup Tables'!$A$3:$B$14,2,FALSE)</f>
        <v>Mar</v>
      </c>
      <c r="C838" s="268">
        <v>43902</v>
      </c>
      <c r="D838" s="267" t="s">
        <v>455</v>
      </c>
      <c r="E838" s="267" t="str">
        <f t="shared" si="43"/>
        <v>Mar Dining Fast Food</v>
      </c>
      <c r="F838" s="267" t="s">
        <v>85</v>
      </c>
      <c r="G838" s="267" t="str">
        <f>IFERROR(VLOOKUP(F838,'2020 Budget'!$A$4:$B$462,2,FALSE),"N/F")</f>
        <v>04. Family Expenses</v>
      </c>
      <c r="H838" s="267">
        <v>-8.7899999999999991</v>
      </c>
      <c r="I838" s="269"/>
      <c r="J838" s="266"/>
      <c r="K838" s="191"/>
    </row>
    <row r="839" spans="1:11" hidden="1" outlineLevel="1">
      <c r="A839" s="266" t="s">
        <v>563</v>
      </c>
      <c r="B839" s="267" t="str">
        <f>VLOOKUP(MONTH(C839),'Lookup Tables'!$A$3:$B$14,2,FALSE)</f>
        <v>Mar</v>
      </c>
      <c r="C839" s="268">
        <v>43903</v>
      </c>
      <c r="D839" s="267" t="s">
        <v>547</v>
      </c>
      <c r="E839" s="267" t="str">
        <f t="shared" si="43"/>
        <v>Mar Dining Fast Food</v>
      </c>
      <c r="F839" s="267" t="s">
        <v>85</v>
      </c>
      <c r="G839" s="267" t="str">
        <f>IFERROR(VLOOKUP(F839,'2020 Budget'!$A$4:$B$462,2,FALSE),"N/F")</f>
        <v>04. Family Expenses</v>
      </c>
      <c r="H839" s="267">
        <v>-9.0500000000000007</v>
      </c>
      <c r="I839" s="267"/>
      <c r="J839" s="267"/>
      <c r="K839" s="192"/>
    </row>
    <row r="840" spans="1:11" hidden="1" outlineLevel="1">
      <c r="A840" s="266" t="s">
        <v>563</v>
      </c>
      <c r="B840" s="267" t="str">
        <f>VLOOKUP(MONTH(C840),'Lookup Tables'!$A$3:$B$14,2,FALSE)</f>
        <v>Mar</v>
      </c>
      <c r="C840" s="268">
        <v>43904</v>
      </c>
      <c r="D840" s="267" t="s">
        <v>537</v>
      </c>
      <c r="E840" s="267" t="str">
        <f t="shared" si="43"/>
        <v>Mar Dining Fast Food</v>
      </c>
      <c r="F840" s="267" t="s">
        <v>85</v>
      </c>
      <c r="G840" s="267" t="str">
        <f>IFERROR(VLOOKUP(F840,'2020 Budget'!$A$4:$B$462,2,FALSE),"N/F")</f>
        <v>04. Family Expenses</v>
      </c>
      <c r="H840" s="267">
        <v>-8.4700000000000006</v>
      </c>
      <c r="I840" s="269"/>
      <c r="J840" s="266"/>
      <c r="K840" s="191"/>
    </row>
    <row r="841" spans="1:11" hidden="1" outlineLevel="1">
      <c r="A841" s="266" t="s">
        <v>563</v>
      </c>
      <c r="B841" s="267" t="str">
        <f>VLOOKUP(MONTH(C841),'Lookup Tables'!$A$3:$B$14,2,FALSE)</f>
        <v>Mar</v>
      </c>
      <c r="C841" s="268">
        <v>43904</v>
      </c>
      <c r="D841" s="267" t="s">
        <v>546</v>
      </c>
      <c r="E841" s="267" t="str">
        <f t="shared" si="43"/>
        <v>Mar Dining Restaurant</v>
      </c>
      <c r="F841" s="267" t="s">
        <v>145</v>
      </c>
      <c r="G841" s="267" t="str">
        <f>IFERROR(VLOOKUP(F841,'2020 Budget'!$A$4:$B$462,2,FALSE),"N/F")</f>
        <v>04. Family Expenses</v>
      </c>
      <c r="H841" s="267">
        <v>-9.34</v>
      </c>
      <c r="I841" s="266"/>
      <c r="J841" s="266"/>
      <c r="K841" s="191"/>
    </row>
    <row r="842" spans="1:11" hidden="1" outlineLevel="1">
      <c r="A842" s="266" t="s">
        <v>563</v>
      </c>
      <c r="B842" s="267" t="str">
        <f>VLOOKUP(MONTH(C842),'Lookup Tables'!$A$3:$B$14,2,FALSE)</f>
        <v>Mar</v>
      </c>
      <c r="C842" s="268">
        <v>43905</v>
      </c>
      <c r="D842" s="267" t="s">
        <v>457</v>
      </c>
      <c r="E842" s="267" t="str">
        <f t="shared" si="43"/>
        <v>Mar Groceries</v>
      </c>
      <c r="F842" s="269" t="s">
        <v>11</v>
      </c>
      <c r="G842" s="267" t="str">
        <f>IFERROR(VLOOKUP(F842,'2020 Budget'!$A$4:$B$462,2,FALSE),"N/F")</f>
        <v>04. Family Expenses</v>
      </c>
      <c r="H842" s="267">
        <v>-131.06</v>
      </c>
      <c r="I842" s="270"/>
      <c r="J842" s="271"/>
      <c r="K842" s="193"/>
    </row>
    <row r="843" spans="1:11" ht="15.75" hidden="1" customHeight="1" outlineLevel="1">
      <c r="A843" s="266" t="s">
        <v>563</v>
      </c>
      <c r="B843" s="267" t="str">
        <f>VLOOKUP(MONTH(C843),'Lookup Tables'!$A$3:$B$14,2,FALSE)</f>
        <v>Mar</v>
      </c>
      <c r="C843" s="268">
        <v>43905</v>
      </c>
      <c r="D843" s="267" t="s">
        <v>542</v>
      </c>
      <c r="E843" s="267" t="str">
        <f t="shared" si="43"/>
        <v>Mar Groceries</v>
      </c>
      <c r="F843" s="269" t="s">
        <v>11</v>
      </c>
      <c r="G843" s="267" t="str">
        <f>IFERROR(VLOOKUP(F843,'2020 Budget'!$A$4:$B$462,2,FALSE),"N/F")</f>
        <v>04. Family Expenses</v>
      </c>
      <c r="H843" s="267">
        <v>-39.01</v>
      </c>
      <c r="I843" s="269"/>
      <c r="J843" s="266"/>
      <c r="K843" s="191"/>
    </row>
    <row r="844" spans="1:11" hidden="1" outlineLevel="1">
      <c r="A844" s="266" t="s">
        <v>563</v>
      </c>
      <c r="B844" s="267" t="str">
        <f>VLOOKUP(MONTH(C844),'Lookup Tables'!$A$3:$B$14,2,FALSE)</f>
        <v>Mar</v>
      </c>
      <c r="C844" s="268">
        <v>43905</v>
      </c>
      <c r="D844" s="267" t="s">
        <v>545</v>
      </c>
      <c r="E844" s="267" t="str">
        <f t="shared" si="43"/>
        <v>Mar Groceries</v>
      </c>
      <c r="F844" s="269" t="s">
        <v>11</v>
      </c>
      <c r="G844" s="267" t="str">
        <f>IFERROR(VLOOKUP(F844,'2020 Budget'!$A$4:$B$462,2,FALSE),"N/F")</f>
        <v>04. Family Expenses</v>
      </c>
      <c r="H844" s="267">
        <v>-22.19</v>
      </c>
      <c r="I844" s="270"/>
      <c r="J844" s="271"/>
      <c r="K844" s="193"/>
    </row>
    <row r="845" spans="1:11" hidden="1" outlineLevel="1">
      <c r="A845" s="266" t="s">
        <v>563</v>
      </c>
      <c r="B845" s="267" t="str">
        <f>VLOOKUP(MONTH(C845),'Lookup Tables'!$A$3:$B$14,2,FALSE)</f>
        <v>Mar</v>
      </c>
      <c r="C845" s="268">
        <v>43906</v>
      </c>
      <c r="D845" s="267" t="s">
        <v>544</v>
      </c>
      <c r="E845" s="267" t="str">
        <f t="shared" si="43"/>
        <v>Mar Dining Fast Food</v>
      </c>
      <c r="F845" s="267" t="s">
        <v>85</v>
      </c>
      <c r="G845" s="267" t="str">
        <f>IFERROR(VLOOKUP(F845,'2020 Budget'!$A$4:$B$462,2,FALSE),"N/F")</f>
        <v>04. Family Expenses</v>
      </c>
      <c r="H845" s="267">
        <v>-7.94</v>
      </c>
      <c r="I845" s="266"/>
      <c r="J845" s="266"/>
      <c r="K845" s="191"/>
    </row>
    <row r="846" spans="1:11" hidden="1" outlineLevel="1">
      <c r="A846" s="266" t="s">
        <v>563</v>
      </c>
      <c r="B846" s="267" t="str">
        <f>VLOOKUP(MONTH(C846),'Lookup Tables'!$A$3:$B$14,2,FALSE)</f>
        <v>Mar</v>
      </c>
      <c r="C846" s="268">
        <v>43906</v>
      </c>
      <c r="D846" s="267" t="s">
        <v>459</v>
      </c>
      <c r="E846" s="267" t="str">
        <f t="shared" si="43"/>
        <v>Mar Dining Fast Food</v>
      </c>
      <c r="F846" s="267" t="s">
        <v>85</v>
      </c>
      <c r="G846" s="267" t="str">
        <f>IFERROR(VLOOKUP(F846,'2020 Budget'!$A$4:$B$462,2,FALSE),"N/F")</f>
        <v>04. Family Expenses</v>
      </c>
      <c r="H846" s="267">
        <v>-5.3</v>
      </c>
      <c r="I846" s="267"/>
      <c r="J846" s="267"/>
      <c r="K846" s="192"/>
    </row>
    <row r="847" spans="1:11" hidden="1" outlineLevel="1">
      <c r="A847" s="266" t="s">
        <v>563</v>
      </c>
      <c r="B847" s="267" t="str">
        <f>VLOOKUP(MONTH(C847),'Lookup Tables'!$A$3:$B$14,2,FALSE)</f>
        <v>Mar</v>
      </c>
      <c r="C847" s="268">
        <v>43907</v>
      </c>
      <c r="D847" s="267" t="s">
        <v>535</v>
      </c>
      <c r="E847" s="267" t="str">
        <f t="shared" si="43"/>
        <v>Mar Dining Fast Food</v>
      </c>
      <c r="F847" s="267" t="s">
        <v>85</v>
      </c>
      <c r="G847" s="267" t="str">
        <f>IFERROR(VLOOKUP(F847,'2020 Budget'!$A$4:$B$462,2,FALSE),"N/F")</f>
        <v>04. Family Expenses</v>
      </c>
      <c r="H847" s="267">
        <v>-8.7899999999999991</v>
      </c>
      <c r="I847" s="267"/>
      <c r="J847" s="267"/>
      <c r="K847" s="192"/>
    </row>
    <row r="848" spans="1:11" ht="15.75" hidden="1" customHeight="1" outlineLevel="1">
      <c r="A848" s="266" t="s">
        <v>563</v>
      </c>
      <c r="B848" s="267" t="str">
        <f>VLOOKUP(MONTH(C848),'Lookup Tables'!$A$3:$B$14,2,FALSE)</f>
        <v>Mar</v>
      </c>
      <c r="C848" s="268">
        <v>43907</v>
      </c>
      <c r="D848" s="267" t="s">
        <v>456</v>
      </c>
      <c r="E848" s="267" t="str">
        <f t="shared" si="43"/>
        <v>Mar Groceries</v>
      </c>
      <c r="F848" s="267" t="s">
        <v>11</v>
      </c>
      <c r="G848" s="267" t="str">
        <f>IFERROR(VLOOKUP(F848,'2020 Budget'!$A$4:$B$462,2,FALSE),"N/F")</f>
        <v>04. Family Expenses</v>
      </c>
      <c r="H848" s="267">
        <v>-9.5</v>
      </c>
      <c r="I848" s="267"/>
      <c r="J848" s="267"/>
      <c r="K848" s="192"/>
    </row>
    <row r="849" spans="1:11" hidden="1" outlineLevel="1">
      <c r="A849" s="266" t="s">
        <v>563</v>
      </c>
      <c r="B849" s="267" t="str">
        <f>VLOOKUP(MONTH(C849),'Lookup Tables'!$A$3:$B$14,2,FALSE)</f>
        <v>Mar</v>
      </c>
      <c r="C849" s="268">
        <v>43907</v>
      </c>
      <c r="D849" s="267" t="s">
        <v>456</v>
      </c>
      <c r="E849" s="267" t="str">
        <f t="shared" si="43"/>
        <v>Mar Groceries</v>
      </c>
      <c r="F849" s="267" t="s">
        <v>11</v>
      </c>
      <c r="G849" s="267" t="str">
        <f>IFERROR(VLOOKUP(F849,'2020 Budget'!$A$4:$B$462,2,FALSE),"N/F")</f>
        <v>04. Family Expenses</v>
      </c>
      <c r="H849" s="267">
        <v>-2</v>
      </c>
      <c r="I849" s="266"/>
      <c r="J849" s="266"/>
      <c r="K849" s="191"/>
    </row>
    <row r="850" spans="1:11" hidden="1" outlineLevel="1">
      <c r="A850" s="266" t="s">
        <v>563</v>
      </c>
      <c r="B850" s="267" t="str">
        <f>VLOOKUP(MONTH(C850),'Lookup Tables'!$A$3:$B$14,2,FALSE)</f>
        <v>Mar</v>
      </c>
      <c r="C850" s="268">
        <v>43907</v>
      </c>
      <c r="D850" s="267" t="s">
        <v>300</v>
      </c>
      <c r="E850" s="267" t="str">
        <f t="shared" si="43"/>
        <v>Mar Merchandise Home</v>
      </c>
      <c r="F850" s="267" t="s">
        <v>19</v>
      </c>
      <c r="G850" s="267" t="str">
        <f>IFERROR(VLOOKUP(F850,'2020 Budget'!$A$4:$B$462,2,FALSE),"N/F")</f>
        <v>04. Household Expenses</v>
      </c>
      <c r="H850" s="267">
        <v>-19.079999999999998</v>
      </c>
      <c r="I850" s="270"/>
      <c r="J850" s="271"/>
      <c r="K850" s="193"/>
    </row>
    <row r="851" spans="1:11" hidden="1" outlineLevel="1">
      <c r="A851" s="266" t="s">
        <v>563</v>
      </c>
      <c r="B851" s="267" t="str">
        <f>VLOOKUP(MONTH(C851),'Lookup Tables'!$A$3:$B$14,2,FALSE)</f>
        <v>Mar</v>
      </c>
      <c r="C851" s="268">
        <v>43908</v>
      </c>
      <c r="D851" s="267" t="s">
        <v>457</v>
      </c>
      <c r="E851" s="267" t="str">
        <f t="shared" si="43"/>
        <v>Mar Groceries</v>
      </c>
      <c r="F851" s="269" t="s">
        <v>11</v>
      </c>
      <c r="G851" s="267" t="str">
        <f>IFERROR(VLOOKUP(F851,'2020 Budget'!$A$4:$B$462,2,FALSE),"N/F")</f>
        <v>04. Family Expenses</v>
      </c>
      <c r="H851" s="267">
        <v>-1.0900000000000001</v>
      </c>
      <c r="I851" s="266"/>
      <c r="J851" s="266"/>
      <c r="K851" s="191"/>
    </row>
    <row r="852" spans="1:11" hidden="1" outlineLevel="1">
      <c r="A852" s="266" t="s">
        <v>563</v>
      </c>
      <c r="B852" s="267" t="str">
        <f>VLOOKUP(MONTH(C852),'Lookup Tables'!$A$3:$B$14,2,FALSE)</f>
        <v>Mar</v>
      </c>
      <c r="C852" s="268">
        <v>43909</v>
      </c>
      <c r="D852" s="267" t="s">
        <v>455</v>
      </c>
      <c r="E852" s="267" t="str">
        <f t="shared" si="43"/>
        <v>Mar Dining Fast Food</v>
      </c>
      <c r="F852" s="267" t="s">
        <v>85</v>
      </c>
      <c r="G852" s="267" t="str">
        <f>IFERROR(VLOOKUP(F852,'2020 Budget'!$A$4:$B$462,2,FALSE),"N/F")</f>
        <v>04. Family Expenses</v>
      </c>
      <c r="H852" s="267">
        <v>-8.7899999999999991</v>
      </c>
      <c r="I852" s="266"/>
      <c r="J852" s="266"/>
      <c r="K852" s="191"/>
    </row>
    <row r="853" spans="1:11" hidden="1" outlineLevel="1">
      <c r="A853" s="266" t="s">
        <v>563</v>
      </c>
      <c r="B853" s="267" t="str">
        <f>VLOOKUP(MONTH(C853),'Lookup Tables'!$A$3:$B$14,2,FALSE)</f>
        <v>Mar</v>
      </c>
      <c r="C853" s="268">
        <v>43909</v>
      </c>
      <c r="D853" s="267" t="s">
        <v>539</v>
      </c>
      <c r="E853" s="267" t="str">
        <f t="shared" si="43"/>
        <v>Mar Groceries</v>
      </c>
      <c r="F853" s="269" t="s">
        <v>11</v>
      </c>
      <c r="G853" s="267" t="str">
        <f>IFERROR(VLOOKUP(F853,'2020 Budget'!$A$4:$B$462,2,FALSE),"N/F")</f>
        <v>04. Family Expenses</v>
      </c>
      <c r="H853" s="267">
        <v>-1</v>
      </c>
      <c r="I853" s="269"/>
      <c r="J853" s="266"/>
      <c r="K853" s="191"/>
    </row>
    <row r="854" spans="1:11" hidden="1" outlineLevel="1">
      <c r="A854" s="266" t="s">
        <v>563</v>
      </c>
      <c r="B854" s="267" t="str">
        <f>VLOOKUP(MONTH(C854),'Lookup Tables'!$A$3:$B$14,2,FALSE)</f>
        <v>Mar</v>
      </c>
      <c r="C854" s="268">
        <v>43909</v>
      </c>
      <c r="D854" s="267" t="s">
        <v>457</v>
      </c>
      <c r="E854" s="267" t="str">
        <f t="shared" si="43"/>
        <v>Mar Groceries</v>
      </c>
      <c r="F854" s="269" t="s">
        <v>11</v>
      </c>
      <c r="G854" s="267" t="str">
        <f>IFERROR(VLOOKUP(F854,'2020 Budget'!$A$4:$B$462,2,FALSE),"N/F")</f>
        <v>04. Family Expenses</v>
      </c>
      <c r="H854" s="267">
        <v>-5.82</v>
      </c>
      <c r="I854" s="269"/>
      <c r="J854" s="266"/>
      <c r="K854" s="191"/>
    </row>
    <row r="855" spans="1:11" hidden="1" outlineLevel="1">
      <c r="A855" s="266" t="s">
        <v>563</v>
      </c>
      <c r="B855" s="267" t="str">
        <f>VLOOKUP(MONTH(C855),'Lookup Tables'!$A$3:$B$14,2,FALSE)</f>
        <v>Mar</v>
      </c>
      <c r="C855" s="268">
        <v>43909</v>
      </c>
      <c r="D855" s="267" t="s">
        <v>457</v>
      </c>
      <c r="E855" s="267" t="str">
        <f t="shared" si="43"/>
        <v>Mar Groceries</v>
      </c>
      <c r="F855" s="269" t="s">
        <v>11</v>
      </c>
      <c r="G855" s="267" t="str">
        <f>IFERROR(VLOOKUP(F855,'2020 Budget'!$A$4:$B$462,2,FALSE),"N/F")</f>
        <v>04. Family Expenses</v>
      </c>
      <c r="H855" s="267">
        <v>-1.79</v>
      </c>
      <c r="I855" s="270"/>
      <c r="J855" s="271"/>
      <c r="K855" s="193"/>
    </row>
    <row r="856" spans="1:11" hidden="1" outlineLevel="1">
      <c r="A856" s="266" t="s">
        <v>563</v>
      </c>
      <c r="B856" s="267" t="str">
        <f>VLOOKUP(MONTH(C856),'Lookup Tables'!$A$3:$B$14,2,FALSE)</f>
        <v>Mar</v>
      </c>
      <c r="C856" s="268">
        <v>43909</v>
      </c>
      <c r="D856" s="267" t="s">
        <v>543</v>
      </c>
      <c r="E856" s="267" t="str">
        <f t="shared" si="43"/>
        <v>Mar Personal Care</v>
      </c>
      <c r="F856" s="267" t="s">
        <v>20</v>
      </c>
      <c r="G856" s="267" t="str">
        <f>IFERROR(VLOOKUP(F856,'2020 Budget'!$A$4:$B$462,2,FALSE),"N/F")</f>
        <v>04. Family Expenses</v>
      </c>
      <c r="H856" s="267">
        <v>-21</v>
      </c>
      <c r="I856" s="266"/>
      <c r="J856" s="266"/>
      <c r="K856" s="191"/>
    </row>
    <row r="857" spans="1:11" hidden="1" outlineLevel="1">
      <c r="A857" s="266" t="s">
        <v>563</v>
      </c>
      <c r="B857" s="267" t="str">
        <f>VLOOKUP(MONTH(C857),'Lookup Tables'!$A$3:$B$14,2,FALSE)</f>
        <v>Mar</v>
      </c>
      <c r="C857" s="268">
        <v>43911</v>
      </c>
      <c r="D857" s="267" t="s">
        <v>464</v>
      </c>
      <c r="E857" s="267" t="str">
        <f t="shared" si="43"/>
        <v>Mar Groceries</v>
      </c>
      <c r="F857" s="267" t="s">
        <v>11</v>
      </c>
      <c r="G857" s="267" t="str">
        <f>IFERROR(VLOOKUP(F857,'2020 Budget'!$A$4:$B$462,2,FALSE),"N/F")</f>
        <v>04. Family Expenses</v>
      </c>
      <c r="H857" s="267">
        <v>-1.25</v>
      </c>
      <c r="I857" s="267"/>
      <c r="J857" s="267"/>
      <c r="K857" s="192"/>
    </row>
    <row r="858" spans="1:11" hidden="1" outlineLevel="1">
      <c r="A858" s="266" t="s">
        <v>563</v>
      </c>
      <c r="B858" s="267" t="str">
        <f>VLOOKUP(MONTH(C858),'Lookup Tables'!$A$3:$B$14,2,FALSE)</f>
        <v>Mar</v>
      </c>
      <c r="C858" s="268">
        <v>43911</v>
      </c>
      <c r="D858" s="267" t="s">
        <v>561</v>
      </c>
      <c r="E858" s="267" t="str">
        <f t="shared" si="43"/>
        <v>Mar Entertainment</v>
      </c>
      <c r="F858" s="267" t="s">
        <v>18</v>
      </c>
      <c r="G858" s="267" t="str">
        <f>IFERROR(VLOOKUP(F858,'2020 Budget'!$A$4:$B$462,2,FALSE),"N/F")</f>
        <v>04. Family Expenses</v>
      </c>
      <c r="H858" s="267">
        <v>-5.29</v>
      </c>
      <c r="I858" s="266"/>
      <c r="J858" s="266"/>
      <c r="K858" s="191"/>
    </row>
    <row r="859" spans="1:11" hidden="1" outlineLevel="1">
      <c r="A859" s="266" t="s">
        <v>563</v>
      </c>
      <c r="B859" s="267" t="str">
        <f>VLOOKUP(MONTH(C859),'Lookup Tables'!$A$3:$B$14,2,FALSE)</f>
        <v>Mar</v>
      </c>
      <c r="C859" s="268">
        <v>43913</v>
      </c>
      <c r="D859" s="267" t="s">
        <v>535</v>
      </c>
      <c r="E859" s="267" t="str">
        <f t="shared" si="43"/>
        <v>Mar Dining Fast Food</v>
      </c>
      <c r="F859" s="267" t="s">
        <v>85</v>
      </c>
      <c r="G859" s="267" t="str">
        <f>IFERROR(VLOOKUP(F859,'2020 Budget'!$A$4:$B$462,2,FALSE),"N/F")</f>
        <v>04. Family Expenses</v>
      </c>
      <c r="H859" s="267">
        <v>-8.7899999999999991</v>
      </c>
      <c r="I859" s="267"/>
      <c r="J859" s="267"/>
      <c r="K859" s="192"/>
    </row>
    <row r="860" spans="1:11" hidden="1" outlineLevel="1">
      <c r="A860" s="266" t="s">
        <v>563</v>
      </c>
      <c r="B860" s="267" t="str">
        <f>VLOOKUP(MONTH(C860),'Lookup Tables'!$A$3:$B$14,2,FALSE)</f>
        <v>Mar</v>
      </c>
      <c r="C860" s="268">
        <v>43913</v>
      </c>
      <c r="D860" s="267" t="s">
        <v>538</v>
      </c>
      <c r="E860" s="267" t="str">
        <f t="shared" si="43"/>
        <v>Mar Merchandise Medical Care</v>
      </c>
      <c r="F860" s="267" t="s">
        <v>265</v>
      </c>
      <c r="G860" s="267" t="str">
        <f>IFERROR(VLOOKUP(F860,'2020 Budget'!$A$4:$B$462,2,FALSE),"N/F")</f>
        <v>04. Family Expenses</v>
      </c>
      <c r="H860" s="267">
        <v>-7.2</v>
      </c>
      <c r="I860" s="267"/>
      <c r="J860" s="267"/>
      <c r="K860" s="192"/>
    </row>
    <row r="861" spans="1:11" hidden="1" outlineLevel="1">
      <c r="A861" s="266" t="s">
        <v>563</v>
      </c>
      <c r="B861" s="267" t="str">
        <f>VLOOKUP(MONTH(C861),'Lookup Tables'!$A$3:$B$14,2,FALSE)</f>
        <v>Mar</v>
      </c>
      <c r="C861" s="268">
        <v>43913</v>
      </c>
      <c r="D861" s="267" t="s">
        <v>542</v>
      </c>
      <c r="E861" s="267" t="str">
        <f t="shared" si="43"/>
        <v>Mar Groceries</v>
      </c>
      <c r="F861" s="269" t="s">
        <v>11</v>
      </c>
      <c r="G861" s="267" t="str">
        <f>IFERROR(VLOOKUP(F861,'2020 Budget'!$A$4:$B$462,2,FALSE),"N/F")</f>
        <v>04. Family Expenses</v>
      </c>
      <c r="H861" s="267">
        <v>-151.62</v>
      </c>
      <c r="I861" s="267"/>
      <c r="J861" s="267"/>
      <c r="K861" s="192"/>
    </row>
    <row r="862" spans="1:11" hidden="1" outlineLevel="1">
      <c r="A862" s="266" t="s">
        <v>563</v>
      </c>
      <c r="B862" s="267" t="str">
        <f>VLOOKUP(MONTH(C862),'Lookup Tables'!$A$3:$B$14,2,FALSE)</f>
        <v>Mar</v>
      </c>
      <c r="C862" s="268">
        <v>43913</v>
      </c>
      <c r="D862" s="267" t="s">
        <v>541</v>
      </c>
      <c r="E862" s="267" t="str">
        <f t="shared" si="43"/>
        <v>Mar Groceries</v>
      </c>
      <c r="F862" s="267" t="s">
        <v>11</v>
      </c>
      <c r="G862" s="267" t="str">
        <f>IFERROR(VLOOKUP(F862,'2020 Budget'!$A$4:$B$462,2,FALSE),"N/F")</f>
        <v>04. Family Expenses</v>
      </c>
      <c r="H862" s="267">
        <v>-37.090000000000003</v>
      </c>
      <c r="I862" s="266"/>
      <c r="J862" s="266"/>
      <c r="K862" s="191"/>
    </row>
    <row r="863" spans="1:11" hidden="1" outlineLevel="1">
      <c r="A863" s="266" t="s">
        <v>563</v>
      </c>
      <c r="B863" s="267" t="str">
        <f>VLOOKUP(MONTH(C863),'Lookup Tables'!$A$3:$B$14,2,FALSE)</f>
        <v>Mar</v>
      </c>
      <c r="C863" s="268">
        <v>43913</v>
      </c>
      <c r="D863" s="267" t="s">
        <v>541</v>
      </c>
      <c r="E863" s="267" t="str">
        <f t="shared" si="43"/>
        <v>Mar Groceries</v>
      </c>
      <c r="F863" s="267" t="s">
        <v>11</v>
      </c>
      <c r="G863" s="267" t="str">
        <f>IFERROR(VLOOKUP(F863,'2020 Budget'!$A$4:$B$462,2,FALSE),"N/F")</f>
        <v>04. Family Expenses</v>
      </c>
      <c r="H863" s="267">
        <v>-27.2</v>
      </c>
      <c r="I863" s="266"/>
      <c r="J863" s="266"/>
      <c r="K863" s="191"/>
    </row>
    <row r="864" spans="1:11" hidden="1" outlineLevel="1">
      <c r="A864" s="266" t="s">
        <v>563</v>
      </c>
      <c r="B864" s="267" t="str">
        <f>VLOOKUP(MONTH(C864),'Lookup Tables'!$A$3:$B$14,2,FALSE)</f>
        <v>Mar</v>
      </c>
      <c r="C864" s="268">
        <v>43913</v>
      </c>
      <c r="D864" s="267" t="s">
        <v>541</v>
      </c>
      <c r="E864" s="267" t="str">
        <f t="shared" si="43"/>
        <v>Mar Groceries</v>
      </c>
      <c r="F864" s="267" t="s">
        <v>11</v>
      </c>
      <c r="G864" s="267" t="str">
        <f>IFERROR(VLOOKUP(F864,'2020 Budget'!$A$4:$B$462,2,FALSE),"N/F")</f>
        <v>04. Family Expenses</v>
      </c>
      <c r="H864" s="267">
        <v>-9.81</v>
      </c>
      <c r="I864" s="266"/>
      <c r="J864" s="266"/>
      <c r="K864" s="191"/>
    </row>
    <row r="865" spans="1:11" hidden="1" outlineLevel="1">
      <c r="A865" s="266" t="s">
        <v>563</v>
      </c>
      <c r="B865" s="267" t="str">
        <f>VLOOKUP(MONTH(C865),'Lookup Tables'!$A$3:$B$14,2,FALSE)</f>
        <v>Mar</v>
      </c>
      <c r="C865" s="268">
        <v>43916</v>
      </c>
      <c r="D865" s="267" t="s">
        <v>455</v>
      </c>
      <c r="E865" s="267" t="str">
        <f t="shared" si="43"/>
        <v>Mar Dining Fast Food</v>
      </c>
      <c r="F865" s="267" t="s">
        <v>85</v>
      </c>
      <c r="G865" s="267" t="str">
        <f>IFERROR(VLOOKUP(F865,'2020 Budget'!$A$4:$B$462,2,FALSE),"N/F")</f>
        <v>04. Family Expenses</v>
      </c>
      <c r="H865" s="267">
        <v>-11.97</v>
      </c>
      <c r="I865" s="266"/>
      <c r="J865" s="266"/>
      <c r="K865" s="191"/>
    </row>
    <row r="866" spans="1:11" hidden="1" outlineLevel="1">
      <c r="A866" s="266" t="s">
        <v>563</v>
      </c>
      <c r="B866" s="267" t="str">
        <f>VLOOKUP(MONTH(C866),'Lookup Tables'!$A$3:$B$14,2,FALSE)</f>
        <v>Mar</v>
      </c>
      <c r="C866" s="268">
        <v>43916</v>
      </c>
      <c r="D866" s="267" t="s">
        <v>540</v>
      </c>
      <c r="E866" s="267" t="str">
        <f t="shared" si="43"/>
        <v>Mar Dining Fast Food</v>
      </c>
      <c r="F866" s="267" t="s">
        <v>85</v>
      </c>
      <c r="G866" s="267" t="str">
        <f>IFERROR(VLOOKUP(F866,'2020 Budget'!$A$4:$B$462,2,FALSE),"N/F")</f>
        <v>04. Family Expenses</v>
      </c>
      <c r="H866" s="267">
        <v>-10.26</v>
      </c>
      <c r="I866" s="269"/>
      <c r="J866" s="266"/>
      <c r="K866" s="191"/>
    </row>
    <row r="867" spans="1:11" hidden="1" outlineLevel="1">
      <c r="A867" s="266" t="s">
        <v>563</v>
      </c>
      <c r="B867" s="267" t="str">
        <f>VLOOKUP(MONTH(C867),'Lookup Tables'!$A$3:$B$14,2,FALSE)</f>
        <v>Mar</v>
      </c>
      <c r="C867" s="268">
        <v>43917</v>
      </c>
      <c r="D867" s="267" t="s">
        <v>538</v>
      </c>
      <c r="E867" s="267" t="str">
        <f t="shared" si="43"/>
        <v>Mar Merchandise Medical Care</v>
      </c>
      <c r="F867" s="267" t="s">
        <v>265</v>
      </c>
      <c r="G867" s="267" t="str">
        <f>IFERROR(VLOOKUP(F867,'2020 Budget'!$A$4:$B$462,2,FALSE),"N/F")</f>
        <v>04. Family Expenses</v>
      </c>
      <c r="H867" s="267">
        <v>-12.6</v>
      </c>
      <c r="I867" s="266"/>
      <c r="J867" s="266"/>
      <c r="K867" s="191"/>
    </row>
    <row r="868" spans="1:11" hidden="1" outlineLevel="1">
      <c r="A868" s="266" t="s">
        <v>563</v>
      </c>
      <c r="B868" s="267" t="str">
        <f>VLOOKUP(MONTH(C868),'Lookup Tables'!$A$3:$B$14,2,FALSE)</f>
        <v>Mar</v>
      </c>
      <c r="C868" s="268">
        <v>43917</v>
      </c>
      <c r="D868" s="267" t="s">
        <v>538</v>
      </c>
      <c r="E868" s="267" t="str">
        <f t="shared" si="43"/>
        <v>Mar Merchandise Medical Care</v>
      </c>
      <c r="F868" s="267" t="s">
        <v>265</v>
      </c>
      <c r="G868" s="267" t="str">
        <f>IFERROR(VLOOKUP(F868,'2020 Budget'!$A$4:$B$462,2,FALSE),"N/F")</f>
        <v>04. Family Expenses</v>
      </c>
      <c r="H868" s="267">
        <v>-10.99</v>
      </c>
      <c r="I868" s="267"/>
      <c r="J868" s="267"/>
      <c r="K868" s="192"/>
    </row>
    <row r="869" spans="1:11" hidden="1" outlineLevel="1">
      <c r="A869" s="266" t="s">
        <v>563</v>
      </c>
      <c r="B869" s="267" t="str">
        <f>VLOOKUP(MONTH(C869),'Lookup Tables'!$A$3:$B$14,2,FALSE)</f>
        <v>Mar</v>
      </c>
      <c r="C869" s="268">
        <v>43917</v>
      </c>
      <c r="D869" s="267" t="s">
        <v>539</v>
      </c>
      <c r="E869" s="267" t="str">
        <f t="shared" si="43"/>
        <v>Mar Groceries</v>
      </c>
      <c r="F869" s="269" t="s">
        <v>11</v>
      </c>
      <c r="G869" s="267" t="str">
        <f>IFERROR(VLOOKUP(F869,'2020 Budget'!$A$4:$B$462,2,FALSE),"N/F")</f>
        <v>04. Family Expenses</v>
      </c>
      <c r="H869" s="267">
        <v>-5.78</v>
      </c>
      <c r="I869" s="266"/>
      <c r="J869" s="266"/>
      <c r="K869" s="191"/>
    </row>
    <row r="870" spans="1:11" hidden="1" outlineLevel="1">
      <c r="A870" s="266" t="s">
        <v>563</v>
      </c>
      <c r="B870" s="267" t="str">
        <f>VLOOKUP(MONTH(C870),'Lookup Tables'!$A$3:$B$14,2,FALSE)</f>
        <v>Mar</v>
      </c>
      <c r="C870" s="268">
        <v>43918</v>
      </c>
      <c r="D870" s="267" t="s">
        <v>538</v>
      </c>
      <c r="E870" s="267" t="str">
        <f t="shared" si="43"/>
        <v>Mar Merchandise Medical Care</v>
      </c>
      <c r="F870" s="267" t="s">
        <v>265</v>
      </c>
      <c r="G870" s="267" t="str">
        <f>IFERROR(VLOOKUP(F870,'2020 Budget'!$A$4:$B$462,2,FALSE),"N/F")</f>
        <v>04. Family Expenses</v>
      </c>
      <c r="H870" s="267">
        <v>-20.66</v>
      </c>
      <c r="I870" s="266"/>
      <c r="J870" s="266"/>
      <c r="K870" s="191"/>
    </row>
    <row r="871" spans="1:11" hidden="1" outlineLevel="1">
      <c r="A871" s="266" t="s">
        <v>563</v>
      </c>
      <c r="B871" s="267" t="str">
        <f>VLOOKUP(MONTH(C871),'Lookup Tables'!$A$3:$B$14,2,FALSE)</f>
        <v>Mar</v>
      </c>
      <c r="C871" s="268">
        <v>43919</v>
      </c>
      <c r="D871" s="267" t="s">
        <v>537</v>
      </c>
      <c r="E871" s="267" t="str">
        <f t="shared" si="43"/>
        <v>Mar Dining Fast Food</v>
      </c>
      <c r="F871" s="267" t="s">
        <v>85</v>
      </c>
      <c r="G871" s="267" t="str">
        <f>IFERROR(VLOOKUP(F871,'2020 Budget'!$A$4:$B$462,2,FALSE),"N/F")</f>
        <v>04. Family Expenses</v>
      </c>
      <c r="H871" s="267">
        <v>-8.4700000000000006</v>
      </c>
      <c r="I871" s="267"/>
      <c r="J871" s="267"/>
      <c r="K871" s="192"/>
    </row>
    <row r="872" spans="1:11" hidden="1" outlineLevel="1">
      <c r="A872" s="266" t="s">
        <v>563</v>
      </c>
      <c r="B872" s="267" t="str">
        <f>VLOOKUP(MONTH(C872),'Lookup Tables'!$A$3:$B$14,2,FALSE)</f>
        <v>Mar</v>
      </c>
      <c r="C872" s="268">
        <v>43919</v>
      </c>
      <c r="D872" s="267" t="s">
        <v>308</v>
      </c>
      <c r="E872" s="267" t="str">
        <f t="shared" si="43"/>
        <v>Mar Merchandise Home</v>
      </c>
      <c r="F872" s="267" t="s">
        <v>19</v>
      </c>
      <c r="G872" s="267" t="str">
        <f>IFERROR(VLOOKUP(F872,'2020 Budget'!$A$4:$B$462,2,FALSE),"N/F")</f>
        <v>04. Household Expenses</v>
      </c>
      <c r="H872" s="267">
        <v>-4.99</v>
      </c>
      <c r="I872" s="269"/>
      <c r="J872" s="266"/>
      <c r="K872" s="191"/>
    </row>
    <row r="873" spans="1:11" hidden="1" outlineLevel="1">
      <c r="A873" s="266" t="s">
        <v>563</v>
      </c>
      <c r="B873" s="267" t="str">
        <f>VLOOKUP(MONTH(C873),'Lookup Tables'!$A$3:$B$14,2,FALSE)</f>
        <v>Mar</v>
      </c>
      <c r="C873" s="268">
        <v>43920</v>
      </c>
      <c r="D873" s="267" t="s">
        <v>535</v>
      </c>
      <c r="E873" s="267" t="str">
        <f t="shared" si="43"/>
        <v>Mar Dining Fast Food</v>
      </c>
      <c r="F873" s="267" t="s">
        <v>85</v>
      </c>
      <c r="G873" s="267" t="str">
        <f>IFERROR(VLOOKUP(F873,'2020 Budget'!$A$4:$B$462,2,FALSE),"N/F")</f>
        <v>04. Family Expenses</v>
      </c>
      <c r="H873" s="267">
        <v>-6.03</v>
      </c>
      <c r="I873" s="267"/>
      <c r="J873" s="267"/>
      <c r="K873" s="192"/>
    </row>
    <row r="874" spans="1:11" hidden="1" outlineLevel="1">
      <c r="A874" s="266" t="s">
        <v>563</v>
      </c>
      <c r="B874" s="267" t="str">
        <f>VLOOKUP(MONTH(C874),'Lookup Tables'!$A$3:$B$14,2,FALSE)</f>
        <v>Mar</v>
      </c>
      <c r="C874" s="268">
        <v>43920</v>
      </c>
      <c r="D874" s="267" t="s">
        <v>534</v>
      </c>
      <c r="E874" s="267" t="str">
        <f>B874&amp;" "&amp;F874</f>
        <v>Mar Dining Fast Food</v>
      </c>
      <c r="F874" s="267" t="s">
        <v>85</v>
      </c>
      <c r="G874" s="267" t="str">
        <f>IFERROR(VLOOKUP(F874,'2020 Budget'!$A$4:$B$462,2,FALSE),"N/F")</f>
        <v>04. Family Expenses</v>
      </c>
      <c r="H874" s="267">
        <v>-6.3</v>
      </c>
      <c r="I874" s="266"/>
      <c r="J874" s="266"/>
      <c r="K874" s="191"/>
    </row>
    <row r="875" spans="1:11" hidden="1" outlineLevel="1">
      <c r="A875" s="266" t="s">
        <v>563</v>
      </c>
      <c r="B875" s="267" t="str">
        <f>VLOOKUP(MONTH(C875),'Lookup Tables'!$A$3:$B$14,2,FALSE)</f>
        <v>Mar</v>
      </c>
      <c r="C875" s="268">
        <v>43920</v>
      </c>
      <c r="D875" s="267" t="s">
        <v>536</v>
      </c>
      <c r="E875" s="267" t="str">
        <f>B875&amp;" "&amp;F875</f>
        <v>Mar Dining Restaurant</v>
      </c>
      <c r="F875" s="267" t="s">
        <v>145</v>
      </c>
      <c r="G875" s="267" t="str">
        <f>IFERROR(VLOOKUP(F875,'2020 Budget'!$A$4:$B$462,2,FALSE),"N/F")</f>
        <v>04. Family Expenses</v>
      </c>
      <c r="H875" s="267">
        <v>-7.94</v>
      </c>
      <c r="I875" s="269"/>
      <c r="J875" s="266"/>
      <c r="K875" s="191"/>
    </row>
    <row r="876" spans="1:11" hidden="1" outlineLevel="1">
      <c r="A876" s="266" t="s">
        <v>563</v>
      </c>
      <c r="B876" s="267" t="str">
        <f>VLOOKUP(MONTH(C876),'Lookup Tables'!$A$3:$B$14,2,FALSE)</f>
        <v>Mar</v>
      </c>
      <c r="C876" s="268">
        <v>43920</v>
      </c>
      <c r="D876" s="267" t="s">
        <v>308</v>
      </c>
      <c r="E876" s="267" t="str">
        <f>B876&amp;" "&amp;F876</f>
        <v>Mar Merchandise Home</v>
      </c>
      <c r="F876" s="267" t="s">
        <v>19</v>
      </c>
      <c r="G876" s="267" t="str">
        <f>IFERROR(VLOOKUP(F876,'2020 Budget'!$A$4:$B$462,2,FALSE),"N/F")</f>
        <v>04. Household Expenses</v>
      </c>
      <c r="H876" s="267">
        <v>-14.26</v>
      </c>
      <c r="I876" s="270"/>
      <c r="J876" s="271"/>
      <c r="K876" s="193"/>
    </row>
    <row r="877" spans="1:11" hidden="1" outlineLevel="1">
      <c r="A877" s="266" t="s">
        <v>563</v>
      </c>
      <c r="B877" s="267" t="str">
        <f>VLOOKUP(MONTH(C877),'Lookup Tables'!$A$3:$B$14,2,FALSE)</f>
        <v>Apr</v>
      </c>
      <c r="C877" s="268">
        <v>43927</v>
      </c>
      <c r="D877" s="267" t="s">
        <v>2</v>
      </c>
      <c r="E877" s="267" t="str">
        <f>B877&amp;" "&amp;F877</f>
        <v>Apr Payment OTHER</v>
      </c>
      <c r="F877" s="267" t="s">
        <v>367</v>
      </c>
      <c r="G877" s="267" t="str">
        <f>IFERROR(VLOOKUP(F877,'2020 Budget'!$A$4:$B$462,2,FALSE),"N/F")</f>
        <v>16. Not Tracked</v>
      </c>
      <c r="H877" s="267">
        <v>552.78</v>
      </c>
      <c r="I877" s="267"/>
      <c r="J877" s="267"/>
      <c r="K877" s="192"/>
    </row>
    <row r="878" spans="1:11" hidden="1" collapsed="1">
      <c r="F878" s="209"/>
    </row>
    <row r="879" spans="1:11" hidden="1">
      <c r="F879" s="209"/>
    </row>
    <row r="880" spans="1:11" hidden="1">
      <c r="F880" s="209"/>
    </row>
    <row r="881" spans="4:6" hidden="1">
      <c r="F881" s="209"/>
    </row>
    <row r="882" spans="4:6" hidden="1">
      <c r="F882" s="209"/>
    </row>
    <row r="883" spans="4:6" hidden="1">
      <c r="F883" s="209"/>
    </row>
    <row r="884" spans="4:6" hidden="1">
      <c r="D884" s="2"/>
      <c r="F884" s="209"/>
    </row>
    <row r="885" spans="4:6" hidden="1">
      <c r="D885" s="2"/>
      <c r="F885" s="209"/>
    </row>
    <row r="886" spans="4:6" hidden="1">
      <c r="D886" s="2"/>
      <c r="F886" s="209"/>
    </row>
    <row r="887" spans="4:6" hidden="1">
      <c r="D887" s="2"/>
      <c r="F887" s="209"/>
    </row>
    <row r="888" spans="4:6" hidden="1">
      <c r="D888" s="2"/>
      <c r="F888" s="209"/>
    </row>
    <row r="889" spans="4:6" hidden="1">
      <c r="D889" s="2"/>
      <c r="F889" s="209"/>
    </row>
    <row r="890" spans="4:6" hidden="1">
      <c r="D890" s="2"/>
      <c r="F890" s="209"/>
    </row>
    <row r="891" spans="4:6" hidden="1">
      <c r="D891" s="2"/>
      <c r="F891" s="209"/>
    </row>
    <row r="892" spans="4:6" hidden="1">
      <c r="D892" s="2"/>
      <c r="F892" s="209"/>
    </row>
    <row r="893" spans="4:6" hidden="1">
      <c r="D893" s="2"/>
      <c r="F893" s="209"/>
    </row>
    <row r="894" spans="4:6" hidden="1">
      <c r="D894" s="2"/>
      <c r="F894" s="209"/>
    </row>
    <row r="895" spans="4:6" hidden="1">
      <c r="D895" s="2"/>
      <c r="F895" s="209"/>
    </row>
    <row r="896" spans="4:6" hidden="1">
      <c r="D896" s="2"/>
      <c r="F896" s="209"/>
    </row>
    <row r="897" spans="4:6" hidden="1">
      <c r="D897" s="2"/>
      <c r="F897" s="209"/>
    </row>
    <row r="898" spans="4:6" hidden="1">
      <c r="D898" s="2"/>
      <c r="F898" s="209"/>
    </row>
    <row r="899" spans="4:6" hidden="1">
      <c r="D899" s="2"/>
      <c r="F899" s="209"/>
    </row>
    <row r="900" spans="4:6" hidden="1">
      <c r="D900" s="2"/>
      <c r="F900" s="209"/>
    </row>
    <row r="901" spans="4:6" hidden="1">
      <c r="D901" s="2"/>
      <c r="F901" s="209"/>
    </row>
    <row r="902" spans="4:6" hidden="1">
      <c r="D902" s="2"/>
      <c r="F902" s="209"/>
    </row>
    <row r="903" spans="4:6" hidden="1">
      <c r="D903" s="2"/>
      <c r="F903" s="209"/>
    </row>
    <row r="904" spans="4:6" hidden="1">
      <c r="D904" s="2"/>
      <c r="F904" s="209"/>
    </row>
    <row r="905" spans="4:6" hidden="1">
      <c r="D905" s="2"/>
      <c r="F905" s="209"/>
    </row>
    <row r="906" spans="4:6" hidden="1">
      <c r="D906" s="2"/>
      <c r="F906" s="209"/>
    </row>
    <row r="907" spans="4:6" hidden="1">
      <c r="D907" s="2"/>
      <c r="F907" s="209"/>
    </row>
    <row r="908" spans="4:6" hidden="1">
      <c r="D908" s="2"/>
      <c r="F908" s="209"/>
    </row>
    <row r="909" spans="4:6" hidden="1">
      <c r="D909" s="2"/>
      <c r="F909" s="209"/>
    </row>
    <row r="910" spans="4:6" hidden="1">
      <c r="D910" s="2"/>
      <c r="F910" s="209"/>
    </row>
    <row r="911" spans="4:6" hidden="1">
      <c r="D911" s="2"/>
      <c r="F911" s="209"/>
    </row>
    <row r="912" spans="4:6" hidden="1">
      <c r="D912" s="2"/>
      <c r="F912" s="209"/>
    </row>
    <row r="913" spans="4:6" hidden="1">
      <c r="D913" s="2"/>
      <c r="F913" s="209"/>
    </row>
    <row r="914" spans="4:6" hidden="1">
      <c r="D914" s="2"/>
      <c r="F914" s="209"/>
    </row>
    <row r="915" spans="4:6" hidden="1">
      <c r="D915" s="2"/>
      <c r="F915" s="209"/>
    </row>
    <row r="916" spans="4:6" hidden="1">
      <c r="D916" s="2"/>
      <c r="F916" s="209"/>
    </row>
    <row r="917" spans="4:6" hidden="1">
      <c r="D917" s="2"/>
      <c r="F917" s="209"/>
    </row>
    <row r="918" spans="4:6" hidden="1">
      <c r="D918" s="2"/>
      <c r="F918" s="209"/>
    </row>
    <row r="919" spans="4:6" hidden="1">
      <c r="D919" s="2"/>
      <c r="F919" s="209"/>
    </row>
    <row r="920" spans="4:6" hidden="1">
      <c r="D920" s="2"/>
      <c r="F920" s="209"/>
    </row>
    <row r="921" spans="4:6" hidden="1">
      <c r="D921" s="2"/>
      <c r="F921" s="209"/>
    </row>
    <row r="922" spans="4:6" hidden="1">
      <c r="D922" s="2"/>
      <c r="F922" s="209"/>
    </row>
    <row r="923" spans="4:6" hidden="1">
      <c r="D923" s="2"/>
      <c r="F923" s="209"/>
    </row>
    <row r="924" spans="4:6" hidden="1">
      <c r="D924" s="2"/>
      <c r="F924" s="209"/>
    </row>
    <row r="925" spans="4:6" hidden="1">
      <c r="D925" s="2"/>
      <c r="F925" s="209"/>
    </row>
    <row r="926" spans="4:6" hidden="1">
      <c r="D926" s="2"/>
      <c r="F926" s="209"/>
    </row>
    <row r="927" spans="4:6" hidden="1">
      <c r="D927" s="2"/>
      <c r="F927" s="209"/>
    </row>
    <row r="928" spans="4:6" hidden="1">
      <c r="D928" s="2"/>
      <c r="F928" s="209"/>
    </row>
    <row r="929" spans="4:6" hidden="1">
      <c r="D929" s="2"/>
      <c r="F929" s="209"/>
    </row>
    <row r="930" spans="4:6" hidden="1">
      <c r="D930" s="2"/>
      <c r="F930" s="209"/>
    </row>
    <row r="931" spans="4:6" hidden="1">
      <c r="D931" s="2"/>
      <c r="F931" s="209"/>
    </row>
    <row r="932" spans="4:6" hidden="1">
      <c r="D932" s="2"/>
      <c r="F932" s="209"/>
    </row>
    <row r="933" spans="4:6" hidden="1">
      <c r="D933" s="2"/>
      <c r="F933" s="209"/>
    </row>
    <row r="934" spans="4:6" hidden="1">
      <c r="D934" s="2"/>
      <c r="F934" s="209"/>
    </row>
    <row r="935" spans="4:6" hidden="1">
      <c r="D935" s="2"/>
      <c r="F935" s="209"/>
    </row>
    <row r="936" spans="4:6" hidden="1">
      <c r="D936" s="2"/>
      <c r="F936" s="209"/>
    </row>
    <row r="937" spans="4:6" hidden="1">
      <c r="D937" s="2"/>
      <c r="F937" s="209"/>
    </row>
    <row r="938" spans="4:6" hidden="1">
      <c r="D938" s="2"/>
      <c r="F938" s="209"/>
    </row>
    <row r="939" spans="4:6" hidden="1">
      <c r="D939" s="2"/>
      <c r="F939" s="209"/>
    </row>
    <row r="940" spans="4:6" hidden="1">
      <c r="D940" s="2"/>
      <c r="F940" s="209"/>
    </row>
    <row r="941" spans="4:6" hidden="1">
      <c r="D941" s="2"/>
      <c r="F941" s="209"/>
    </row>
    <row r="942" spans="4:6" hidden="1">
      <c r="D942" s="2"/>
      <c r="F942" s="209"/>
    </row>
    <row r="943" spans="4:6" hidden="1">
      <c r="D943" s="2"/>
      <c r="F943" s="209"/>
    </row>
    <row r="944" spans="4:6" hidden="1">
      <c r="D944" s="2"/>
      <c r="F944" s="209"/>
    </row>
    <row r="945" spans="4:6" hidden="1">
      <c r="D945" s="2"/>
      <c r="F945" s="209"/>
    </row>
    <row r="946" spans="4:6" hidden="1">
      <c r="D946" s="2"/>
      <c r="F946" s="209"/>
    </row>
    <row r="947" spans="4:6" hidden="1">
      <c r="D947" s="2"/>
      <c r="F947" s="209"/>
    </row>
    <row r="948" spans="4:6" hidden="1">
      <c r="D948" s="2"/>
      <c r="F948" s="209"/>
    </row>
    <row r="949" spans="4:6" hidden="1">
      <c r="D949" s="2"/>
      <c r="F949" s="209"/>
    </row>
    <row r="950" spans="4:6" hidden="1">
      <c r="D950" s="2"/>
      <c r="F950" s="209"/>
    </row>
    <row r="951" spans="4:6" hidden="1">
      <c r="D951" s="2"/>
      <c r="F951" s="209"/>
    </row>
    <row r="952" spans="4:6" hidden="1">
      <c r="D952" s="2"/>
      <c r="F952" s="209"/>
    </row>
    <row r="953" spans="4:6" hidden="1">
      <c r="D953" s="2"/>
      <c r="F953" s="209"/>
    </row>
    <row r="954" spans="4:6" hidden="1">
      <c r="D954" s="2"/>
      <c r="F954" s="209"/>
    </row>
    <row r="955" spans="4:6" hidden="1">
      <c r="D955" s="2"/>
      <c r="F955" s="209"/>
    </row>
    <row r="956" spans="4:6" hidden="1">
      <c r="D956" s="2"/>
      <c r="F956" s="209"/>
    </row>
    <row r="957" spans="4:6" hidden="1">
      <c r="D957" s="2"/>
      <c r="F957" s="209"/>
    </row>
    <row r="958" spans="4:6" hidden="1">
      <c r="D958" s="2"/>
      <c r="F958" s="209"/>
    </row>
    <row r="959" spans="4:6" hidden="1">
      <c r="D959" s="2"/>
      <c r="F959" s="209"/>
    </row>
    <row r="960" spans="4:6" hidden="1">
      <c r="D960" s="2"/>
      <c r="F960" s="209"/>
    </row>
    <row r="961" spans="4:6" hidden="1">
      <c r="D961" s="2"/>
      <c r="F961" s="209"/>
    </row>
    <row r="962" spans="4:6" hidden="1">
      <c r="D962" s="2"/>
      <c r="F962" s="209"/>
    </row>
    <row r="963" spans="4:6" hidden="1">
      <c r="D963" s="2"/>
      <c r="F963" s="209"/>
    </row>
    <row r="964" spans="4:6" hidden="1">
      <c r="D964" s="2"/>
      <c r="F964" s="209"/>
    </row>
    <row r="965" spans="4:6" hidden="1">
      <c r="D965" s="2"/>
      <c r="F965" s="209"/>
    </row>
    <row r="966" spans="4:6" hidden="1">
      <c r="D966" s="2"/>
      <c r="F966" s="209"/>
    </row>
    <row r="967" spans="4:6" hidden="1">
      <c r="D967" s="2"/>
      <c r="F967" s="209"/>
    </row>
    <row r="968" spans="4:6" hidden="1">
      <c r="D968" s="2"/>
      <c r="F968" s="209"/>
    </row>
    <row r="969" spans="4:6" hidden="1">
      <c r="D969" s="2"/>
      <c r="F969" s="209"/>
    </row>
    <row r="970" spans="4:6" hidden="1">
      <c r="D970" s="2"/>
      <c r="F970" s="209"/>
    </row>
    <row r="971" spans="4:6" hidden="1">
      <c r="D971" s="2"/>
      <c r="F971" s="209"/>
    </row>
    <row r="972" spans="4:6" hidden="1">
      <c r="D972" s="2"/>
      <c r="F972" s="209"/>
    </row>
    <row r="973" spans="4:6" hidden="1">
      <c r="D973" s="2"/>
      <c r="F973" s="209"/>
    </row>
    <row r="974" spans="4:6" hidden="1">
      <c r="D974" s="2"/>
      <c r="F974" s="209"/>
    </row>
    <row r="975" spans="4:6" hidden="1">
      <c r="D975" s="2"/>
      <c r="F975" s="209"/>
    </row>
    <row r="976" spans="4:6" hidden="1">
      <c r="D976" s="2"/>
      <c r="F976" s="209"/>
    </row>
    <row r="977" spans="4:6" hidden="1">
      <c r="D977" s="2"/>
      <c r="F977" s="209"/>
    </row>
    <row r="978" spans="4:6" hidden="1">
      <c r="D978" s="2"/>
      <c r="F978" s="209"/>
    </row>
    <row r="979" spans="4:6" hidden="1">
      <c r="D979" s="2"/>
      <c r="F979" s="209"/>
    </row>
    <row r="980" spans="4:6" hidden="1">
      <c r="D980" s="2"/>
      <c r="F980" s="209"/>
    </row>
    <row r="981" spans="4:6" hidden="1">
      <c r="D981" s="2"/>
      <c r="F981" s="209"/>
    </row>
    <row r="982" spans="4:6" hidden="1">
      <c r="D982" s="2"/>
      <c r="F982" s="209"/>
    </row>
    <row r="983" spans="4:6" hidden="1">
      <c r="D983" s="2"/>
      <c r="F983" s="209"/>
    </row>
    <row r="984" spans="4:6" hidden="1">
      <c r="D984" s="2"/>
      <c r="F984" s="209"/>
    </row>
    <row r="985" spans="4:6" hidden="1">
      <c r="D985" s="2"/>
      <c r="F985" s="209"/>
    </row>
    <row r="986" spans="4:6" hidden="1">
      <c r="D986" s="2"/>
      <c r="F986" s="209"/>
    </row>
    <row r="987" spans="4:6" hidden="1">
      <c r="D987" s="2"/>
      <c r="F987" s="209"/>
    </row>
    <row r="988" spans="4:6" hidden="1">
      <c r="D988" s="2"/>
      <c r="F988" s="209"/>
    </row>
    <row r="989" spans="4:6" hidden="1">
      <c r="D989" s="2"/>
      <c r="F989" s="209"/>
    </row>
    <row r="990" spans="4:6" hidden="1">
      <c r="D990" s="2"/>
      <c r="F990" s="209"/>
    </row>
    <row r="991" spans="4:6" hidden="1">
      <c r="D991" s="2"/>
      <c r="F991" s="209"/>
    </row>
    <row r="992" spans="4:6" hidden="1">
      <c r="D992" s="2"/>
      <c r="F992" s="209"/>
    </row>
    <row r="993" spans="4:6" hidden="1">
      <c r="D993" s="2"/>
      <c r="F993" s="209"/>
    </row>
    <row r="994" spans="4:6" hidden="1">
      <c r="D994" s="2"/>
      <c r="F994" s="209"/>
    </row>
    <row r="995" spans="4:6" hidden="1">
      <c r="D995" s="2"/>
      <c r="F995" s="209"/>
    </row>
    <row r="996" spans="4:6" hidden="1">
      <c r="D996" s="2"/>
      <c r="F996" s="209"/>
    </row>
    <row r="997" spans="4:6" hidden="1">
      <c r="D997" s="2"/>
      <c r="F997" s="209"/>
    </row>
    <row r="998" spans="4:6" hidden="1">
      <c r="D998" s="2"/>
      <c r="F998" s="209"/>
    </row>
    <row r="999" spans="4:6" hidden="1">
      <c r="D999" s="2"/>
      <c r="F999" s="209"/>
    </row>
    <row r="1000" spans="4:6" hidden="1">
      <c r="D1000" s="2"/>
      <c r="F1000" s="209"/>
    </row>
    <row r="1001" spans="4:6" hidden="1">
      <c r="D1001" s="2"/>
      <c r="F1001" s="209"/>
    </row>
    <row r="1002" spans="4:6" hidden="1">
      <c r="D1002" s="2"/>
      <c r="F1002" s="209"/>
    </row>
    <row r="1003" spans="4:6" hidden="1">
      <c r="D1003" s="2"/>
      <c r="F1003" s="209"/>
    </row>
    <row r="1004" spans="4:6" hidden="1">
      <c r="D1004" s="2"/>
      <c r="F1004" s="209"/>
    </row>
    <row r="1005" spans="4:6" hidden="1">
      <c r="D1005" s="2"/>
      <c r="F1005" s="209"/>
    </row>
    <row r="1006" spans="4:6" hidden="1">
      <c r="D1006" s="2"/>
      <c r="F1006" s="209"/>
    </row>
    <row r="1007" spans="4:6" hidden="1">
      <c r="D1007" s="2"/>
      <c r="F1007" s="209"/>
    </row>
    <row r="1008" spans="4:6" hidden="1">
      <c r="D1008" s="2"/>
      <c r="F1008" s="209"/>
    </row>
    <row r="1009" spans="4:6" hidden="1">
      <c r="D1009" s="2"/>
      <c r="F1009" s="209"/>
    </row>
    <row r="1010" spans="4:6" hidden="1">
      <c r="D1010" s="2"/>
      <c r="F1010" s="209"/>
    </row>
    <row r="1011" spans="4:6" hidden="1">
      <c r="D1011" s="2"/>
      <c r="F1011" s="209"/>
    </row>
    <row r="1012" spans="4:6" hidden="1">
      <c r="D1012" s="2"/>
      <c r="F1012" s="209"/>
    </row>
    <row r="1013" spans="4:6" hidden="1">
      <c r="D1013" s="2"/>
      <c r="F1013" s="209"/>
    </row>
    <row r="1014" spans="4:6" hidden="1">
      <c r="D1014" s="2"/>
      <c r="F1014" s="209"/>
    </row>
    <row r="1015" spans="4:6" hidden="1">
      <c r="D1015" s="2"/>
      <c r="F1015" s="209"/>
    </row>
    <row r="1016" spans="4:6" hidden="1">
      <c r="D1016" s="2"/>
      <c r="F1016" s="209"/>
    </row>
    <row r="1017" spans="4:6" hidden="1">
      <c r="D1017" s="2"/>
      <c r="F1017" s="209"/>
    </row>
    <row r="1018" spans="4:6" hidden="1">
      <c r="D1018" s="2"/>
      <c r="F1018" s="209"/>
    </row>
    <row r="1019" spans="4:6" hidden="1">
      <c r="D1019" s="2"/>
      <c r="F1019" s="209"/>
    </row>
    <row r="1020" spans="4:6" hidden="1">
      <c r="D1020" s="2"/>
      <c r="F1020" s="209"/>
    </row>
    <row r="1021" spans="4:6" hidden="1">
      <c r="D1021" s="2"/>
      <c r="F1021" s="209"/>
    </row>
    <row r="1022" spans="4:6" hidden="1">
      <c r="D1022" s="2"/>
      <c r="F1022" s="209"/>
    </row>
    <row r="1023" spans="4:6" hidden="1">
      <c r="D1023" s="2"/>
      <c r="F1023" s="209"/>
    </row>
    <row r="1024" spans="4:6" hidden="1">
      <c r="D1024" s="2"/>
      <c r="F1024" s="209"/>
    </row>
    <row r="1025" spans="4:6" hidden="1">
      <c r="D1025" s="2"/>
      <c r="F1025" s="209"/>
    </row>
    <row r="1026" spans="4:6" hidden="1">
      <c r="D1026" s="2"/>
      <c r="F1026" s="209"/>
    </row>
    <row r="1027" spans="4:6" hidden="1">
      <c r="D1027" s="2"/>
      <c r="F1027" s="209"/>
    </row>
    <row r="1028" spans="4:6" hidden="1">
      <c r="D1028" s="2"/>
      <c r="F1028" s="209"/>
    </row>
    <row r="1029" spans="4:6" hidden="1">
      <c r="D1029" s="2"/>
      <c r="F1029" s="209"/>
    </row>
    <row r="1030" spans="4:6" hidden="1">
      <c r="D1030" s="2"/>
      <c r="F1030" s="209"/>
    </row>
    <row r="1031" spans="4:6" hidden="1">
      <c r="D1031" s="2"/>
      <c r="F1031" s="209"/>
    </row>
    <row r="1032" spans="4:6" hidden="1">
      <c r="D1032" s="2"/>
      <c r="F1032" s="209"/>
    </row>
    <row r="1033" spans="4:6" hidden="1">
      <c r="D1033" s="2"/>
      <c r="F1033" s="209"/>
    </row>
    <row r="1034" spans="4:6" hidden="1">
      <c r="D1034" s="2"/>
      <c r="F1034" s="209"/>
    </row>
    <row r="1035" spans="4:6" hidden="1">
      <c r="D1035" s="2"/>
      <c r="F1035" s="209"/>
    </row>
    <row r="1036" spans="4:6" hidden="1">
      <c r="D1036" s="2"/>
      <c r="F1036" s="209"/>
    </row>
    <row r="1037" spans="4:6" hidden="1">
      <c r="D1037" s="2"/>
      <c r="F1037" s="209"/>
    </row>
    <row r="1038" spans="4:6" hidden="1">
      <c r="D1038" s="2"/>
      <c r="F1038" s="209"/>
    </row>
    <row r="1039" spans="4:6" hidden="1">
      <c r="D1039" s="2"/>
      <c r="F1039" s="209"/>
    </row>
    <row r="1040" spans="4:6" hidden="1">
      <c r="D1040" s="2"/>
      <c r="F1040" s="209"/>
    </row>
    <row r="1041" spans="4:6" hidden="1">
      <c r="D1041" s="2"/>
      <c r="F1041" s="209"/>
    </row>
    <row r="1042" spans="4:6" hidden="1">
      <c r="D1042" s="2"/>
      <c r="F1042" s="209"/>
    </row>
    <row r="1043" spans="4:6" hidden="1">
      <c r="D1043" s="2"/>
      <c r="F1043" s="209"/>
    </row>
    <row r="1044" spans="4:6" hidden="1">
      <c r="D1044" s="2"/>
      <c r="F1044" s="209"/>
    </row>
    <row r="1045" spans="4:6" hidden="1">
      <c r="D1045" s="2"/>
      <c r="F1045" s="209"/>
    </row>
    <row r="1046" spans="4:6" hidden="1">
      <c r="D1046" s="2"/>
      <c r="F1046" s="209"/>
    </row>
    <row r="1047" spans="4:6" hidden="1">
      <c r="D1047" s="2"/>
      <c r="F1047" s="209"/>
    </row>
    <row r="1048" spans="4:6" hidden="1">
      <c r="D1048" s="2"/>
      <c r="F1048" s="209"/>
    </row>
    <row r="1049" spans="4:6" hidden="1">
      <c r="D1049" s="2"/>
      <c r="F1049" s="209"/>
    </row>
    <row r="1050" spans="4:6" hidden="1">
      <c r="D1050" s="2"/>
      <c r="F1050" s="209"/>
    </row>
    <row r="1051" spans="4:6" hidden="1">
      <c r="D1051" s="2"/>
      <c r="F1051" s="209"/>
    </row>
    <row r="1052" spans="4:6" hidden="1">
      <c r="D1052" s="2"/>
      <c r="F1052" s="209"/>
    </row>
    <row r="1053" spans="4:6" hidden="1">
      <c r="D1053" s="2"/>
      <c r="F1053" s="209"/>
    </row>
    <row r="1054" spans="4:6" hidden="1">
      <c r="D1054" s="2"/>
      <c r="F1054" s="209"/>
    </row>
    <row r="1055" spans="4:6" hidden="1">
      <c r="D1055" s="2"/>
      <c r="F1055" s="209"/>
    </row>
    <row r="1056" spans="4:6" hidden="1">
      <c r="D1056" s="2"/>
      <c r="F1056" s="209"/>
    </row>
    <row r="1057" spans="4:6" hidden="1">
      <c r="D1057" s="2"/>
      <c r="F1057" s="209"/>
    </row>
    <row r="1058" spans="4:6" hidden="1">
      <c r="D1058" s="2"/>
      <c r="F1058" s="209"/>
    </row>
    <row r="1059" spans="4:6" hidden="1">
      <c r="D1059" s="2"/>
      <c r="F1059" s="209"/>
    </row>
    <row r="1060" spans="4:6" hidden="1">
      <c r="D1060" s="2"/>
      <c r="F1060" s="209"/>
    </row>
    <row r="1061" spans="4:6" hidden="1">
      <c r="D1061" s="2"/>
      <c r="F1061" s="209"/>
    </row>
    <row r="1062" spans="4:6" hidden="1">
      <c r="D1062" s="2"/>
      <c r="F1062" s="209"/>
    </row>
    <row r="1063" spans="4:6" hidden="1">
      <c r="D1063" s="2"/>
      <c r="F1063" s="209"/>
    </row>
    <row r="1064" spans="4:6" hidden="1">
      <c r="D1064" s="2"/>
      <c r="F1064" s="209"/>
    </row>
    <row r="1065" spans="4:6" hidden="1">
      <c r="D1065" s="2"/>
      <c r="F1065" s="209"/>
    </row>
    <row r="1066" spans="4:6" hidden="1">
      <c r="D1066" s="2"/>
      <c r="F1066" s="209"/>
    </row>
    <row r="1067" spans="4:6" hidden="1">
      <c r="D1067" s="2"/>
      <c r="F1067" s="209"/>
    </row>
    <row r="1068" spans="4:6" hidden="1">
      <c r="D1068" s="2"/>
      <c r="F1068" s="209"/>
    </row>
    <row r="1069" spans="4:6" hidden="1">
      <c r="D1069" s="2"/>
      <c r="F1069" s="209"/>
    </row>
    <row r="1070" spans="4:6" hidden="1">
      <c r="D1070" s="2"/>
      <c r="F1070" s="209"/>
    </row>
    <row r="1071" spans="4:6" hidden="1">
      <c r="D1071" s="2"/>
      <c r="F1071" s="209"/>
    </row>
    <row r="1072" spans="4:6" hidden="1">
      <c r="D1072" s="2"/>
      <c r="F1072" s="209"/>
    </row>
    <row r="1073" spans="4:6" hidden="1">
      <c r="D1073" s="2"/>
      <c r="F1073" s="209"/>
    </row>
    <row r="1074" spans="4:6" hidden="1">
      <c r="D1074" s="2"/>
      <c r="F1074" s="209"/>
    </row>
    <row r="1075" spans="4:6" hidden="1">
      <c r="D1075" s="2"/>
      <c r="F1075" s="209"/>
    </row>
    <row r="1076" spans="4:6" hidden="1">
      <c r="D1076" s="2"/>
      <c r="F1076" s="209"/>
    </row>
    <row r="1077" spans="4:6" hidden="1">
      <c r="D1077" s="2"/>
      <c r="F1077" s="209"/>
    </row>
    <row r="1078" spans="4:6" hidden="1">
      <c r="D1078" s="2"/>
      <c r="F1078" s="209"/>
    </row>
    <row r="1079" spans="4:6" hidden="1">
      <c r="D1079" s="2"/>
      <c r="F1079" s="209"/>
    </row>
    <row r="1080" spans="4:6" hidden="1">
      <c r="D1080" s="2"/>
      <c r="F1080" s="209"/>
    </row>
    <row r="1081" spans="4:6" hidden="1">
      <c r="D1081" s="2"/>
      <c r="F1081" s="209"/>
    </row>
    <row r="1082" spans="4:6" hidden="1">
      <c r="D1082" s="2"/>
      <c r="F1082" s="209"/>
    </row>
    <row r="1083" spans="4:6" hidden="1">
      <c r="D1083" s="2"/>
      <c r="F1083" s="209"/>
    </row>
    <row r="1084" spans="4:6" hidden="1">
      <c r="D1084" s="2"/>
      <c r="F1084" s="209"/>
    </row>
    <row r="1085" spans="4:6" hidden="1">
      <c r="D1085" s="2"/>
      <c r="F1085" s="209"/>
    </row>
    <row r="1086" spans="4:6" hidden="1">
      <c r="D1086" s="2"/>
      <c r="F1086" s="209"/>
    </row>
    <row r="1087" spans="4:6" hidden="1">
      <c r="D1087" s="2"/>
      <c r="F1087" s="209"/>
    </row>
    <row r="1088" spans="4:6" hidden="1">
      <c r="D1088" s="2"/>
      <c r="F1088" s="209"/>
    </row>
    <row r="1089" spans="4:6" hidden="1">
      <c r="D1089" s="2"/>
      <c r="F1089" s="209"/>
    </row>
    <row r="1090" spans="4:6" hidden="1">
      <c r="D1090" s="2"/>
      <c r="F1090" s="209"/>
    </row>
    <row r="1091" spans="4:6" hidden="1">
      <c r="D1091" s="2"/>
      <c r="F1091" s="209"/>
    </row>
    <row r="1092" spans="4:6" hidden="1">
      <c r="D1092" s="2"/>
      <c r="F1092" s="209"/>
    </row>
    <row r="1093" spans="4:6" hidden="1">
      <c r="D1093" s="2"/>
      <c r="F1093" s="209"/>
    </row>
    <row r="1094" spans="4:6" hidden="1">
      <c r="D1094" s="2"/>
      <c r="F1094" s="209"/>
    </row>
    <row r="1095" spans="4:6" hidden="1">
      <c r="D1095" s="2"/>
      <c r="F1095" s="209"/>
    </row>
    <row r="1096" spans="4:6" hidden="1">
      <c r="D1096" s="2"/>
      <c r="F1096" s="209"/>
    </row>
    <row r="1097" spans="4:6" hidden="1">
      <c r="D1097" s="2"/>
      <c r="F1097" s="209"/>
    </row>
    <row r="1098" spans="4:6" hidden="1">
      <c r="D1098" s="2"/>
      <c r="F1098" s="209"/>
    </row>
    <row r="1099" spans="4:6" hidden="1">
      <c r="D1099" s="2"/>
      <c r="F1099" s="209"/>
    </row>
    <row r="1100" spans="4:6" hidden="1">
      <c r="D1100" s="2"/>
      <c r="F1100" s="209"/>
    </row>
    <row r="1101" spans="4:6" hidden="1">
      <c r="D1101" s="2"/>
      <c r="F1101" s="209"/>
    </row>
    <row r="1102" spans="4:6" hidden="1">
      <c r="D1102" s="2"/>
      <c r="F1102" s="209"/>
    </row>
    <row r="1103" spans="4:6" hidden="1">
      <c r="D1103" s="2"/>
      <c r="F1103" s="209"/>
    </row>
    <row r="1104" spans="4:6" hidden="1">
      <c r="D1104" s="2"/>
      <c r="F1104" s="209"/>
    </row>
    <row r="1105" spans="4:6" hidden="1">
      <c r="D1105" s="2"/>
      <c r="F1105" s="209"/>
    </row>
    <row r="1106" spans="4:6" hidden="1">
      <c r="D1106" s="2"/>
      <c r="F1106" s="209"/>
    </row>
    <row r="1107" spans="4:6" hidden="1">
      <c r="D1107" s="2"/>
      <c r="F1107" s="209"/>
    </row>
    <row r="1108" spans="4:6" hidden="1">
      <c r="D1108" s="2"/>
      <c r="F1108" s="209"/>
    </row>
    <row r="1109" spans="4:6" hidden="1">
      <c r="D1109" s="2"/>
      <c r="F1109" s="209"/>
    </row>
    <row r="1110" spans="4:6" hidden="1">
      <c r="D1110" s="2"/>
      <c r="F1110" s="209"/>
    </row>
    <row r="1111" spans="4:6" hidden="1">
      <c r="D1111" s="2"/>
      <c r="F1111" s="209"/>
    </row>
    <row r="1112" spans="4:6" hidden="1">
      <c r="D1112" s="2"/>
      <c r="F1112" s="209"/>
    </row>
    <row r="1113" spans="4:6" hidden="1">
      <c r="D1113" s="2"/>
      <c r="F1113" s="209"/>
    </row>
    <row r="1114" spans="4:6" hidden="1">
      <c r="D1114" s="2"/>
      <c r="F1114" s="209"/>
    </row>
    <row r="1115" spans="4:6" hidden="1">
      <c r="D1115" s="2"/>
      <c r="F1115" s="209"/>
    </row>
    <row r="1116" spans="4:6" hidden="1">
      <c r="D1116" s="2"/>
      <c r="F1116" s="209"/>
    </row>
    <row r="1117" spans="4:6" hidden="1">
      <c r="D1117" s="2"/>
      <c r="F1117" s="209"/>
    </row>
    <row r="1118" spans="4:6" hidden="1">
      <c r="D1118" s="2"/>
      <c r="F1118" s="209"/>
    </row>
    <row r="1119" spans="4:6" hidden="1">
      <c r="D1119" s="2"/>
      <c r="F1119" s="209"/>
    </row>
    <row r="1120" spans="4:6" hidden="1">
      <c r="D1120" s="2"/>
      <c r="F1120" s="209"/>
    </row>
    <row r="1121" spans="4:6" hidden="1">
      <c r="D1121" s="2"/>
      <c r="F1121" s="209"/>
    </row>
    <row r="1122" spans="4:6" hidden="1">
      <c r="D1122" s="2"/>
      <c r="F1122" s="209"/>
    </row>
    <row r="1123" spans="4:6" hidden="1">
      <c r="D1123" s="2"/>
      <c r="F1123" s="209"/>
    </row>
    <row r="1124" spans="4:6" hidden="1">
      <c r="D1124" s="2"/>
      <c r="F1124" s="209"/>
    </row>
    <row r="1125" spans="4:6" hidden="1">
      <c r="D1125" s="2"/>
      <c r="F1125" s="209"/>
    </row>
    <row r="1126" spans="4:6" hidden="1">
      <c r="D1126" s="2"/>
      <c r="F1126" s="209"/>
    </row>
    <row r="1127" spans="4:6" hidden="1">
      <c r="D1127" s="2"/>
      <c r="F1127" s="209"/>
    </row>
    <row r="1128" spans="4:6" hidden="1">
      <c r="D1128" s="2"/>
      <c r="F1128" s="209"/>
    </row>
    <row r="1129" spans="4:6" hidden="1">
      <c r="D1129" s="2"/>
      <c r="F1129" s="209"/>
    </row>
    <row r="1130" spans="4:6" hidden="1">
      <c r="D1130" s="2"/>
      <c r="F1130" s="209"/>
    </row>
    <row r="1131" spans="4:6" hidden="1">
      <c r="D1131" s="2"/>
      <c r="F1131" s="209"/>
    </row>
    <row r="1132" spans="4:6" hidden="1">
      <c r="D1132" s="2"/>
      <c r="F1132" s="209"/>
    </row>
    <row r="1133" spans="4:6" hidden="1">
      <c r="D1133" s="2"/>
      <c r="F1133" s="209"/>
    </row>
    <row r="1134" spans="4:6" hidden="1">
      <c r="D1134" s="2"/>
      <c r="F1134" s="209"/>
    </row>
    <row r="1135" spans="4:6" hidden="1">
      <c r="D1135" s="2"/>
      <c r="F1135" s="209"/>
    </row>
    <row r="1136" spans="4:6" hidden="1">
      <c r="D1136" s="2"/>
      <c r="F1136" s="209"/>
    </row>
    <row r="1137" spans="4:6" hidden="1">
      <c r="D1137" s="2"/>
      <c r="F1137" s="209"/>
    </row>
    <row r="1138" spans="4:6" hidden="1">
      <c r="D1138" s="2"/>
      <c r="F1138" s="209"/>
    </row>
    <row r="1139" spans="4:6" hidden="1">
      <c r="D1139" s="2"/>
      <c r="F1139" s="209"/>
    </row>
    <row r="1140" spans="4:6" hidden="1">
      <c r="D1140" s="2"/>
      <c r="F1140" s="209"/>
    </row>
    <row r="1141" spans="4:6" hidden="1">
      <c r="D1141" s="2"/>
      <c r="F1141" s="209"/>
    </row>
    <row r="1142" spans="4:6" hidden="1">
      <c r="D1142" s="2"/>
      <c r="F1142" s="209"/>
    </row>
    <row r="1143" spans="4:6" hidden="1">
      <c r="D1143" s="2"/>
      <c r="F1143" s="209"/>
    </row>
    <row r="1144" spans="4:6" hidden="1">
      <c r="D1144" s="2"/>
      <c r="F1144" s="209"/>
    </row>
    <row r="1145" spans="4:6" hidden="1">
      <c r="D1145" s="2"/>
      <c r="F1145" s="209"/>
    </row>
    <row r="1146" spans="4:6" hidden="1">
      <c r="D1146" s="2"/>
      <c r="F1146" s="209"/>
    </row>
    <row r="1147" spans="4:6" hidden="1">
      <c r="D1147" s="2"/>
      <c r="F1147" s="209"/>
    </row>
    <row r="1148" spans="4:6" hidden="1">
      <c r="D1148" s="2"/>
      <c r="F1148" s="209"/>
    </row>
    <row r="1149" spans="4:6" hidden="1">
      <c r="D1149" s="2"/>
      <c r="F1149" s="209"/>
    </row>
    <row r="1150" spans="4:6" hidden="1">
      <c r="D1150" s="2"/>
      <c r="F1150" s="209"/>
    </row>
    <row r="1151" spans="4:6" hidden="1">
      <c r="D1151" s="2"/>
      <c r="F1151" s="209"/>
    </row>
    <row r="1152" spans="4:6" hidden="1">
      <c r="D1152" s="2"/>
      <c r="F1152" s="209"/>
    </row>
    <row r="1153" spans="4:6" hidden="1">
      <c r="D1153" s="2"/>
      <c r="F1153" s="209"/>
    </row>
    <row r="1154" spans="4:6" hidden="1">
      <c r="D1154" s="2"/>
      <c r="F1154" s="209"/>
    </row>
    <row r="1155" spans="4:6" hidden="1">
      <c r="D1155" s="2"/>
      <c r="F1155" s="209"/>
    </row>
    <row r="1156" spans="4:6" hidden="1">
      <c r="D1156" s="2"/>
      <c r="F1156" s="209"/>
    </row>
    <row r="1157" spans="4:6" hidden="1">
      <c r="D1157" s="2"/>
      <c r="F1157" s="209"/>
    </row>
    <row r="1158" spans="4:6" hidden="1">
      <c r="D1158" s="2"/>
      <c r="F1158" s="209"/>
    </row>
    <row r="1159" spans="4:6" hidden="1">
      <c r="D1159" s="2"/>
      <c r="F1159" s="209"/>
    </row>
    <row r="1160" spans="4:6" hidden="1">
      <c r="D1160" s="2"/>
      <c r="F1160" s="209"/>
    </row>
    <row r="1161" spans="4:6" hidden="1">
      <c r="D1161" s="2"/>
      <c r="F1161" s="209"/>
    </row>
    <row r="1162" spans="4:6" hidden="1">
      <c r="D1162" s="2"/>
      <c r="F1162" s="209"/>
    </row>
    <row r="1163" spans="4:6" hidden="1">
      <c r="D1163" s="2"/>
      <c r="F1163" s="209"/>
    </row>
    <row r="1164" spans="4:6" hidden="1">
      <c r="D1164" s="2"/>
      <c r="F1164" s="209"/>
    </row>
    <row r="1165" spans="4:6" hidden="1">
      <c r="D1165" s="2"/>
      <c r="F1165" s="209"/>
    </row>
    <row r="1166" spans="4:6" hidden="1">
      <c r="D1166" s="2"/>
      <c r="F1166" s="209"/>
    </row>
    <row r="1167" spans="4:6" hidden="1">
      <c r="D1167" s="2"/>
      <c r="F1167" s="209"/>
    </row>
    <row r="1168" spans="4:6" hidden="1">
      <c r="D1168" s="2"/>
      <c r="F1168" s="209"/>
    </row>
    <row r="1169" spans="4:6" hidden="1">
      <c r="D1169" s="2"/>
      <c r="F1169" s="209"/>
    </row>
    <row r="1170" spans="4:6" hidden="1">
      <c r="D1170" s="2"/>
      <c r="F1170" s="209"/>
    </row>
    <row r="1171" spans="4:6" hidden="1">
      <c r="D1171" s="2"/>
      <c r="F1171" s="209"/>
    </row>
    <row r="1172" spans="4:6" hidden="1">
      <c r="D1172" s="2"/>
      <c r="F1172" s="209"/>
    </row>
    <row r="1173" spans="4:6" hidden="1">
      <c r="D1173" s="2"/>
      <c r="F1173" s="209"/>
    </row>
    <row r="1174" spans="4:6" hidden="1">
      <c r="D1174" s="2"/>
      <c r="F1174" s="209"/>
    </row>
    <row r="1175" spans="4:6" hidden="1">
      <c r="D1175" s="2"/>
      <c r="F1175" s="209"/>
    </row>
    <row r="1176" spans="4:6" hidden="1">
      <c r="D1176" s="2"/>
      <c r="F1176" s="209"/>
    </row>
    <row r="1177" spans="4:6" hidden="1">
      <c r="D1177" s="2"/>
      <c r="F1177" s="209"/>
    </row>
    <row r="1178" spans="4:6" hidden="1">
      <c r="D1178" s="2"/>
      <c r="F1178" s="209"/>
    </row>
    <row r="1179" spans="4:6" hidden="1">
      <c r="D1179" s="2"/>
      <c r="F1179" s="209"/>
    </row>
    <row r="1180" spans="4:6" hidden="1">
      <c r="D1180" s="2"/>
      <c r="F1180" s="209"/>
    </row>
    <row r="1181" spans="4:6" hidden="1">
      <c r="D1181" s="2"/>
      <c r="F1181" s="209"/>
    </row>
    <row r="1182" spans="4:6" hidden="1">
      <c r="D1182" s="2"/>
      <c r="F1182" s="209"/>
    </row>
    <row r="1183" spans="4:6" hidden="1">
      <c r="D1183" s="2"/>
      <c r="F1183" s="209"/>
    </row>
    <row r="1184" spans="4:6" hidden="1">
      <c r="D1184" s="2"/>
      <c r="F1184" s="209"/>
    </row>
    <row r="1185" spans="4:6" hidden="1">
      <c r="D1185" s="2"/>
      <c r="F1185" s="209"/>
    </row>
    <row r="1186" spans="4:6" hidden="1">
      <c r="D1186" s="2"/>
      <c r="F1186" s="209"/>
    </row>
    <row r="1187" spans="4:6" hidden="1">
      <c r="D1187" s="2"/>
      <c r="F1187" s="209"/>
    </row>
    <row r="1188" spans="4:6" hidden="1">
      <c r="D1188" s="2"/>
      <c r="F1188" s="209"/>
    </row>
    <row r="1189" spans="4:6" hidden="1">
      <c r="D1189" s="2"/>
      <c r="F1189" s="209"/>
    </row>
    <row r="1190" spans="4:6" hidden="1">
      <c r="D1190" s="2"/>
      <c r="F1190" s="209"/>
    </row>
    <row r="1191" spans="4:6" hidden="1">
      <c r="D1191" s="2"/>
      <c r="F1191" s="209"/>
    </row>
    <row r="1192" spans="4:6" hidden="1">
      <c r="D1192" s="2"/>
      <c r="F1192" s="209"/>
    </row>
    <row r="1193" spans="4:6" hidden="1">
      <c r="D1193" s="2"/>
      <c r="F1193" s="209"/>
    </row>
    <row r="1194" spans="4:6" hidden="1">
      <c r="D1194" s="2"/>
      <c r="F1194" s="209"/>
    </row>
    <row r="1195" spans="4:6" hidden="1">
      <c r="D1195" s="2"/>
      <c r="F1195" s="209"/>
    </row>
    <row r="1196" spans="4:6" hidden="1">
      <c r="D1196" s="2"/>
      <c r="F1196" s="209"/>
    </row>
    <row r="1197" spans="4:6" hidden="1">
      <c r="D1197" s="2"/>
      <c r="F1197" s="209"/>
    </row>
    <row r="1198" spans="4:6" hidden="1">
      <c r="D1198" s="2"/>
      <c r="F1198" s="209"/>
    </row>
    <row r="1199" spans="4:6" hidden="1">
      <c r="D1199" s="2"/>
      <c r="F1199" s="209"/>
    </row>
    <row r="1200" spans="4:6" hidden="1">
      <c r="D1200" s="2"/>
      <c r="F1200" s="209"/>
    </row>
    <row r="1201" spans="4:6" hidden="1">
      <c r="D1201" s="2"/>
      <c r="F1201" s="209"/>
    </row>
    <row r="1202" spans="4:6" hidden="1">
      <c r="D1202" s="2"/>
      <c r="F1202" s="209"/>
    </row>
    <row r="1203" spans="4:6" hidden="1">
      <c r="D1203" s="2"/>
      <c r="F1203" s="209"/>
    </row>
    <row r="1204" spans="4:6" hidden="1">
      <c r="D1204" s="2"/>
      <c r="F1204" s="209"/>
    </row>
    <row r="1205" spans="4:6" hidden="1">
      <c r="D1205" s="2"/>
      <c r="F1205" s="209"/>
    </row>
    <row r="1206" spans="4:6" hidden="1">
      <c r="D1206" s="2"/>
      <c r="F1206" s="209"/>
    </row>
    <row r="1207" spans="4:6" hidden="1">
      <c r="D1207" s="2"/>
      <c r="F1207" s="209"/>
    </row>
    <row r="1208" spans="4:6" hidden="1">
      <c r="D1208" s="2"/>
      <c r="F1208" s="209"/>
    </row>
    <row r="1209" spans="4:6" hidden="1">
      <c r="D1209" s="2"/>
      <c r="F1209" s="209"/>
    </row>
    <row r="1210" spans="4:6" hidden="1">
      <c r="D1210" s="2"/>
      <c r="F1210" s="209"/>
    </row>
    <row r="1211" spans="4:6" hidden="1">
      <c r="D1211" s="2"/>
      <c r="F1211" s="209"/>
    </row>
    <row r="1212" spans="4:6" hidden="1">
      <c r="D1212" s="2"/>
      <c r="F1212" s="209"/>
    </row>
    <row r="1213" spans="4:6" hidden="1">
      <c r="D1213" s="2"/>
      <c r="F1213" s="209"/>
    </row>
    <row r="1214" spans="4:6" hidden="1">
      <c r="D1214" s="2"/>
      <c r="F1214" s="209"/>
    </row>
    <row r="1215" spans="4:6" hidden="1">
      <c r="D1215" s="2"/>
      <c r="F1215" s="209"/>
    </row>
    <row r="1216" spans="4:6" hidden="1">
      <c r="D1216" s="2"/>
      <c r="F1216" s="209"/>
    </row>
    <row r="1217" spans="4:6" hidden="1">
      <c r="D1217" s="2"/>
      <c r="F1217" s="209"/>
    </row>
    <row r="1218" spans="4:6" hidden="1">
      <c r="D1218" s="2"/>
      <c r="F1218" s="209"/>
    </row>
    <row r="1219" spans="4:6" hidden="1">
      <c r="D1219" s="2"/>
      <c r="F1219" s="209"/>
    </row>
    <row r="1220" spans="4:6" hidden="1">
      <c r="D1220" s="2"/>
      <c r="F1220" s="209"/>
    </row>
    <row r="1221" spans="4:6" hidden="1">
      <c r="D1221" s="2"/>
      <c r="F1221" s="209"/>
    </row>
    <row r="1222" spans="4:6" hidden="1">
      <c r="D1222" s="2"/>
      <c r="F1222" s="209"/>
    </row>
    <row r="1223" spans="4:6" hidden="1">
      <c r="D1223" s="2"/>
      <c r="F1223" s="209"/>
    </row>
    <row r="1224" spans="4:6" hidden="1">
      <c r="D1224" s="2"/>
      <c r="F1224" s="209"/>
    </row>
    <row r="1225" spans="4:6" hidden="1">
      <c r="D1225" s="2"/>
      <c r="F1225" s="209"/>
    </row>
    <row r="1226" spans="4:6" hidden="1">
      <c r="D1226" s="2"/>
      <c r="F1226" s="209"/>
    </row>
    <row r="1227" spans="4:6" hidden="1">
      <c r="D1227" s="2"/>
      <c r="F1227" s="209"/>
    </row>
    <row r="1228" spans="4:6" hidden="1">
      <c r="D1228" s="2"/>
      <c r="F1228" s="209"/>
    </row>
    <row r="1229" spans="4:6" hidden="1">
      <c r="D1229" s="2"/>
      <c r="F1229" s="209"/>
    </row>
    <row r="1230" spans="4:6" hidden="1">
      <c r="D1230" s="2"/>
      <c r="F1230" s="209"/>
    </row>
    <row r="1231" spans="4:6" hidden="1">
      <c r="D1231" s="2"/>
      <c r="F1231" s="209"/>
    </row>
    <row r="1232" spans="4:6" hidden="1">
      <c r="D1232" s="2"/>
      <c r="F1232" s="209"/>
    </row>
    <row r="1233" spans="4:6" hidden="1">
      <c r="D1233" s="2"/>
      <c r="F1233" s="209"/>
    </row>
    <row r="1234" spans="4:6" hidden="1">
      <c r="D1234" s="2"/>
      <c r="F1234" s="209"/>
    </row>
    <row r="1235" spans="4:6" hidden="1">
      <c r="D1235" s="2"/>
      <c r="F1235" s="209"/>
    </row>
    <row r="1236" spans="4:6" hidden="1">
      <c r="D1236" s="2"/>
      <c r="F1236" s="209"/>
    </row>
    <row r="1237" spans="4:6" hidden="1">
      <c r="D1237" s="2"/>
      <c r="F1237" s="209"/>
    </row>
    <row r="1238" spans="4:6" hidden="1">
      <c r="D1238" s="2"/>
      <c r="F1238" s="209"/>
    </row>
    <row r="1239" spans="4:6" hidden="1">
      <c r="D1239" s="2"/>
      <c r="F1239" s="209"/>
    </row>
    <row r="1240" spans="4:6" hidden="1">
      <c r="D1240" s="2"/>
      <c r="F1240" s="209"/>
    </row>
    <row r="1241" spans="4:6" hidden="1">
      <c r="D1241" s="2"/>
      <c r="F1241" s="209"/>
    </row>
    <row r="1242" spans="4:6" hidden="1">
      <c r="D1242" s="2"/>
      <c r="F1242" s="209"/>
    </row>
    <row r="1243" spans="4:6" hidden="1">
      <c r="D1243" s="2"/>
      <c r="F1243" s="209"/>
    </row>
    <row r="1244" spans="4:6" hidden="1">
      <c r="D1244" s="2"/>
      <c r="F1244" s="209"/>
    </row>
    <row r="1245" spans="4:6" hidden="1">
      <c r="D1245" s="2"/>
      <c r="F1245" s="209"/>
    </row>
    <row r="1246" spans="4:6" hidden="1">
      <c r="D1246" s="2"/>
      <c r="F1246" s="209"/>
    </row>
    <row r="1247" spans="4:6" hidden="1">
      <c r="D1247" s="2"/>
      <c r="F1247" s="209"/>
    </row>
    <row r="1248" spans="4:6" hidden="1">
      <c r="D1248" s="2"/>
      <c r="F1248" s="209"/>
    </row>
    <row r="1249" spans="4:6" hidden="1">
      <c r="D1249" s="2"/>
      <c r="F1249" s="209"/>
    </row>
    <row r="1250" spans="4:6" hidden="1">
      <c r="D1250" s="2"/>
      <c r="F1250" s="209"/>
    </row>
    <row r="1251" spans="4:6" hidden="1">
      <c r="D1251" s="2"/>
      <c r="F1251" s="209"/>
    </row>
    <row r="1252" spans="4:6" hidden="1">
      <c r="D1252" s="2"/>
      <c r="F1252" s="209"/>
    </row>
    <row r="1253" spans="4:6" hidden="1">
      <c r="D1253" s="2"/>
      <c r="F1253" s="209"/>
    </row>
    <row r="1254" spans="4:6" hidden="1">
      <c r="D1254" s="2"/>
      <c r="F1254" s="209"/>
    </row>
    <row r="1255" spans="4:6" hidden="1">
      <c r="D1255" s="2"/>
      <c r="F1255" s="209"/>
    </row>
    <row r="1256" spans="4:6" hidden="1">
      <c r="D1256" s="2"/>
      <c r="F1256" s="209"/>
    </row>
    <row r="1257" spans="4:6" hidden="1">
      <c r="D1257" s="2"/>
      <c r="F1257" s="209"/>
    </row>
    <row r="1258" spans="4:6" hidden="1">
      <c r="D1258" s="2"/>
      <c r="F1258" s="209"/>
    </row>
    <row r="1259" spans="4:6" hidden="1">
      <c r="D1259" s="2"/>
      <c r="F1259" s="209"/>
    </row>
    <row r="1260" spans="4:6" hidden="1">
      <c r="D1260" s="2"/>
      <c r="F1260" s="209"/>
    </row>
    <row r="1261" spans="4:6" hidden="1">
      <c r="D1261" s="2"/>
      <c r="F1261" s="209"/>
    </row>
    <row r="1262" spans="4:6" hidden="1">
      <c r="D1262" s="2"/>
      <c r="F1262" s="209"/>
    </row>
    <row r="1263" spans="4:6" hidden="1">
      <c r="D1263" s="2"/>
      <c r="F1263" s="209"/>
    </row>
    <row r="1264" spans="4:6" hidden="1">
      <c r="D1264" s="2"/>
      <c r="F1264" s="209"/>
    </row>
    <row r="1265" spans="4:6" hidden="1">
      <c r="D1265" s="2"/>
      <c r="F1265" s="209"/>
    </row>
    <row r="1266" spans="4:6" hidden="1">
      <c r="D1266" s="2"/>
      <c r="F1266" s="209"/>
    </row>
    <row r="1267" spans="4:6" hidden="1">
      <c r="D1267" s="2"/>
      <c r="F1267" s="209"/>
    </row>
    <row r="1268" spans="4:6" hidden="1">
      <c r="D1268" s="2"/>
      <c r="F1268" s="209"/>
    </row>
    <row r="1269" spans="4:6" hidden="1">
      <c r="D1269" s="2"/>
      <c r="F1269" s="209"/>
    </row>
    <row r="1270" spans="4:6" hidden="1">
      <c r="D1270" s="2"/>
      <c r="F1270" s="209"/>
    </row>
    <row r="1271" spans="4:6" hidden="1">
      <c r="D1271" s="2"/>
      <c r="F1271" s="209"/>
    </row>
    <row r="1272" spans="4:6" hidden="1">
      <c r="D1272" s="2"/>
      <c r="F1272" s="209"/>
    </row>
    <row r="1273" spans="4:6" hidden="1">
      <c r="D1273" s="2"/>
      <c r="F1273" s="209"/>
    </row>
    <row r="1274" spans="4:6" hidden="1">
      <c r="D1274" s="2"/>
      <c r="F1274" s="209"/>
    </row>
    <row r="1275" spans="4:6" hidden="1">
      <c r="D1275" s="2"/>
      <c r="F1275" s="209"/>
    </row>
    <row r="1276" spans="4:6" hidden="1">
      <c r="D1276" s="2"/>
      <c r="F1276" s="209"/>
    </row>
    <row r="1277" spans="4:6" hidden="1">
      <c r="D1277" s="2"/>
      <c r="F1277" s="209"/>
    </row>
    <row r="1278" spans="4:6" hidden="1">
      <c r="D1278" s="2"/>
      <c r="F1278" s="209"/>
    </row>
    <row r="1279" spans="4:6" hidden="1">
      <c r="D1279" s="2"/>
      <c r="F1279" s="209"/>
    </row>
    <row r="1280" spans="4:6" hidden="1">
      <c r="D1280" s="2"/>
      <c r="F1280" s="209"/>
    </row>
    <row r="1281" spans="4:6" hidden="1">
      <c r="D1281" s="2"/>
      <c r="F1281" s="209"/>
    </row>
    <row r="1282" spans="4:6" hidden="1">
      <c r="D1282" s="2"/>
      <c r="F1282" s="209"/>
    </row>
    <row r="1283" spans="4:6" hidden="1">
      <c r="D1283" s="2"/>
      <c r="F1283" s="209"/>
    </row>
    <row r="1284" spans="4:6" hidden="1">
      <c r="D1284" s="2"/>
      <c r="F1284" s="209"/>
    </row>
    <row r="1285" spans="4:6" hidden="1">
      <c r="D1285" s="2"/>
      <c r="F1285" s="209"/>
    </row>
    <row r="1286" spans="4:6" hidden="1">
      <c r="D1286" s="2"/>
      <c r="F1286" s="209"/>
    </row>
    <row r="1287" spans="4:6" hidden="1">
      <c r="D1287" s="2"/>
      <c r="F1287" s="209"/>
    </row>
    <row r="1288" spans="4:6" hidden="1">
      <c r="D1288" s="2"/>
      <c r="F1288" s="209"/>
    </row>
    <row r="1289" spans="4:6" hidden="1">
      <c r="D1289" s="2"/>
      <c r="F1289" s="209"/>
    </row>
    <row r="1290" spans="4:6" hidden="1">
      <c r="D1290" s="2"/>
      <c r="F1290" s="209"/>
    </row>
    <row r="1291" spans="4:6" hidden="1">
      <c r="D1291" s="2"/>
      <c r="F1291" s="209"/>
    </row>
    <row r="1292" spans="4:6" hidden="1">
      <c r="D1292" s="2"/>
      <c r="F1292" s="209"/>
    </row>
    <row r="1293" spans="4:6" hidden="1">
      <c r="D1293" s="2"/>
      <c r="F1293" s="209"/>
    </row>
    <row r="1294" spans="4:6" hidden="1">
      <c r="D1294" s="2"/>
      <c r="F1294" s="209"/>
    </row>
    <row r="1295" spans="4:6" hidden="1">
      <c r="D1295" s="2"/>
      <c r="F1295" s="209"/>
    </row>
    <row r="1296" spans="4:6" hidden="1">
      <c r="D1296" s="2"/>
      <c r="F1296" s="209"/>
    </row>
    <row r="1297" spans="4:6" hidden="1">
      <c r="D1297" s="2"/>
      <c r="F1297" s="209"/>
    </row>
    <row r="1298" spans="4:6" hidden="1">
      <c r="D1298" s="2"/>
      <c r="F1298" s="209"/>
    </row>
    <row r="1299" spans="4:6" hidden="1">
      <c r="D1299" s="2"/>
      <c r="F1299" s="209"/>
    </row>
    <row r="1300" spans="4:6" hidden="1">
      <c r="D1300" s="2"/>
      <c r="F1300" s="209"/>
    </row>
    <row r="1301" spans="4:6" hidden="1">
      <c r="D1301" s="2"/>
      <c r="F1301" s="209"/>
    </row>
    <row r="1302" spans="4:6" hidden="1">
      <c r="D1302" s="2"/>
      <c r="F1302" s="209"/>
    </row>
    <row r="1303" spans="4:6" hidden="1">
      <c r="D1303" s="2"/>
      <c r="F1303" s="209"/>
    </row>
    <row r="1304" spans="4:6" hidden="1">
      <c r="D1304" s="2"/>
      <c r="F1304" s="209"/>
    </row>
    <row r="1305" spans="4:6" hidden="1">
      <c r="D1305" s="2"/>
      <c r="F1305" s="209"/>
    </row>
    <row r="1306" spans="4:6" hidden="1">
      <c r="D1306" s="2"/>
      <c r="F1306" s="209"/>
    </row>
    <row r="1307" spans="4:6" hidden="1">
      <c r="D1307" s="2"/>
      <c r="F1307" s="209"/>
    </row>
    <row r="1308" spans="4:6" hidden="1">
      <c r="D1308" s="2"/>
      <c r="F1308" s="209"/>
    </row>
    <row r="1309" spans="4:6" hidden="1">
      <c r="D1309" s="2"/>
      <c r="F1309" s="209"/>
    </row>
    <row r="1310" spans="4:6" hidden="1">
      <c r="D1310" s="2"/>
      <c r="F1310" s="209"/>
    </row>
    <row r="1311" spans="4:6" hidden="1">
      <c r="D1311" s="2"/>
      <c r="F1311" s="209"/>
    </row>
    <row r="1312" spans="4:6" hidden="1">
      <c r="D1312" s="2"/>
      <c r="F1312" s="209"/>
    </row>
    <row r="1313" spans="4:6" hidden="1">
      <c r="D1313" s="2"/>
      <c r="F1313" s="209"/>
    </row>
    <row r="1314" spans="4:6" hidden="1">
      <c r="D1314" s="2"/>
      <c r="F1314" s="209"/>
    </row>
    <row r="1315" spans="4:6" hidden="1">
      <c r="D1315" s="2"/>
      <c r="F1315" s="209"/>
    </row>
    <row r="1316" spans="4:6" hidden="1">
      <c r="D1316" s="2"/>
      <c r="F1316" s="209"/>
    </row>
    <row r="1317" spans="4:6" hidden="1">
      <c r="D1317" s="2"/>
      <c r="F1317" s="209"/>
    </row>
    <row r="1318" spans="4:6" hidden="1">
      <c r="D1318" s="2"/>
      <c r="F1318" s="209"/>
    </row>
    <row r="1319" spans="4:6" hidden="1">
      <c r="D1319" s="2"/>
      <c r="F1319" s="209"/>
    </row>
    <row r="1320" spans="4:6" hidden="1">
      <c r="D1320" s="2"/>
      <c r="F1320" s="209"/>
    </row>
    <row r="1321" spans="4:6" hidden="1">
      <c r="D1321" s="2"/>
      <c r="F1321" s="209"/>
    </row>
    <row r="1322" spans="4:6" hidden="1">
      <c r="D1322" s="2"/>
      <c r="F1322" s="209"/>
    </row>
    <row r="1323" spans="4:6" hidden="1">
      <c r="D1323" s="2"/>
      <c r="F1323" s="209"/>
    </row>
    <row r="1324" spans="4:6" hidden="1">
      <c r="D1324" s="2"/>
      <c r="F1324" s="209"/>
    </row>
    <row r="1325" spans="4:6" hidden="1">
      <c r="D1325" s="2"/>
      <c r="F1325" s="209"/>
    </row>
    <row r="1326" spans="4:6" hidden="1">
      <c r="D1326" s="2"/>
      <c r="F1326" s="209"/>
    </row>
    <row r="1327" spans="4:6" hidden="1">
      <c r="D1327" s="2"/>
      <c r="F1327" s="209"/>
    </row>
    <row r="1328" spans="4:6" hidden="1">
      <c r="D1328" s="2"/>
      <c r="F1328" s="209"/>
    </row>
    <row r="1329" spans="4:6" hidden="1">
      <c r="D1329" s="2"/>
      <c r="F1329" s="209"/>
    </row>
    <row r="1330" spans="4:6" hidden="1">
      <c r="D1330" s="2"/>
      <c r="F1330" s="209"/>
    </row>
    <row r="1331" spans="4:6" hidden="1">
      <c r="D1331" s="2"/>
      <c r="F1331" s="209"/>
    </row>
    <row r="1332" spans="4:6" hidden="1">
      <c r="D1332" s="2"/>
      <c r="F1332" s="209"/>
    </row>
    <row r="1333" spans="4:6" hidden="1">
      <c r="D1333" s="2"/>
      <c r="F1333" s="209"/>
    </row>
    <row r="1334" spans="4:6" hidden="1">
      <c r="D1334" s="2"/>
      <c r="F1334" s="209"/>
    </row>
    <row r="1335" spans="4:6" hidden="1">
      <c r="D1335" s="2"/>
      <c r="F1335" s="209"/>
    </row>
    <row r="1336" spans="4:6" hidden="1">
      <c r="D1336" s="2"/>
      <c r="F1336" s="209"/>
    </row>
    <row r="1337" spans="4:6" hidden="1">
      <c r="D1337" s="2"/>
      <c r="F1337" s="209"/>
    </row>
    <row r="1338" spans="4:6" hidden="1">
      <c r="D1338" s="2"/>
      <c r="F1338" s="209"/>
    </row>
    <row r="1339" spans="4:6" hidden="1">
      <c r="D1339" s="2"/>
      <c r="F1339" s="209"/>
    </row>
    <row r="1340" spans="4:6" hidden="1">
      <c r="D1340" s="2"/>
      <c r="F1340" s="209"/>
    </row>
    <row r="1341" spans="4:6" hidden="1">
      <c r="D1341" s="2"/>
      <c r="F1341" s="209"/>
    </row>
    <row r="1342" spans="4:6" hidden="1">
      <c r="D1342" s="2"/>
      <c r="F1342" s="209"/>
    </row>
    <row r="1343" spans="4:6" hidden="1">
      <c r="D1343" s="2"/>
      <c r="F1343" s="209"/>
    </row>
    <row r="1344" spans="4:6" hidden="1">
      <c r="D1344" s="2"/>
      <c r="F1344" s="209"/>
    </row>
    <row r="1345" spans="4:6" hidden="1">
      <c r="D1345" s="2"/>
      <c r="F1345" s="209"/>
    </row>
    <row r="1346" spans="4:6" hidden="1">
      <c r="D1346" s="2"/>
      <c r="F1346" s="209"/>
    </row>
    <row r="1347" spans="4:6" hidden="1">
      <c r="D1347" s="2"/>
      <c r="F1347" s="209"/>
    </row>
    <row r="1348" spans="4:6" hidden="1">
      <c r="D1348" s="2"/>
      <c r="F1348" s="209"/>
    </row>
    <row r="1349" spans="4:6" hidden="1">
      <c r="D1349" s="2"/>
      <c r="F1349" s="209"/>
    </row>
    <row r="1350" spans="4:6" hidden="1">
      <c r="D1350" s="2"/>
      <c r="F1350" s="209"/>
    </row>
    <row r="1351" spans="4:6" hidden="1">
      <c r="D1351" s="2"/>
      <c r="F1351" s="209"/>
    </row>
    <row r="1352" spans="4:6" hidden="1">
      <c r="D1352" s="2"/>
      <c r="F1352" s="209"/>
    </row>
    <row r="1353" spans="4:6" hidden="1">
      <c r="D1353" s="2"/>
      <c r="F1353" s="209"/>
    </row>
    <row r="1354" spans="4:6" hidden="1">
      <c r="D1354" s="2"/>
      <c r="F1354" s="209"/>
    </row>
    <row r="1355" spans="4:6" hidden="1">
      <c r="D1355" s="2"/>
      <c r="F1355" s="209"/>
    </row>
    <row r="1356" spans="4:6" hidden="1">
      <c r="D1356" s="2"/>
      <c r="F1356" s="209"/>
    </row>
    <row r="1357" spans="4:6" hidden="1">
      <c r="D1357" s="2"/>
      <c r="F1357" s="209"/>
    </row>
    <row r="1358" spans="4:6" hidden="1">
      <c r="D1358" s="2"/>
      <c r="F1358" s="209"/>
    </row>
    <row r="1359" spans="4:6" hidden="1">
      <c r="D1359" s="2"/>
      <c r="F1359" s="209"/>
    </row>
    <row r="1360" spans="4:6" hidden="1">
      <c r="D1360" s="2"/>
      <c r="F1360" s="209"/>
    </row>
    <row r="1361" spans="4:6" hidden="1">
      <c r="D1361" s="2"/>
      <c r="F1361" s="209"/>
    </row>
    <row r="1362" spans="4:6" hidden="1">
      <c r="D1362" s="2"/>
      <c r="F1362" s="209"/>
    </row>
    <row r="1363" spans="4:6" hidden="1">
      <c r="D1363" s="2"/>
      <c r="F1363" s="209"/>
    </row>
    <row r="1364" spans="4:6" hidden="1">
      <c r="D1364" s="2"/>
      <c r="F1364" s="209"/>
    </row>
    <row r="1365" spans="4:6" hidden="1">
      <c r="D1365" s="2"/>
      <c r="F1365" s="209"/>
    </row>
    <row r="1366" spans="4:6" hidden="1">
      <c r="D1366" s="2"/>
      <c r="F1366" s="209"/>
    </row>
    <row r="1367" spans="4:6" hidden="1">
      <c r="D1367" s="2"/>
      <c r="F1367" s="209"/>
    </row>
    <row r="1368" spans="4:6" hidden="1">
      <c r="D1368" s="2"/>
      <c r="F1368" s="209"/>
    </row>
    <row r="1369" spans="4:6" hidden="1">
      <c r="D1369" s="2"/>
      <c r="F1369" s="209"/>
    </row>
    <row r="1370" spans="4:6" hidden="1">
      <c r="D1370" s="2"/>
      <c r="F1370" s="209"/>
    </row>
    <row r="1371" spans="4:6" hidden="1">
      <c r="D1371" s="2"/>
      <c r="F1371" s="209"/>
    </row>
    <row r="1372" spans="4:6" hidden="1">
      <c r="D1372" s="2"/>
      <c r="F1372" s="209"/>
    </row>
    <row r="1373" spans="4:6" hidden="1">
      <c r="D1373" s="2"/>
      <c r="F1373" s="209"/>
    </row>
    <row r="1374" spans="4:6" hidden="1">
      <c r="D1374" s="2"/>
      <c r="F1374" s="209"/>
    </row>
    <row r="1375" spans="4:6" hidden="1">
      <c r="D1375" s="2"/>
      <c r="F1375" s="209"/>
    </row>
    <row r="1376" spans="4:6" hidden="1">
      <c r="D1376" s="2"/>
      <c r="F1376" s="209"/>
    </row>
    <row r="1377" spans="4:6" hidden="1">
      <c r="D1377" s="2"/>
      <c r="F1377" s="209"/>
    </row>
    <row r="1378" spans="4:6" hidden="1">
      <c r="D1378" s="2"/>
      <c r="F1378" s="209"/>
    </row>
    <row r="1379" spans="4:6" hidden="1">
      <c r="D1379" s="2"/>
      <c r="F1379" s="209"/>
    </row>
    <row r="1380" spans="4:6" hidden="1">
      <c r="D1380" s="2"/>
      <c r="F1380" s="209"/>
    </row>
    <row r="1381" spans="4:6" hidden="1">
      <c r="D1381" s="2"/>
      <c r="F1381" s="209"/>
    </row>
    <row r="1382" spans="4:6" hidden="1">
      <c r="D1382" s="2"/>
      <c r="F1382" s="209"/>
    </row>
    <row r="1383" spans="4:6" hidden="1">
      <c r="D1383" s="2"/>
      <c r="F1383" s="209"/>
    </row>
    <row r="1384" spans="4:6" hidden="1">
      <c r="D1384" s="2"/>
      <c r="F1384" s="209"/>
    </row>
    <row r="1385" spans="4:6" hidden="1">
      <c r="D1385" s="2"/>
      <c r="F1385" s="209"/>
    </row>
    <row r="1386" spans="4:6" hidden="1">
      <c r="D1386" s="2"/>
      <c r="F1386" s="209"/>
    </row>
    <row r="1387" spans="4:6" hidden="1">
      <c r="D1387" s="2"/>
      <c r="F1387" s="209"/>
    </row>
    <row r="1388" spans="4:6" hidden="1">
      <c r="D1388" s="2"/>
      <c r="F1388" s="209"/>
    </row>
    <row r="1389" spans="4:6" hidden="1">
      <c r="D1389" s="2"/>
      <c r="F1389" s="209"/>
    </row>
    <row r="1390" spans="4:6" hidden="1">
      <c r="D1390" s="2"/>
      <c r="F1390" s="209"/>
    </row>
    <row r="1391" spans="4:6" hidden="1">
      <c r="D1391" s="2"/>
      <c r="F1391" s="209"/>
    </row>
    <row r="1392" spans="4:6" hidden="1">
      <c r="D1392" s="2"/>
      <c r="F1392" s="209"/>
    </row>
    <row r="1393" spans="4:6" hidden="1">
      <c r="D1393" s="2"/>
      <c r="F1393" s="209"/>
    </row>
    <row r="1394" spans="4:6" hidden="1">
      <c r="D1394" s="2"/>
      <c r="F1394" s="209"/>
    </row>
    <row r="1395" spans="4:6" hidden="1">
      <c r="D1395" s="2"/>
      <c r="F1395" s="209"/>
    </row>
    <row r="1396" spans="4:6" hidden="1">
      <c r="D1396" s="2"/>
      <c r="F1396" s="209"/>
    </row>
    <row r="1397" spans="4:6" hidden="1">
      <c r="D1397" s="2"/>
      <c r="F1397" s="209"/>
    </row>
    <row r="1398" spans="4:6" hidden="1">
      <c r="D1398" s="2"/>
      <c r="F1398" s="209"/>
    </row>
    <row r="1399" spans="4:6" hidden="1">
      <c r="D1399" s="2"/>
      <c r="F1399" s="209"/>
    </row>
    <row r="1400" spans="4:6" hidden="1">
      <c r="D1400" s="2"/>
      <c r="F1400" s="209"/>
    </row>
    <row r="1401" spans="4:6" hidden="1">
      <c r="D1401" s="2"/>
      <c r="F1401" s="209"/>
    </row>
    <row r="1402" spans="4:6" hidden="1">
      <c r="D1402" s="2"/>
      <c r="F1402" s="209"/>
    </row>
    <row r="1403" spans="4:6" hidden="1">
      <c r="D1403" s="2"/>
      <c r="F1403" s="209"/>
    </row>
    <row r="1404" spans="4:6" hidden="1">
      <c r="D1404" s="2"/>
      <c r="F1404" s="209"/>
    </row>
    <row r="1405" spans="4:6" hidden="1">
      <c r="D1405" s="2"/>
      <c r="F1405" s="209"/>
    </row>
    <row r="1406" spans="4:6" hidden="1">
      <c r="D1406" s="2"/>
      <c r="F1406" s="209"/>
    </row>
    <row r="1407" spans="4:6" hidden="1">
      <c r="D1407" s="2"/>
      <c r="F1407" s="209"/>
    </row>
    <row r="1408" spans="4:6" hidden="1">
      <c r="D1408" s="2"/>
      <c r="F1408" s="209"/>
    </row>
    <row r="1409" spans="4:6" hidden="1">
      <c r="D1409" s="2"/>
      <c r="F1409" s="209"/>
    </row>
    <row r="1410" spans="4:6" hidden="1">
      <c r="D1410" s="2"/>
      <c r="F1410" s="209"/>
    </row>
    <row r="1411" spans="4:6" hidden="1">
      <c r="D1411" s="2"/>
      <c r="F1411" s="209"/>
    </row>
    <row r="1412" spans="4:6" hidden="1">
      <c r="D1412" s="2"/>
      <c r="F1412" s="209"/>
    </row>
    <row r="1413" spans="4:6" hidden="1">
      <c r="D1413" s="2"/>
      <c r="F1413" s="209"/>
    </row>
    <row r="1414" spans="4:6" hidden="1">
      <c r="D1414" s="2"/>
      <c r="F1414" s="209"/>
    </row>
    <row r="1415" spans="4:6" hidden="1">
      <c r="D1415" s="2"/>
      <c r="F1415" s="209"/>
    </row>
    <row r="1416" spans="4:6" hidden="1">
      <c r="D1416" s="2"/>
      <c r="F1416" s="209"/>
    </row>
    <row r="1417" spans="4:6" hidden="1">
      <c r="D1417" s="2"/>
      <c r="F1417" s="209"/>
    </row>
    <row r="1418" spans="4:6" hidden="1">
      <c r="D1418" s="2"/>
      <c r="F1418" s="209"/>
    </row>
    <row r="1419" spans="4:6" hidden="1">
      <c r="D1419" s="2"/>
      <c r="F1419" s="209"/>
    </row>
    <row r="1420" spans="4:6" hidden="1">
      <c r="D1420" s="2"/>
      <c r="F1420" s="209"/>
    </row>
    <row r="1421" spans="4:6" hidden="1">
      <c r="D1421" s="2"/>
      <c r="F1421" s="209"/>
    </row>
    <row r="1422" spans="4:6" hidden="1">
      <c r="D1422" s="2"/>
      <c r="F1422" s="209"/>
    </row>
    <row r="1423" spans="4:6" hidden="1">
      <c r="D1423" s="2"/>
      <c r="F1423" s="209"/>
    </row>
    <row r="1424" spans="4:6" hidden="1">
      <c r="D1424" s="2"/>
      <c r="F1424" s="209"/>
    </row>
    <row r="1425" spans="4:6" hidden="1">
      <c r="D1425" s="2"/>
      <c r="F1425" s="209"/>
    </row>
    <row r="1426" spans="4:6" hidden="1">
      <c r="D1426" s="2"/>
      <c r="F1426" s="209"/>
    </row>
    <row r="1427" spans="4:6" hidden="1">
      <c r="D1427" s="2"/>
      <c r="F1427" s="209"/>
    </row>
    <row r="1428" spans="4:6" hidden="1">
      <c r="D1428" s="2"/>
      <c r="F1428" s="209"/>
    </row>
    <row r="1429" spans="4:6" hidden="1">
      <c r="D1429" s="2"/>
      <c r="F1429" s="209"/>
    </row>
    <row r="1430" spans="4:6" hidden="1">
      <c r="D1430" s="2"/>
      <c r="F1430" s="209"/>
    </row>
    <row r="1431" spans="4:6" hidden="1">
      <c r="D1431" s="2"/>
      <c r="F1431" s="209"/>
    </row>
    <row r="1432" spans="4:6" hidden="1">
      <c r="D1432" s="2"/>
      <c r="F1432" s="209"/>
    </row>
    <row r="1433" spans="4:6" hidden="1">
      <c r="D1433" s="2"/>
      <c r="F1433" s="209"/>
    </row>
    <row r="1434" spans="4:6" hidden="1">
      <c r="D1434" s="2"/>
      <c r="F1434" s="209"/>
    </row>
    <row r="1435" spans="4:6" hidden="1">
      <c r="D1435" s="2"/>
      <c r="F1435" s="209"/>
    </row>
    <row r="1436" spans="4:6" hidden="1">
      <c r="D1436" s="2"/>
      <c r="F1436" s="209"/>
    </row>
    <row r="1437" spans="4:6" hidden="1">
      <c r="D1437" s="2"/>
      <c r="F1437" s="209"/>
    </row>
    <row r="1438" spans="4:6" hidden="1">
      <c r="D1438" s="2"/>
      <c r="F1438" s="209"/>
    </row>
    <row r="1439" spans="4:6" hidden="1">
      <c r="D1439" s="2"/>
      <c r="F1439" s="209"/>
    </row>
    <row r="1440" spans="4:6" hidden="1">
      <c r="D1440" s="2"/>
      <c r="F1440" s="209"/>
    </row>
    <row r="1441" spans="4:6" hidden="1">
      <c r="D1441" s="2"/>
      <c r="F1441" s="209"/>
    </row>
    <row r="1442" spans="4:6" hidden="1">
      <c r="D1442" s="2"/>
      <c r="F1442" s="209"/>
    </row>
    <row r="1443" spans="4:6" hidden="1">
      <c r="D1443" s="2"/>
      <c r="F1443" s="209"/>
    </row>
    <row r="1444" spans="4:6" hidden="1">
      <c r="D1444" s="2"/>
      <c r="F1444" s="209"/>
    </row>
    <row r="1445" spans="4:6" hidden="1">
      <c r="D1445" s="2"/>
      <c r="F1445" s="209"/>
    </row>
    <row r="1446" spans="4:6" hidden="1">
      <c r="D1446" s="2"/>
      <c r="F1446" s="209"/>
    </row>
    <row r="1447" spans="4:6" hidden="1">
      <c r="D1447" s="2"/>
      <c r="F1447" s="209"/>
    </row>
    <row r="1448" spans="4:6" hidden="1">
      <c r="D1448" s="2"/>
      <c r="F1448" s="209"/>
    </row>
    <row r="1449" spans="4:6" hidden="1">
      <c r="D1449" s="2"/>
      <c r="F1449" s="209"/>
    </row>
    <row r="1450" spans="4:6" hidden="1">
      <c r="D1450" s="2"/>
      <c r="F1450" s="209"/>
    </row>
    <row r="1451" spans="4:6" hidden="1">
      <c r="D1451" s="2"/>
      <c r="F1451" s="209"/>
    </row>
    <row r="1452" spans="4:6" hidden="1">
      <c r="D1452" s="2"/>
      <c r="F1452" s="209"/>
    </row>
    <row r="1453" spans="4:6" hidden="1">
      <c r="D1453" s="2"/>
      <c r="F1453" s="209"/>
    </row>
    <row r="1454" spans="4:6" hidden="1">
      <c r="D1454" s="2"/>
      <c r="F1454" s="209"/>
    </row>
    <row r="1455" spans="4:6" hidden="1">
      <c r="D1455" s="2"/>
      <c r="F1455" s="209"/>
    </row>
    <row r="1456" spans="4:6" hidden="1">
      <c r="D1456" s="2"/>
      <c r="F1456" s="209"/>
    </row>
    <row r="1457" spans="4:6" hidden="1">
      <c r="D1457" s="2"/>
      <c r="F1457" s="209"/>
    </row>
    <row r="1458" spans="4:6" hidden="1">
      <c r="D1458" s="2"/>
      <c r="F1458" s="209"/>
    </row>
    <row r="1459" spans="4:6" hidden="1">
      <c r="D1459" s="2"/>
      <c r="F1459" s="209"/>
    </row>
    <row r="1460" spans="4:6" hidden="1">
      <c r="D1460" s="2"/>
      <c r="F1460" s="209"/>
    </row>
    <row r="1461" spans="4:6" hidden="1">
      <c r="D1461" s="2"/>
      <c r="F1461" s="209"/>
    </row>
    <row r="1462" spans="4:6" hidden="1">
      <c r="D1462" s="2"/>
      <c r="F1462" s="209"/>
    </row>
    <row r="1463" spans="4:6" hidden="1">
      <c r="D1463" s="2"/>
      <c r="F1463" s="209"/>
    </row>
    <row r="1464" spans="4:6" hidden="1">
      <c r="D1464" s="2"/>
      <c r="F1464" s="209"/>
    </row>
    <row r="1465" spans="4:6" hidden="1">
      <c r="D1465" s="2"/>
      <c r="F1465" s="209"/>
    </row>
    <row r="1466" spans="4:6" hidden="1">
      <c r="D1466" s="2"/>
      <c r="F1466" s="209"/>
    </row>
    <row r="1467" spans="4:6" hidden="1">
      <c r="D1467" s="2"/>
      <c r="F1467" s="209"/>
    </row>
    <row r="1468" spans="4:6" hidden="1">
      <c r="D1468" s="2"/>
      <c r="F1468" s="209"/>
    </row>
    <row r="1469" spans="4:6" hidden="1">
      <c r="D1469" s="2"/>
      <c r="F1469" s="209"/>
    </row>
    <row r="1470" spans="4:6" hidden="1">
      <c r="D1470" s="2"/>
      <c r="F1470" s="209"/>
    </row>
    <row r="1471" spans="4:6" hidden="1">
      <c r="D1471" s="2"/>
      <c r="F1471" s="209"/>
    </row>
    <row r="1472" spans="4:6" hidden="1">
      <c r="D1472" s="2"/>
      <c r="F1472" s="209"/>
    </row>
    <row r="1473" spans="4:6" hidden="1">
      <c r="D1473" s="2"/>
      <c r="F1473" s="209"/>
    </row>
    <row r="1474" spans="4:6" hidden="1">
      <c r="D1474" s="2"/>
      <c r="F1474" s="209"/>
    </row>
    <row r="1475" spans="4:6" hidden="1">
      <c r="D1475" s="2"/>
      <c r="F1475" s="209"/>
    </row>
    <row r="1476" spans="4:6" hidden="1">
      <c r="D1476" s="2"/>
      <c r="F1476" s="209"/>
    </row>
    <row r="1477" spans="4:6" hidden="1">
      <c r="D1477" s="2"/>
      <c r="F1477" s="209"/>
    </row>
    <row r="1478" spans="4:6" hidden="1">
      <c r="D1478" s="2"/>
      <c r="F1478" s="209"/>
    </row>
    <row r="1479" spans="4:6" hidden="1">
      <c r="D1479" s="2"/>
      <c r="F1479" s="209"/>
    </row>
    <row r="1480" spans="4:6" hidden="1">
      <c r="D1480" s="2"/>
      <c r="F1480" s="209"/>
    </row>
    <row r="1481" spans="4:6" hidden="1">
      <c r="D1481" s="2"/>
      <c r="F1481" s="209"/>
    </row>
    <row r="1482" spans="4:6" hidden="1">
      <c r="D1482" s="2"/>
      <c r="F1482" s="209"/>
    </row>
    <row r="1483" spans="4:6" hidden="1">
      <c r="D1483" s="2"/>
      <c r="F1483" s="209"/>
    </row>
    <row r="1484" spans="4:6" hidden="1">
      <c r="D1484" s="2"/>
      <c r="F1484" s="209"/>
    </row>
    <row r="1485" spans="4:6" hidden="1">
      <c r="D1485" s="2"/>
      <c r="F1485" s="209"/>
    </row>
    <row r="1486" spans="4:6" hidden="1">
      <c r="D1486" s="2"/>
      <c r="F1486" s="209"/>
    </row>
    <row r="1487" spans="4:6" hidden="1">
      <c r="D1487" s="2"/>
      <c r="F1487" s="209"/>
    </row>
    <row r="1488" spans="4:6" hidden="1">
      <c r="D1488" s="2"/>
      <c r="F1488" s="209"/>
    </row>
    <row r="1489" spans="4:6" hidden="1">
      <c r="D1489" s="2"/>
      <c r="F1489" s="209"/>
    </row>
    <row r="1490" spans="4:6" hidden="1">
      <c r="D1490" s="2"/>
      <c r="F1490" s="209"/>
    </row>
    <row r="1491" spans="4:6" hidden="1">
      <c r="D1491" s="2"/>
      <c r="F1491" s="209"/>
    </row>
    <row r="1492" spans="4:6" hidden="1">
      <c r="D1492" s="2"/>
      <c r="F1492" s="209"/>
    </row>
    <row r="1493" spans="4:6" hidden="1">
      <c r="D1493" s="2"/>
      <c r="F1493" s="209"/>
    </row>
    <row r="1494" spans="4:6" hidden="1">
      <c r="D1494" s="2"/>
      <c r="F1494" s="209"/>
    </row>
    <row r="1495" spans="4:6" hidden="1">
      <c r="D1495" s="2"/>
      <c r="F1495" s="209"/>
    </row>
    <row r="1496" spans="4:6" hidden="1">
      <c r="D1496" s="2"/>
      <c r="F1496" s="209"/>
    </row>
    <row r="1497" spans="4:6" hidden="1">
      <c r="D1497" s="2"/>
      <c r="F1497" s="209"/>
    </row>
    <row r="1498" spans="4:6" hidden="1">
      <c r="D1498" s="2"/>
      <c r="F1498" s="209"/>
    </row>
    <row r="1499" spans="4:6" hidden="1">
      <c r="D1499" s="2"/>
      <c r="F1499" s="209"/>
    </row>
    <row r="1500" spans="4:6" hidden="1">
      <c r="D1500" s="2"/>
      <c r="F1500" s="209"/>
    </row>
    <row r="1501" spans="4:6" hidden="1">
      <c r="D1501" s="2"/>
      <c r="F1501" s="209"/>
    </row>
    <row r="1502" spans="4:6" hidden="1">
      <c r="D1502" s="2"/>
      <c r="F1502" s="209"/>
    </row>
    <row r="1503" spans="4:6" hidden="1">
      <c r="D1503" s="2"/>
      <c r="F1503" s="209"/>
    </row>
    <row r="1504" spans="4:6" hidden="1">
      <c r="D1504" s="2"/>
      <c r="F1504" s="209"/>
    </row>
    <row r="1505" spans="4:6" hidden="1">
      <c r="D1505" s="2"/>
      <c r="F1505" s="209"/>
    </row>
    <row r="1506" spans="4:6" hidden="1">
      <c r="D1506" s="2"/>
      <c r="F1506" s="209"/>
    </row>
    <row r="1507" spans="4:6" hidden="1">
      <c r="D1507" s="2"/>
      <c r="F1507" s="209"/>
    </row>
    <row r="1508" spans="4:6" hidden="1">
      <c r="D1508" s="2"/>
      <c r="F1508" s="209"/>
    </row>
    <row r="1509" spans="4:6" hidden="1">
      <c r="D1509" s="2"/>
      <c r="F1509" s="209"/>
    </row>
    <row r="1510" spans="4:6" hidden="1">
      <c r="D1510" s="2"/>
      <c r="F1510" s="209"/>
    </row>
    <row r="1511" spans="4:6" hidden="1">
      <c r="D1511" s="2"/>
      <c r="F1511" s="209"/>
    </row>
    <row r="1512" spans="4:6" hidden="1">
      <c r="D1512" s="2"/>
      <c r="F1512" s="209"/>
    </row>
    <row r="1513" spans="4:6" hidden="1">
      <c r="D1513" s="2"/>
      <c r="F1513" s="209"/>
    </row>
    <row r="1514" spans="4:6" hidden="1">
      <c r="D1514" s="2"/>
      <c r="F1514" s="209"/>
    </row>
    <row r="1515" spans="4:6" hidden="1">
      <c r="D1515" s="2"/>
      <c r="F1515" s="209"/>
    </row>
    <row r="1516" spans="4:6" hidden="1">
      <c r="D1516" s="2"/>
      <c r="F1516" s="209"/>
    </row>
    <row r="1517" spans="4:6" hidden="1">
      <c r="D1517" s="2"/>
      <c r="F1517" s="209"/>
    </row>
    <row r="1518" spans="4:6" hidden="1">
      <c r="D1518" s="2"/>
      <c r="F1518" s="209"/>
    </row>
    <row r="1519" spans="4:6" hidden="1">
      <c r="D1519" s="2"/>
      <c r="F1519" s="209"/>
    </row>
    <row r="1520" spans="4:6" hidden="1">
      <c r="D1520" s="2"/>
      <c r="F1520" s="209"/>
    </row>
    <row r="1521" spans="4:6" hidden="1">
      <c r="D1521" s="2"/>
      <c r="F1521" s="209"/>
    </row>
    <row r="1522" spans="4:6" hidden="1">
      <c r="D1522" s="2"/>
      <c r="F1522" s="209"/>
    </row>
    <row r="1523" spans="4:6" hidden="1">
      <c r="D1523" s="2"/>
      <c r="F1523" s="209"/>
    </row>
    <row r="1524" spans="4:6" hidden="1">
      <c r="D1524" s="2"/>
      <c r="F1524" s="209"/>
    </row>
    <row r="1525" spans="4:6" hidden="1">
      <c r="D1525" s="2"/>
      <c r="F1525" s="209"/>
    </row>
    <row r="1526" spans="4:6" hidden="1">
      <c r="D1526" s="2"/>
      <c r="F1526" s="209"/>
    </row>
    <row r="1527" spans="4:6" hidden="1">
      <c r="D1527" s="2"/>
      <c r="F1527" s="209"/>
    </row>
    <row r="1528" spans="4:6" hidden="1">
      <c r="D1528" s="2"/>
      <c r="F1528" s="209"/>
    </row>
    <row r="1529" spans="4:6" hidden="1">
      <c r="D1529" s="2"/>
      <c r="F1529" s="209"/>
    </row>
    <row r="1530" spans="4:6" hidden="1">
      <c r="D1530" s="2"/>
      <c r="F1530" s="209"/>
    </row>
    <row r="1531" spans="4:6" hidden="1">
      <c r="D1531" s="2"/>
      <c r="F1531" s="209"/>
    </row>
    <row r="1532" spans="4:6" hidden="1">
      <c r="D1532" s="2"/>
      <c r="F1532" s="209"/>
    </row>
    <row r="1533" spans="4:6" hidden="1">
      <c r="D1533" s="2"/>
      <c r="F1533" s="209"/>
    </row>
    <row r="1534" spans="4:6" hidden="1">
      <c r="D1534" s="2"/>
      <c r="F1534" s="209"/>
    </row>
    <row r="1535" spans="4:6" hidden="1">
      <c r="D1535" s="2"/>
      <c r="F1535" s="209"/>
    </row>
    <row r="1536" spans="4:6" hidden="1">
      <c r="D1536" s="2"/>
      <c r="F1536" s="209"/>
    </row>
    <row r="1537" spans="4:6" hidden="1">
      <c r="D1537" s="2"/>
      <c r="F1537" s="209"/>
    </row>
    <row r="1538" spans="4:6" hidden="1">
      <c r="D1538" s="2"/>
      <c r="F1538" s="209"/>
    </row>
    <row r="1539" spans="4:6" hidden="1">
      <c r="D1539" s="2"/>
      <c r="F1539" s="209"/>
    </row>
    <row r="1540" spans="4:6" hidden="1">
      <c r="D1540" s="2"/>
      <c r="F1540" s="209"/>
    </row>
    <row r="1541" spans="4:6" hidden="1">
      <c r="D1541" s="2"/>
      <c r="F1541" s="209"/>
    </row>
    <row r="1542" spans="4:6" hidden="1">
      <c r="D1542" s="2"/>
      <c r="F1542" s="209"/>
    </row>
    <row r="1543" spans="4:6" hidden="1">
      <c r="D1543" s="2"/>
      <c r="F1543" s="209"/>
    </row>
    <row r="1544" spans="4:6" hidden="1">
      <c r="D1544" s="2"/>
      <c r="F1544" s="209"/>
    </row>
    <row r="1545" spans="4:6" hidden="1">
      <c r="D1545" s="2"/>
      <c r="F1545" s="209"/>
    </row>
    <row r="1546" spans="4:6" hidden="1">
      <c r="D1546" s="2"/>
      <c r="F1546" s="209"/>
    </row>
    <row r="1547" spans="4:6" hidden="1">
      <c r="D1547" s="2"/>
      <c r="F1547" s="209"/>
    </row>
    <row r="1548" spans="4:6" hidden="1">
      <c r="D1548" s="2"/>
      <c r="F1548" s="209"/>
    </row>
    <row r="1549" spans="4:6" hidden="1">
      <c r="D1549" s="2"/>
      <c r="F1549" s="209"/>
    </row>
    <row r="1550" spans="4:6" hidden="1">
      <c r="D1550" s="2"/>
      <c r="F1550" s="209"/>
    </row>
    <row r="1551" spans="4:6" hidden="1">
      <c r="D1551" s="2"/>
      <c r="F1551" s="209"/>
    </row>
    <row r="1552" spans="4:6" hidden="1">
      <c r="D1552" s="2"/>
      <c r="F1552" s="209"/>
    </row>
    <row r="1553" spans="4:6" hidden="1">
      <c r="D1553" s="2"/>
      <c r="F1553" s="209"/>
    </row>
    <row r="1554" spans="4:6" hidden="1">
      <c r="D1554" s="2"/>
      <c r="F1554" s="209"/>
    </row>
    <row r="1555" spans="4:6" hidden="1">
      <c r="D1555" s="2"/>
      <c r="F1555" s="209"/>
    </row>
    <row r="1556" spans="4:6" hidden="1">
      <c r="D1556" s="2"/>
      <c r="F1556" s="209"/>
    </row>
    <row r="1557" spans="4:6" hidden="1">
      <c r="D1557" s="2"/>
      <c r="F1557" s="209"/>
    </row>
    <row r="1558" spans="4:6" hidden="1">
      <c r="D1558" s="2"/>
      <c r="F1558" s="209"/>
    </row>
    <row r="1559" spans="4:6" hidden="1">
      <c r="D1559" s="2"/>
      <c r="F1559" s="209"/>
    </row>
    <row r="1560" spans="4:6" hidden="1">
      <c r="D1560" s="2"/>
      <c r="F1560" s="209"/>
    </row>
    <row r="1561" spans="4:6" hidden="1">
      <c r="D1561" s="2"/>
      <c r="F1561" s="209"/>
    </row>
    <row r="1562" spans="4:6" hidden="1">
      <c r="D1562" s="2"/>
      <c r="F1562" s="209"/>
    </row>
    <row r="1563" spans="4:6" hidden="1">
      <c r="D1563" s="2"/>
      <c r="F1563" s="209"/>
    </row>
    <row r="1564" spans="4:6" hidden="1">
      <c r="D1564" s="2"/>
      <c r="F1564" s="209"/>
    </row>
    <row r="1565" spans="4:6" hidden="1">
      <c r="D1565" s="2"/>
      <c r="F1565" s="209"/>
    </row>
    <row r="1566" spans="4:6" hidden="1">
      <c r="D1566" s="2"/>
      <c r="F1566" s="209"/>
    </row>
    <row r="1567" spans="4:6" hidden="1">
      <c r="D1567" s="2"/>
      <c r="F1567" s="209"/>
    </row>
    <row r="1568" spans="4:6" hidden="1">
      <c r="D1568" s="2"/>
      <c r="F1568" s="209"/>
    </row>
    <row r="1569" spans="4:8" hidden="1">
      <c r="D1569" s="2"/>
      <c r="F1569" s="209"/>
    </row>
    <row r="1570" spans="4:8" hidden="1">
      <c r="D1570" s="2"/>
      <c r="F1570" s="209"/>
    </row>
    <row r="1571" spans="4:8" hidden="1">
      <c r="D1571" s="2"/>
      <c r="F1571" s="209"/>
    </row>
    <row r="1572" spans="4:8" hidden="1">
      <c r="D1572" s="2"/>
      <c r="F1572" s="209"/>
    </row>
    <row r="1573" spans="4:8" hidden="1">
      <c r="D1573" s="2"/>
      <c r="F1573" s="209"/>
    </row>
    <row r="1574" spans="4:8" hidden="1">
      <c r="D1574" s="2"/>
      <c r="F1574" s="209"/>
    </row>
    <row r="1575" spans="4:8" hidden="1">
      <c r="D1575" s="2"/>
      <c r="F1575" s="209"/>
    </row>
    <row r="1576" spans="4:8" hidden="1">
      <c r="D1576" s="2"/>
      <c r="F1576" s="209"/>
    </row>
    <row r="1577" spans="4:8" hidden="1">
      <c r="D1577" s="2"/>
      <c r="F1577" s="209"/>
    </row>
    <row r="1578" spans="4:8" hidden="1">
      <c r="D1578" s="2"/>
      <c r="F1578" s="209"/>
    </row>
    <row r="1579" spans="4:8" hidden="1">
      <c r="D1579" s="2"/>
      <c r="F1579" s="209"/>
    </row>
    <row r="1580" spans="4:8" hidden="1">
      <c r="D1580" s="2"/>
      <c r="F1580" s="209"/>
    </row>
    <row r="1581" spans="4:8" hidden="1">
      <c r="D1581" s="2"/>
      <c r="F1581" s="209"/>
    </row>
    <row r="1582" spans="4:8" hidden="1">
      <c r="D1582" s="2"/>
      <c r="F1582" s="209"/>
    </row>
    <row r="1583" spans="4:8" hidden="1">
      <c r="D1583" s="2"/>
      <c r="F1583" s="209"/>
    </row>
    <row r="1584" spans="4:8">
      <c r="F1584" s="149">
        <f>COUNTIFS(F2:F645,"Ford Fusion Auto Purchase")</f>
        <v>9</v>
      </c>
      <c r="H1584" s="149">
        <f ca="1">SUMIF(F1:F645,"Ford Fusion Auto Purchase",H2:H645)</f>
        <v>-2028.92</v>
      </c>
    </row>
  </sheetData>
  <sheetProtection formatCells="0" formatColumns="0" formatRows="0" selectLockedCells="1" sort="0" autoFilter="0" pivotTables="0"/>
  <autoFilter ref="A1:J1583" xr:uid="{577684B0-A48C-4302-BE29-5AAF357245E7}">
    <filterColumn colId="5">
      <filters>
        <filter val="Ford Fusion Auto Purchase"/>
      </filters>
    </filterColumn>
    <sortState xmlns:xlrd2="http://schemas.microsoft.com/office/spreadsheetml/2017/richdata2" ref="C2:Q1583">
      <sortCondition ref="J1:J1583"/>
    </sortState>
  </autoFilter>
  <pageMargins left="0.7" right="0.7" top="0.75" bottom="0.75" header="0.3" footer="0.3"/>
  <pageSetup scale="50" orientation="landscape" horizontalDpi="300" verticalDpi="3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206E3-E57F-E345-ADB8-11AB2B8D922A}">
  <sheetPr codeName="Sheet8"/>
  <dimension ref="A1:AF158"/>
  <sheetViews>
    <sheetView topLeftCell="A129" workbookViewId="0">
      <selection activeCell="E143" sqref="E143"/>
    </sheetView>
  </sheetViews>
  <sheetFormatPr defaultColWidth="10.875" defaultRowHeight="15.75"/>
  <cols>
    <col min="1" max="2" width="10.875" style="66"/>
    <col min="3" max="3" width="20.625" style="66" bestFit="1" customWidth="1"/>
    <col min="4" max="4" width="20.625" style="58" bestFit="1" customWidth="1"/>
    <col min="5" max="5" width="11.375" style="59" customWidth="1"/>
    <col min="6" max="6" width="17.125" style="57" customWidth="1"/>
    <col min="7" max="7" width="14.875" style="55" customWidth="1"/>
    <col min="8" max="8" width="14.875" style="147" customWidth="1"/>
    <col min="9" max="9" width="26.875" style="57" bestFit="1" customWidth="1"/>
    <col min="10" max="10" width="22.625" style="57" bestFit="1" customWidth="1"/>
    <col min="11" max="11" width="22.625" style="57" customWidth="1"/>
    <col min="12" max="12" width="21.625" style="57" bestFit="1" customWidth="1"/>
    <col min="13" max="13" width="15.5" style="57" bestFit="1" customWidth="1"/>
    <col min="14" max="14" width="6.875" style="57" bestFit="1" customWidth="1"/>
    <col min="15" max="15" width="5.875" style="57" bestFit="1" customWidth="1"/>
    <col min="16" max="16" width="7" style="57" bestFit="1" customWidth="1"/>
    <col min="17" max="17" width="10.875" style="57" bestFit="1" customWidth="1"/>
    <col min="18" max="18" width="8.625" style="57" bestFit="1" customWidth="1"/>
    <col min="19" max="19" width="9.625" style="57" bestFit="1" customWidth="1"/>
    <col min="20" max="20" width="7" style="57" bestFit="1" customWidth="1"/>
    <col min="21" max="22" width="10.875" style="57" bestFit="1" customWidth="1"/>
    <col min="23" max="23" width="25" style="57" bestFit="1" customWidth="1"/>
    <col min="24" max="24" width="20.125" style="70" bestFit="1" customWidth="1"/>
    <col min="25" max="25" width="25" style="57" bestFit="1" customWidth="1"/>
    <col min="26" max="26" width="20.125" style="57" bestFit="1" customWidth="1"/>
    <col min="27" max="27" width="25" style="57" bestFit="1" customWidth="1"/>
    <col min="28" max="28" width="20.125" style="57" bestFit="1" customWidth="1"/>
    <col min="29" max="29" width="25" style="57" bestFit="1" customWidth="1"/>
    <col min="30" max="30" width="20.125" style="57" bestFit="1" customWidth="1"/>
    <col min="31" max="31" width="29.875" style="57" bestFit="1" customWidth="1"/>
    <col min="32" max="32" width="25" style="57" bestFit="1" customWidth="1"/>
    <col min="33" max="16384" width="10.875" style="57"/>
  </cols>
  <sheetData>
    <row r="1" spans="1:25">
      <c r="A1" s="66" t="s">
        <v>0</v>
      </c>
      <c r="B1" s="66" t="s">
        <v>41</v>
      </c>
      <c r="C1" s="66" t="s">
        <v>248</v>
      </c>
      <c r="D1" s="66" t="s">
        <v>6</v>
      </c>
      <c r="E1" s="57" t="s">
        <v>152</v>
      </c>
      <c r="F1" s="59" t="s">
        <v>5</v>
      </c>
      <c r="G1" s="57" t="s">
        <v>153</v>
      </c>
      <c r="H1" s="147" t="s">
        <v>625</v>
      </c>
      <c r="I1" s="55"/>
    </row>
    <row r="2" spans="1:25">
      <c r="A2" s="66">
        <v>43131</v>
      </c>
      <c r="B2" s="66" t="str">
        <f>VLOOKUP(MONTH(A2),'Lookup Tables'!$A$3:$B$14,2,FALSE)</f>
        <v>Jan</v>
      </c>
      <c r="C2" s="66" t="str">
        <f>VLOOKUP(Table1[[#This Row],[Category]],$X$1:$Y$11,2,FALSE)</f>
        <v>1. Income</v>
      </c>
      <c r="D2" s="66" t="s">
        <v>234</v>
      </c>
      <c r="E2" s="58" t="s">
        <v>154</v>
      </c>
      <c r="F2" s="59">
        <v>5</v>
      </c>
      <c r="G2" s="59">
        <v>5</v>
      </c>
      <c r="H2" s="156"/>
      <c r="I2" s="55"/>
      <c r="L2" s="6" t="s">
        <v>245</v>
      </c>
      <c r="M2" s="6" t="s">
        <v>244</v>
      </c>
      <c r="N2"/>
      <c r="O2"/>
      <c r="P2"/>
      <c r="Q2"/>
      <c r="R2"/>
      <c r="S2"/>
      <c r="T2"/>
      <c r="U2"/>
      <c r="X2" s="71" t="s">
        <v>234</v>
      </c>
      <c r="Y2" s="57" t="s">
        <v>249</v>
      </c>
    </row>
    <row r="3" spans="1:25" ht="47.25">
      <c r="A3" s="66">
        <v>43163</v>
      </c>
      <c r="B3" s="66" t="str">
        <f>VLOOKUP(MONTH(A3),'Lookup Tables'!$A$3:$B$14,2,FALSE)</f>
        <v>Mar</v>
      </c>
      <c r="C3" s="66" t="str">
        <f>VLOOKUP(Table1[[#This Row],[Category]],$X$1:$Y$11,2,FALSE)</f>
        <v>1. Income</v>
      </c>
      <c r="D3" s="66" t="s">
        <v>239</v>
      </c>
      <c r="E3" s="58" t="s">
        <v>155</v>
      </c>
      <c r="F3" s="59">
        <v>20</v>
      </c>
      <c r="G3" s="59">
        <f>G2+F3</f>
        <v>25</v>
      </c>
      <c r="H3" s="156"/>
      <c r="I3" s="55"/>
      <c r="L3" s="6" t="s">
        <v>38</v>
      </c>
      <c r="M3" t="s">
        <v>44</v>
      </c>
      <c r="N3" t="s">
        <v>46</v>
      </c>
      <c r="O3" t="s">
        <v>47</v>
      </c>
      <c r="P3" t="s">
        <v>50</v>
      </c>
      <c r="Q3" t="s">
        <v>51</v>
      </c>
      <c r="R3" t="s">
        <v>52</v>
      </c>
      <c r="S3" t="s">
        <v>53</v>
      </c>
      <c r="T3" t="s">
        <v>39</v>
      </c>
      <c r="U3" t="s">
        <v>40</v>
      </c>
      <c r="X3" s="71" t="s">
        <v>239</v>
      </c>
      <c r="Y3" s="57" t="s">
        <v>249</v>
      </c>
    </row>
    <row r="4" spans="1:25" ht="47.25">
      <c r="A4" s="66">
        <v>43163</v>
      </c>
      <c r="B4" s="66" t="str">
        <f>VLOOKUP(MONTH(A4),'Lookup Tables'!$A$3:$B$14,2,FALSE)</f>
        <v>Mar</v>
      </c>
      <c r="C4" s="66" t="str">
        <f>VLOOKUP(Table1[[#This Row],[Category]],$X$1:$Y$11,2,FALSE)</f>
        <v>2. Expense</v>
      </c>
      <c r="D4" s="66" t="s">
        <v>235</v>
      </c>
      <c r="E4" s="58" t="s">
        <v>156</v>
      </c>
      <c r="F4" s="59">
        <v>-1.58</v>
      </c>
      <c r="G4" s="59">
        <f>G3+F4</f>
        <v>23.42</v>
      </c>
      <c r="H4" s="156"/>
      <c r="I4" s="55"/>
      <c r="L4" s="7" t="s">
        <v>249</v>
      </c>
      <c r="M4" s="18">
        <v>5</v>
      </c>
      <c r="N4" s="18">
        <v>50</v>
      </c>
      <c r="O4" s="18"/>
      <c r="P4" s="18">
        <v>34.6</v>
      </c>
      <c r="Q4" s="18">
        <v>79.349999999999994</v>
      </c>
      <c r="R4" s="18">
        <v>54</v>
      </c>
      <c r="S4" s="18">
        <v>160.94333333333333</v>
      </c>
      <c r="T4" s="18"/>
      <c r="U4" s="18">
        <v>383.89333333333332</v>
      </c>
      <c r="X4" s="71" t="s">
        <v>235</v>
      </c>
      <c r="Y4" s="73" t="s">
        <v>251</v>
      </c>
    </row>
    <row r="5" spans="1:25" ht="63">
      <c r="A5" s="66">
        <v>43163</v>
      </c>
      <c r="B5" s="66" t="str">
        <f>VLOOKUP(MONTH(A5),'Lookup Tables'!$A$3:$B$14,2,FALSE)</f>
        <v>Mar</v>
      </c>
      <c r="C5" s="66" t="str">
        <f>VLOOKUP(Table1[[#This Row],[Category]],$X$1:$Y$11,2,FALSE)</f>
        <v>2. Expense</v>
      </c>
      <c r="D5" s="66" t="s">
        <v>235</v>
      </c>
      <c r="E5" s="58" t="s">
        <v>157</v>
      </c>
      <c r="F5" s="59">
        <v>-15.89</v>
      </c>
      <c r="G5" s="59">
        <f>G4+F5</f>
        <v>7.5300000000000011</v>
      </c>
      <c r="H5" s="156"/>
      <c r="I5" s="55"/>
      <c r="L5" s="7" t="s">
        <v>251</v>
      </c>
      <c r="M5" s="18"/>
      <c r="N5" s="18">
        <v>-49.249400000000001</v>
      </c>
      <c r="O5" s="18">
        <v>-10.589399999999999</v>
      </c>
      <c r="P5" s="18">
        <v>-29.979999999999997</v>
      </c>
      <c r="Q5" s="18">
        <v>-83.929999999999978</v>
      </c>
      <c r="R5" s="18">
        <v>-51.57</v>
      </c>
      <c r="S5" s="18">
        <v>-148.32733333333331</v>
      </c>
      <c r="T5" s="18"/>
      <c r="U5" s="18">
        <v>-373.64613333333335</v>
      </c>
      <c r="X5" s="71" t="s">
        <v>236</v>
      </c>
      <c r="Y5" s="73" t="s">
        <v>251</v>
      </c>
    </row>
    <row r="6" spans="1:25" ht="63">
      <c r="A6" s="66">
        <v>43179</v>
      </c>
      <c r="B6" s="66" t="str">
        <f>VLOOKUP(MONTH(A6),'Lookup Tables'!$A$3:$B$14,2,FALSE)</f>
        <v>Mar</v>
      </c>
      <c r="C6" s="66" t="str">
        <f>VLOOKUP(Table1[[#This Row],[Category]],$X$1:$Y$11,2,FALSE)</f>
        <v>1. Income</v>
      </c>
      <c r="D6" s="66" t="s">
        <v>239</v>
      </c>
      <c r="E6" s="58" t="s">
        <v>158</v>
      </c>
      <c r="F6" s="59">
        <v>30</v>
      </c>
      <c r="G6" s="59">
        <f>G5+F6</f>
        <v>37.53</v>
      </c>
      <c r="H6" s="156"/>
      <c r="I6" s="55"/>
      <c r="L6" s="69" t="s">
        <v>240</v>
      </c>
      <c r="M6" s="18"/>
      <c r="N6" s="18"/>
      <c r="O6" s="18"/>
      <c r="P6" s="18"/>
      <c r="Q6" s="18">
        <v>-8.99</v>
      </c>
      <c r="R6" s="18"/>
      <c r="S6" s="18"/>
      <c r="T6" s="18"/>
      <c r="U6" s="18">
        <v>-8.99</v>
      </c>
      <c r="X6" s="71" t="s">
        <v>237</v>
      </c>
      <c r="Y6" s="73" t="s">
        <v>251</v>
      </c>
    </row>
    <row r="7" spans="1:25" ht="63">
      <c r="A7" s="66">
        <v>43179</v>
      </c>
      <c r="B7" s="66" t="str">
        <f>VLOOKUP(MONTH(A7),'Lookup Tables'!$A$3:$B$14,2,FALSE)</f>
        <v>Mar</v>
      </c>
      <c r="C7" s="66" t="str">
        <f>VLOOKUP(Table1[[#This Row],[Category]],$X$1:$Y$11,2,FALSE)</f>
        <v>2. Expense</v>
      </c>
      <c r="D7" s="66" t="s">
        <v>236</v>
      </c>
      <c r="E7" s="58" t="s">
        <v>159</v>
      </c>
      <c r="F7" s="59">
        <v>-5.29</v>
      </c>
      <c r="G7" s="59">
        <f t="shared" ref="G7:G10" si="0">G6+F7</f>
        <v>32.24</v>
      </c>
      <c r="H7" s="156"/>
      <c r="I7" s="55"/>
      <c r="L7" s="69" t="s">
        <v>237</v>
      </c>
      <c r="M7" s="18"/>
      <c r="N7" s="18"/>
      <c r="O7" s="18">
        <v>-10.589399999999999</v>
      </c>
      <c r="P7" s="18">
        <v>-29.979999999999997</v>
      </c>
      <c r="Q7" s="18">
        <v>-74.939999999999984</v>
      </c>
      <c r="R7" s="18">
        <v>-29.97</v>
      </c>
      <c r="S7" s="18">
        <v>-84.949999999999989</v>
      </c>
      <c r="T7" s="18"/>
      <c r="U7" s="18">
        <v>-230.42939999999996</v>
      </c>
      <c r="X7" s="71" t="s">
        <v>238</v>
      </c>
      <c r="Y7" s="57" t="s">
        <v>249</v>
      </c>
    </row>
    <row r="8" spans="1:25" ht="78.75">
      <c r="A8" s="66">
        <v>43179</v>
      </c>
      <c r="B8" s="66" t="str">
        <f>VLOOKUP(MONTH(A8),'Lookup Tables'!$A$3:$B$14,2,FALSE)</f>
        <v>Mar</v>
      </c>
      <c r="C8" s="66" t="str">
        <f>VLOOKUP(Table1[[#This Row],[Category]],$X$1:$Y$11,2,FALSE)</f>
        <v>2. Expense</v>
      </c>
      <c r="D8" s="66" t="s">
        <v>235</v>
      </c>
      <c r="E8" s="58" t="s">
        <v>160</v>
      </c>
      <c r="F8" s="59">
        <f>-1*(24.99 + (0.06*24.99))</f>
        <v>-26.4894</v>
      </c>
      <c r="G8" s="59">
        <f t="shared" si="0"/>
        <v>5.7506000000000022</v>
      </c>
      <c r="H8" s="156"/>
      <c r="I8" s="55"/>
      <c r="L8" s="69" t="s">
        <v>241</v>
      </c>
      <c r="M8" s="18"/>
      <c r="N8" s="18"/>
      <c r="O8" s="18"/>
      <c r="P8" s="18"/>
      <c r="Q8" s="18"/>
      <c r="R8" s="18">
        <v>-21.6</v>
      </c>
      <c r="S8" s="18">
        <v>-60.377333333333333</v>
      </c>
      <c r="T8" s="18"/>
      <c r="U8" s="18">
        <v>-81.977333333333334</v>
      </c>
      <c r="X8" s="71" t="s">
        <v>84</v>
      </c>
      <c r="Y8" s="57" t="s">
        <v>249</v>
      </c>
    </row>
    <row r="9" spans="1:25" ht="63">
      <c r="A9" s="66">
        <v>43202</v>
      </c>
      <c r="B9" s="66" t="str">
        <f>VLOOKUP(MONTH(A9),'Lookup Tables'!$A$3:$B$14,2,FALSE)</f>
        <v>Apr</v>
      </c>
      <c r="C9" s="66" t="str">
        <f>VLOOKUP(Table1[[#This Row],[Category]],$X$1:$Y$11,2,FALSE)</f>
        <v>2. Expense</v>
      </c>
      <c r="D9" s="66" t="s">
        <v>237</v>
      </c>
      <c r="E9" s="58" t="s">
        <v>161</v>
      </c>
      <c r="F9" s="59">
        <f>-1*(9.99 + (0.06*9.99))</f>
        <v>-10.589399999999999</v>
      </c>
      <c r="G9" s="59">
        <f t="shared" si="0"/>
        <v>-4.8387999999999973</v>
      </c>
      <c r="H9" s="156"/>
      <c r="I9" s="55"/>
      <c r="L9" s="69" t="s">
        <v>236</v>
      </c>
      <c r="M9" s="18"/>
      <c r="N9" s="18">
        <v>-5.29</v>
      </c>
      <c r="O9" s="18"/>
      <c r="P9" s="18"/>
      <c r="Q9" s="18"/>
      <c r="R9" s="18"/>
      <c r="S9" s="18"/>
      <c r="T9" s="18"/>
      <c r="U9" s="18">
        <v>-5.29</v>
      </c>
      <c r="X9" s="71" t="s">
        <v>240</v>
      </c>
      <c r="Y9" s="73" t="s">
        <v>251</v>
      </c>
    </row>
    <row r="10" spans="1:25" ht="126">
      <c r="A10" s="66">
        <v>43370</v>
      </c>
      <c r="B10" s="66" t="str">
        <f>VLOOKUP(MONTH(A10),'Lookup Tables'!$A$3:$B$14,2,FALSE)</f>
        <v>Sep</v>
      </c>
      <c r="C10" s="66" t="str">
        <f>VLOOKUP(Table1[[#This Row],[Category]],$X$1:$Y$11,2,FALSE)</f>
        <v>1. Income</v>
      </c>
      <c r="D10" s="66" t="s">
        <v>238</v>
      </c>
      <c r="E10" s="58" t="s">
        <v>223</v>
      </c>
      <c r="F10" s="59">
        <v>14.6</v>
      </c>
      <c r="G10" s="59">
        <f t="shared" si="0"/>
        <v>9.7612000000000023</v>
      </c>
      <c r="H10" s="156"/>
      <c r="I10" s="55"/>
      <c r="L10" s="69" t="s">
        <v>242</v>
      </c>
      <c r="M10" s="18"/>
      <c r="N10" s="18"/>
      <c r="O10" s="18"/>
      <c r="P10" s="18"/>
      <c r="Q10" s="18"/>
      <c r="R10" s="18"/>
      <c r="S10" s="18">
        <v>-3</v>
      </c>
      <c r="T10" s="18"/>
      <c r="U10" s="18">
        <v>-3</v>
      </c>
      <c r="X10" s="71" t="s">
        <v>241</v>
      </c>
      <c r="Y10" s="73" t="s">
        <v>251</v>
      </c>
    </row>
    <row r="11" spans="1:25" ht="31.5">
      <c r="A11" s="66">
        <v>43370</v>
      </c>
      <c r="B11" s="66" t="str">
        <f>VLOOKUP(MONTH(A11),'Lookup Tables'!$A$3:$B$14,2,FALSE)</f>
        <v>Sep</v>
      </c>
      <c r="C11" s="66" t="str">
        <f>VLOOKUP(Table1[[#This Row],[Category]],$X$1:$Y$11,2,FALSE)</f>
        <v>2. Expense</v>
      </c>
      <c r="D11" s="66" t="s">
        <v>237</v>
      </c>
      <c r="E11" s="58" t="s">
        <v>163</v>
      </c>
      <c r="F11" s="59">
        <v>-9.99</v>
      </c>
      <c r="G11" s="59">
        <f t="shared" ref="G11:G50" si="1">G10+F11</f>
        <v>-0.22879999999999789</v>
      </c>
      <c r="H11" s="156"/>
      <c r="I11" s="55"/>
      <c r="L11" s="69" t="s">
        <v>235</v>
      </c>
      <c r="M11" s="18"/>
      <c r="N11" s="18">
        <v>-43.959400000000002</v>
      </c>
      <c r="O11" s="18"/>
      <c r="P11" s="18"/>
      <c r="Q11" s="18"/>
      <c r="R11" s="18"/>
      <c r="S11" s="18"/>
      <c r="T11" s="18"/>
      <c r="U11" s="18">
        <v>-43.959400000000002</v>
      </c>
      <c r="X11" s="71" t="s">
        <v>242</v>
      </c>
      <c r="Y11" s="73" t="s">
        <v>251</v>
      </c>
    </row>
    <row r="12" spans="1:25" ht="63">
      <c r="A12" s="66">
        <v>43372</v>
      </c>
      <c r="B12" s="66" t="str">
        <f>VLOOKUP(MONTH(A12),'Lookup Tables'!$A$3:$B$14,2,FALSE)</f>
        <v>Sep</v>
      </c>
      <c r="C12" s="66" t="str">
        <f>VLOOKUP(Table1[[#This Row],[Category]],$X$1:$Y$11,2,FALSE)</f>
        <v>1. Income</v>
      </c>
      <c r="D12" s="66" t="s">
        <v>238</v>
      </c>
      <c r="E12" s="58" t="s">
        <v>222</v>
      </c>
      <c r="F12" s="59">
        <v>20</v>
      </c>
      <c r="G12" s="59">
        <f t="shared" si="1"/>
        <v>19.7712</v>
      </c>
      <c r="H12" s="156"/>
      <c r="I12" s="55"/>
      <c r="L12" s="7" t="s">
        <v>39</v>
      </c>
      <c r="M12" s="18"/>
      <c r="N12" s="18"/>
      <c r="O12" s="18"/>
      <c r="P12" s="18"/>
      <c r="Q12" s="18"/>
      <c r="R12" s="18"/>
      <c r="S12" s="18"/>
      <c r="T12" s="18"/>
      <c r="U12" s="18"/>
      <c r="X12" s="72" t="s">
        <v>243</v>
      </c>
      <c r="Y12" s="57" t="s">
        <v>250</v>
      </c>
    </row>
    <row r="13" spans="1:25" ht="31.5">
      <c r="A13" s="66">
        <v>43372</v>
      </c>
      <c r="B13" s="66" t="str">
        <f>VLOOKUP(MONTH(A13),'Lookup Tables'!$A$3:$B$14,2,FALSE)</f>
        <v>Sep</v>
      </c>
      <c r="C13" s="66" t="str">
        <f>VLOOKUP(Table1[[#This Row],[Category]],$X$1:$Y$11,2,FALSE)</f>
        <v>2. Expense</v>
      </c>
      <c r="D13" s="66" t="s">
        <v>237</v>
      </c>
      <c r="E13" s="58" t="s">
        <v>164</v>
      </c>
      <c r="F13" s="59">
        <v>-19.989999999999998</v>
      </c>
      <c r="G13" s="59">
        <f t="shared" si="1"/>
        <v>-0.21879999999999811</v>
      </c>
      <c r="H13" s="156"/>
      <c r="I13" s="55"/>
      <c r="L13" s="69" t="s">
        <v>39</v>
      </c>
      <c r="M13" s="18"/>
      <c r="N13" s="18"/>
      <c r="O13" s="18"/>
      <c r="P13" s="18"/>
      <c r="Q13" s="18"/>
      <c r="R13" s="18"/>
      <c r="S13" s="18"/>
      <c r="T13" s="18"/>
      <c r="U13" s="18"/>
      <c r="X13"/>
    </row>
    <row r="14" spans="1:25" ht="63">
      <c r="A14" s="66">
        <v>43384</v>
      </c>
      <c r="B14" s="66" t="str">
        <f>VLOOKUP(MONTH(A14),'Lookup Tables'!$A$3:$B$14,2,FALSE)</f>
        <v>Oct</v>
      </c>
      <c r="C14" s="66" t="str">
        <f>VLOOKUP(Table1[[#This Row],[Category]],$X$1:$Y$11,2,FALSE)</f>
        <v>1. Income</v>
      </c>
      <c r="D14" s="66" t="s">
        <v>238</v>
      </c>
      <c r="E14" s="58" t="s">
        <v>222</v>
      </c>
      <c r="F14" s="59">
        <v>20</v>
      </c>
      <c r="G14" s="59">
        <f t="shared" si="1"/>
        <v>19.781200000000002</v>
      </c>
      <c r="H14" s="156"/>
      <c r="I14" s="55"/>
      <c r="L14" s="7" t="s">
        <v>40</v>
      </c>
      <c r="M14" s="18">
        <v>5</v>
      </c>
      <c r="N14" s="18">
        <v>0.7505999999999986</v>
      </c>
      <c r="O14" s="18">
        <v>-10.589399999999999</v>
      </c>
      <c r="P14" s="18">
        <v>4.6200000000000045</v>
      </c>
      <c r="Q14" s="18">
        <v>-4.5799999999999841</v>
      </c>
      <c r="R14" s="18">
        <v>2.4299999999999997</v>
      </c>
      <c r="S14" s="18">
        <v>12.616000000000007</v>
      </c>
      <c r="T14" s="18"/>
      <c r="U14" s="18">
        <v>10.247200000000014</v>
      </c>
      <c r="X14"/>
    </row>
    <row r="15" spans="1:25" ht="31.5">
      <c r="A15" s="66">
        <v>43384</v>
      </c>
      <c r="B15" s="66" t="str">
        <f>VLOOKUP(MONTH(A15),'Lookup Tables'!$A$3:$B$14,2,FALSE)</f>
        <v>Oct</v>
      </c>
      <c r="C15" s="66" t="str">
        <f>VLOOKUP(Table1[[#This Row],[Category]],$X$1:$Y$11,2,FALSE)</f>
        <v>2. Expense</v>
      </c>
      <c r="D15" s="66" t="s">
        <v>237</v>
      </c>
      <c r="E15" s="58" t="s">
        <v>163</v>
      </c>
      <c r="F15" s="59">
        <v>-9.99</v>
      </c>
      <c r="G15" s="59">
        <f t="shared" si="1"/>
        <v>9.7912000000000017</v>
      </c>
      <c r="H15" s="156"/>
      <c r="I15" s="55"/>
      <c r="L15"/>
      <c r="M15"/>
      <c r="N15"/>
      <c r="O15"/>
      <c r="P15"/>
      <c r="Q15"/>
      <c r="R15"/>
      <c r="S15"/>
      <c r="T15"/>
      <c r="U15"/>
      <c r="X15"/>
    </row>
    <row r="16" spans="1:25" ht="31.5">
      <c r="A16" s="66">
        <v>43384</v>
      </c>
      <c r="B16" s="66" t="str">
        <f>VLOOKUP(MONTH(A16),'Lookup Tables'!$A$3:$B$14,2,FALSE)</f>
        <v>Oct</v>
      </c>
      <c r="C16" s="66" t="str">
        <f>VLOOKUP(Table1[[#This Row],[Category]],$X$1:$Y$11,2,FALSE)</f>
        <v>2. Expense</v>
      </c>
      <c r="D16" s="66" t="s">
        <v>237</v>
      </c>
      <c r="E16" s="58" t="s">
        <v>163</v>
      </c>
      <c r="F16" s="59">
        <v>-9.99</v>
      </c>
      <c r="G16" s="59">
        <f t="shared" si="1"/>
        <v>-0.19879999999999853</v>
      </c>
      <c r="H16" s="156"/>
      <c r="I16" s="55"/>
      <c r="L16"/>
      <c r="M16"/>
      <c r="N16"/>
      <c r="O16"/>
      <c r="P16"/>
      <c r="Q16"/>
      <c r="R16"/>
      <c r="S16"/>
      <c r="T16"/>
      <c r="U16"/>
      <c r="X16"/>
    </row>
    <row r="17" spans="1:32" ht="94.5">
      <c r="A17" s="66">
        <v>43388</v>
      </c>
      <c r="B17" s="66" t="str">
        <f>VLOOKUP(MONTH(A17),'Lookup Tables'!$A$3:$B$14,2,FALSE)</f>
        <v>Oct</v>
      </c>
      <c r="C17" s="66" t="str">
        <f>VLOOKUP(Table1[[#This Row],[Category]],$X$1:$Y$11,2,FALSE)</f>
        <v>1. Income</v>
      </c>
      <c r="D17" s="66" t="s">
        <v>239</v>
      </c>
      <c r="E17" s="58" t="s">
        <v>224</v>
      </c>
      <c r="F17" s="59">
        <v>12</v>
      </c>
      <c r="G17" s="59">
        <f t="shared" si="1"/>
        <v>11.801200000000001</v>
      </c>
      <c r="H17" s="156"/>
      <c r="I17" s="55"/>
      <c r="J17"/>
      <c r="K17"/>
      <c r="L17"/>
      <c r="M17"/>
      <c r="N17"/>
      <c r="O17"/>
      <c r="P17"/>
      <c r="Q17"/>
      <c r="R17"/>
      <c r="S17"/>
      <c r="T17"/>
      <c r="U17"/>
      <c r="X17"/>
    </row>
    <row r="18" spans="1:32" ht="31.5">
      <c r="A18" s="66">
        <v>43388</v>
      </c>
      <c r="B18" s="66" t="str">
        <f>VLOOKUP(MONTH(A18),'Lookup Tables'!$A$3:$B$14,2,FALSE)</f>
        <v>Oct</v>
      </c>
      <c r="C18" s="66" t="str">
        <f>VLOOKUP(Table1[[#This Row],[Category]],$X$1:$Y$11,2,FALSE)</f>
        <v>2. Expense</v>
      </c>
      <c r="D18" s="66" t="s">
        <v>237</v>
      </c>
      <c r="E18" s="58" t="s">
        <v>163</v>
      </c>
      <c r="F18" s="59">
        <v>-9.99</v>
      </c>
      <c r="G18" s="59">
        <f t="shared" si="1"/>
        <v>1.8112000000000013</v>
      </c>
      <c r="H18" s="156"/>
      <c r="I18" s="55"/>
      <c r="J18"/>
      <c r="K18"/>
      <c r="L18"/>
      <c r="M18"/>
      <c r="N18"/>
      <c r="O18"/>
      <c r="P18"/>
      <c r="Q18"/>
      <c r="R18"/>
      <c r="S18"/>
      <c r="T18"/>
      <c r="U18"/>
      <c r="X18"/>
    </row>
    <row r="19" spans="1:32" ht="31.5">
      <c r="A19" s="66">
        <v>43397</v>
      </c>
      <c r="B19" s="66" t="str">
        <f>VLOOKUP(MONTH(A19),'Lookup Tables'!$A$3:$B$14,2,FALSE)</f>
        <v>Oct</v>
      </c>
      <c r="C19" s="66" t="str">
        <f>VLOOKUP(Table1[[#This Row],[Category]],$X$1:$Y$11,2,FALSE)</f>
        <v>1. Income</v>
      </c>
      <c r="D19" s="66" t="s">
        <v>84</v>
      </c>
      <c r="E19" s="58" t="s">
        <v>165</v>
      </c>
      <c r="F19" s="59">
        <v>35</v>
      </c>
      <c r="G19" s="59">
        <f t="shared" si="1"/>
        <v>36.811199999999999</v>
      </c>
      <c r="H19" s="156"/>
      <c r="I19" s="55"/>
      <c r="J19"/>
      <c r="K19"/>
      <c r="L19" s="6" t="s">
        <v>246</v>
      </c>
      <c r="M19" s="6" t="s">
        <v>244</v>
      </c>
      <c r="N19"/>
      <c r="O19"/>
      <c r="P19"/>
      <c r="Q19"/>
      <c r="R19"/>
      <c r="S19"/>
      <c r="T19"/>
      <c r="U19"/>
      <c r="V19"/>
      <c r="W19"/>
      <c r="X19"/>
      <c r="Y19"/>
      <c r="Z19"/>
      <c r="AA19"/>
      <c r="AB19"/>
      <c r="AC19"/>
      <c r="AD19"/>
      <c r="AE19"/>
      <c r="AF19"/>
    </row>
    <row r="20" spans="1:32" ht="31.5">
      <c r="A20" s="66">
        <v>43397</v>
      </c>
      <c r="B20" s="66" t="str">
        <f>VLOOKUP(MONTH(A20),'Lookup Tables'!$A$3:$B$14,2,FALSE)</f>
        <v>Oct</v>
      </c>
      <c r="C20" s="66" t="str">
        <f>VLOOKUP(Table1[[#This Row],[Category]],$X$1:$Y$11,2,FALSE)</f>
        <v>2. Expense</v>
      </c>
      <c r="D20" s="66" t="s">
        <v>237</v>
      </c>
      <c r="E20" s="58" t="s">
        <v>166</v>
      </c>
      <c r="F20" s="59">
        <v>-24.99</v>
      </c>
      <c r="G20" s="59">
        <f t="shared" si="1"/>
        <v>11.821200000000001</v>
      </c>
      <c r="H20" s="156"/>
      <c r="I20" s="55"/>
      <c r="L20" s="6" t="s">
        <v>247</v>
      </c>
      <c r="M20" t="s">
        <v>44</v>
      </c>
      <c r="N20" t="s">
        <v>45</v>
      </c>
      <c r="O20" t="s">
        <v>46</v>
      </c>
      <c r="P20" t="s">
        <v>47</v>
      </c>
      <c r="Q20" t="s">
        <v>42</v>
      </c>
      <c r="R20" t="s">
        <v>48</v>
      </c>
      <c r="S20" t="s">
        <v>43</v>
      </c>
      <c r="T20" t="s">
        <v>49</v>
      </c>
      <c r="U20" t="s">
        <v>53</v>
      </c>
      <c r="V20" t="s">
        <v>40</v>
      </c>
      <c r="W20"/>
      <c r="X20"/>
      <c r="Y20"/>
      <c r="Z20"/>
      <c r="AA20"/>
      <c r="AB20"/>
      <c r="AC20"/>
      <c r="AD20"/>
      <c r="AE20"/>
      <c r="AF20"/>
    </row>
    <row r="21" spans="1:32" ht="31.5">
      <c r="A21" s="66">
        <v>43397</v>
      </c>
      <c r="B21" s="66" t="str">
        <f>VLOOKUP(MONTH(A21),'Lookup Tables'!$A$3:$B$14,2,FALSE)</f>
        <v>Oct</v>
      </c>
      <c r="C21" s="66" t="str">
        <f>VLOOKUP(Table1[[#This Row],[Category]],$X$1:$Y$11,2,FALSE)</f>
        <v>2. Expense</v>
      </c>
      <c r="D21" s="66" t="s">
        <v>240</v>
      </c>
      <c r="E21" s="58" t="s">
        <v>167</v>
      </c>
      <c r="F21" s="59">
        <v>-8.99</v>
      </c>
      <c r="G21" s="59">
        <f t="shared" si="1"/>
        <v>2.8312000000000008</v>
      </c>
      <c r="H21" s="156"/>
      <c r="I21" s="55"/>
      <c r="L21" s="7" t="s">
        <v>249</v>
      </c>
      <c r="M21" s="18">
        <v>15</v>
      </c>
      <c r="N21" s="18">
        <v>10</v>
      </c>
      <c r="O21" s="18">
        <v>31.8</v>
      </c>
      <c r="P21" s="18">
        <v>84.8</v>
      </c>
      <c r="Q21" s="18">
        <v>44.5</v>
      </c>
      <c r="R21" s="18">
        <v>10</v>
      </c>
      <c r="S21" s="18">
        <v>10</v>
      </c>
      <c r="T21" s="18">
        <v>30</v>
      </c>
      <c r="U21" s="18">
        <v>35.61</v>
      </c>
      <c r="V21" s="18">
        <v>271.71000000000004</v>
      </c>
      <c r="W21"/>
      <c r="X21"/>
      <c r="Y21"/>
      <c r="Z21"/>
      <c r="AA21"/>
      <c r="AB21"/>
      <c r="AC21"/>
      <c r="AD21"/>
      <c r="AE21"/>
      <c r="AF21"/>
    </row>
    <row r="22" spans="1:32" ht="94.5">
      <c r="A22" s="66">
        <v>43402</v>
      </c>
      <c r="B22" s="66" t="str">
        <f>VLOOKUP(MONTH(A22),'Lookup Tables'!$A$3:$B$14,2,FALSE)</f>
        <v>Oct</v>
      </c>
      <c r="C22" s="66" t="str">
        <f>VLOOKUP(Table1[[#This Row],[Category]],$X$1:$Y$11,2,FALSE)</f>
        <v>1. Income</v>
      </c>
      <c r="D22" s="66" t="s">
        <v>239</v>
      </c>
      <c r="E22" s="58" t="s">
        <v>225</v>
      </c>
      <c r="F22" s="59">
        <v>12</v>
      </c>
      <c r="G22" s="59">
        <f>G21+F22</f>
        <v>14.831200000000001</v>
      </c>
      <c r="H22" s="156"/>
      <c r="I22" s="55"/>
      <c r="L22" s="69" t="s">
        <v>84</v>
      </c>
      <c r="M22" s="18">
        <v>15</v>
      </c>
      <c r="N22" s="18"/>
      <c r="O22" s="18"/>
      <c r="P22" s="18">
        <v>54.5</v>
      </c>
      <c r="Q22" s="18">
        <v>20.25</v>
      </c>
      <c r="R22" s="18"/>
      <c r="S22" s="18"/>
      <c r="T22" s="18">
        <v>30</v>
      </c>
      <c r="U22" s="18">
        <v>35.61</v>
      </c>
      <c r="V22" s="18">
        <v>155.36000000000001</v>
      </c>
      <c r="W22"/>
      <c r="X22"/>
      <c r="Y22"/>
      <c r="Z22"/>
      <c r="AA22"/>
      <c r="AB22"/>
      <c r="AC22"/>
      <c r="AD22"/>
      <c r="AE22"/>
      <c r="AF22"/>
    </row>
    <row r="23" spans="1:32" ht="47.25">
      <c r="A23" s="66">
        <v>43402</v>
      </c>
      <c r="B23" s="66" t="str">
        <f>VLOOKUP(MONTH(A23),'Lookup Tables'!$A$3:$B$14,2,FALSE)</f>
        <v>Oct</v>
      </c>
      <c r="C23" s="66" t="str">
        <f>VLOOKUP(Table1[[#This Row],[Category]],$X$1:$Y$11,2,FALSE)</f>
        <v>2. Expense</v>
      </c>
      <c r="D23" s="66" t="s">
        <v>237</v>
      </c>
      <c r="E23" s="58" t="s">
        <v>168</v>
      </c>
      <c r="F23" s="59">
        <v>-9.99</v>
      </c>
      <c r="G23" s="59">
        <f t="shared" si="1"/>
        <v>4.8412000000000006</v>
      </c>
      <c r="H23" s="156"/>
      <c r="I23" s="55"/>
      <c r="L23" s="69" t="s">
        <v>239</v>
      </c>
      <c r="M23" s="18"/>
      <c r="N23" s="18">
        <v>10</v>
      </c>
      <c r="O23" s="18">
        <v>12</v>
      </c>
      <c r="P23" s="18">
        <v>24</v>
      </c>
      <c r="Q23" s="18">
        <v>24.25</v>
      </c>
      <c r="R23" s="18"/>
      <c r="S23" s="18"/>
      <c r="T23" s="18"/>
      <c r="U23" s="18"/>
      <c r="V23" s="18">
        <v>70.25</v>
      </c>
      <c r="W23"/>
      <c r="X23"/>
      <c r="Y23"/>
      <c r="Z23"/>
      <c r="AA23"/>
      <c r="AB23"/>
      <c r="AC23"/>
      <c r="AD23"/>
      <c r="AE23"/>
      <c r="AF23"/>
    </row>
    <row r="24" spans="1:32">
      <c r="A24" s="66">
        <v>43403</v>
      </c>
      <c r="B24" s="66" t="str">
        <f>VLOOKUP(MONTH(A24),'Lookup Tables'!$A$3:$B$14,2,FALSE)</f>
        <v>Oct</v>
      </c>
      <c r="C24" s="66" t="str">
        <f>VLOOKUP(Table1[[#This Row],[Category]],$X$1:$Y$11,2,FALSE)</f>
        <v>1. Income</v>
      </c>
      <c r="D24" s="66" t="s">
        <v>84</v>
      </c>
      <c r="E24" s="58" t="s">
        <v>169</v>
      </c>
      <c r="F24" s="59">
        <v>0.35</v>
      </c>
      <c r="G24" s="59">
        <f t="shared" si="1"/>
        <v>5.1912000000000003</v>
      </c>
      <c r="H24" s="156"/>
      <c r="I24" s="55"/>
      <c r="L24" s="69" t="s">
        <v>238</v>
      </c>
      <c r="M24" s="18"/>
      <c r="N24" s="18"/>
      <c r="O24" s="18">
        <v>19.8</v>
      </c>
      <c r="P24" s="18">
        <v>6.3</v>
      </c>
      <c r="Q24" s="18"/>
      <c r="R24" s="18">
        <v>10</v>
      </c>
      <c r="S24" s="18">
        <v>10</v>
      </c>
      <c r="T24" s="18"/>
      <c r="U24" s="18"/>
      <c r="V24" s="18">
        <v>46.1</v>
      </c>
      <c r="W24"/>
      <c r="X24"/>
      <c r="Y24"/>
      <c r="Z24"/>
      <c r="AA24"/>
      <c r="AB24"/>
      <c r="AC24"/>
      <c r="AD24"/>
      <c r="AE24"/>
      <c r="AF24"/>
    </row>
    <row r="25" spans="1:32" ht="47.25">
      <c r="A25" s="66">
        <v>43403</v>
      </c>
      <c r="B25" s="66" t="str">
        <f>VLOOKUP(MONTH(A25),'Lookup Tables'!$A$3:$B$14,2,FALSE)</f>
        <v>Oct</v>
      </c>
      <c r="C25" s="66" t="str">
        <f>VLOOKUP(Table1[[#This Row],[Category]],$X$1:$Y$11,2,FALSE)</f>
        <v>2. Expense</v>
      </c>
      <c r="D25" s="66" t="s">
        <v>237</v>
      </c>
      <c r="E25" s="58" t="s">
        <v>168</v>
      </c>
      <c r="F25" s="59">
        <v>-9.99</v>
      </c>
      <c r="G25" s="59">
        <f t="shared" si="1"/>
        <v>-4.7988</v>
      </c>
      <c r="H25" s="156"/>
      <c r="I25" s="55"/>
      <c r="L25" s="7" t="s">
        <v>251</v>
      </c>
      <c r="M25" s="18">
        <v>-15.99</v>
      </c>
      <c r="N25" s="18"/>
      <c r="O25" s="18">
        <v>-31.700000000000003</v>
      </c>
      <c r="P25" s="18">
        <v>-95.759999999999991</v>
      </c>
      <c r="Q25" s="18">
        <v>-34.590000000000003</v>
      </c>
      <c r="R25" s="18">
        <v>-19.88</v>
      </c>
      <c r="S25" s="18">
        <v>-4.99</v>
      </c>
      <c r="T25" s="18">
        <v>-31.869999999999997</v>
      </c>
      <c r="U25" s="18">
        <v>-38.97</v>
      </c>
      <c r="V25" s="18">
        <v>-273.74999999999994</v>
      </c>
      <c r="W25"/>
      <c r="X25"/>
      <c r="Y25"/>
      <c r="Z25"/>
      <c r="AA25"/>
      <c r="AB25"/>
      <c r="AC25"/>
      <c r="AD25"/>
      <c r="AE25"/>
      <c r="AF25"/>
    </row>
    <row r="26" spans="1:32" ht="63">
      <c r="A26" s="66">
        <v>43414</v>
      </c>
      <c r="B26" s="66" t="str">
        <f>VLOOKUP(MONTH(A26),'Lookup Tables'!$A$3:$B$14,2,FALSE)</f>
        <v>Nov</v>
      </c>
      <c r="C26" s="66" t="str">
        <f>VLOOKUP(Table1[[#This Row],[Category]],$X$1:$Y$11,2,FALSE)</f>
        <v>1. Income</v>
      </c>
      <c r="D26" s="66" t="s">
        <v>238</v>
      </c>
      <c r="E26" s="58" t="s">
        <v>170</v>
      </c>
      <c r="F26" s="59">
        <v>25</v>
      </c>
      <c r="G26" s="59">
        <f t="shared" si="1"/>
        <v>20.2012</v>
      </c>
      <c r="H26" s="156"/>
      <c r="I26" s="74" t="s">
        <v>233</v>
      </c>
      <c r="L26" s="69" t="s">
        <v>237</v>
      </c>
      <c r="M26" s="18">
        <v>-9.99</v>
      </c>
      <c r="N26" s="18"/>
      <c r="O26" s="18">
        <v>-14.98</v>
      </c>
      <c r="P26" s="18">
        <v>-70.559999999999988</v>
      </c>
      <c r="Q26" s="18">
        <v>-24.99</v>
      </c>
      <c r="R26" s="18"/>
      <c r="S26" s="18">
        <v>-4.99</v>
      </c>
      <c r="T26" s="18">
        <v>-23.869999999999997</v>
      </c>
      <c r="U26" s="18">
        <v>-24.97</v>
      </c>
      <c r="V26" s="18">
        <v>-174.34999999999997</v>
      </c>
      <c r="W26"/>
      <c r="X26"/>
      <c r="Y26"/>
      <c r="Z26"/>
      <c r="AA26"/>
      <c r="AB26"/>
      <c r="AC26"/>
      <c r="AD26"/>
      <c r="AE26"/>
      <c r="AF26"/>
    </row>
    <row r="27" spans="1:32">
      <c r="A27" s="67"/>
      <c r="D27" s="67"/>
      <c r="E27" s="75"/>
      <c r="F27" s="60"/>
      <c r="G27" s="60"/>
      <c r="H27" s="157"/>
      <c r="I27" s="55"/>
      <c r="L27" s="69" t="s">
        <v>241</v>
      </c>
      <c r="M27" s="18">
        <v>-6</v>
      </c>
      <c r="N27" s="18"/>
      <c r="O27" s="18">
        <v>-16.720000000000002</v>
      </c>
      <c r="P27" s="18">
        <v>-4</v>
      </c>
      <c r="Q27" s="18">
        <v>-9.6000000000000014</v>
      </c>
      <c r="R27" s="18">
        <v>-4</v>
      </c>
      <c r="S27" s="18"/>
      <c r="T27" s="18">
        <v>-8</v>
      </c>
      <c r="U27" s="18">
        <v>-14</v>
      </c>
      <c r="V27" s="18">
        <v>-62.320000000000007</v>
      </c>
      <c r="W27"/>
      <c r="X27"/>
      <c r="Y27"/>
      <c r="Z27"/>
      <c r="AA27"/>
      <c r="AB27"/>
      <c r="AC27"/>
      <c r="AD27"/>
      <c r="AE27"/>
      <c r="AF27"/>
    </row>
    <row r="28" spans="1:32" ht="47.25">
      <c r="A28" s="66">
        <v>43414</v>
      </c>
      <c r="B28" s="66" t="str">
        <f>VLOOKUP(MONTH(A28),'Lookup Tables'!$A$3:$B$14,2,FALSE)</f>
        <v>Nov</v>
      </c>
      <c r="C28" s="66" t="str">
        <f>VLOOKUP(Table1[[#This Row],[Category]],$X$1:$Y$11,2,FALSE)</f>
        <v>2. Expense</v>
      </c>
      <c r="D28" s="66" t="s">
        <v>241</v>
      </c>
      <c r="E28" s="58" t="s">
        <v>171</v>
      </c>
      <c r="F28" s="59">
        <v>-10</v>
      </c>
      <c r="G28" s="59">
        <f>G26+F28</f>
        <v>10.2012</v>
      </c>
      <c r="H28" s="156"/>
      <c r="I28" s="55"/>
      <c r="L28" s="69" t="s">
        <v>236</v>
      </c>
      <c r="M28" s="18"/>
      <c r="N28" s="18"/>
      <c r="O28" s="18"/>
      <c r="P28" s="18">
        <v>-21.2</v>
      </c>
      <c r="Q28" s="18"/>
      <c r="R28" s="18">
        <v>-15.879999999999999</v>
      </c>
      <c r="S28" s="18"/>
      <c r="T28" s="18"/>
      <c r="U28" s="18"/>
      <c r="V28" s="18">
        <v>-37.08</v>
      </c>
      <c r="W28"/>
      <c r="X28"/>
      <c r="Y28"/>
      <c r="Z28"/>
      <c r="AA28"/>
      <c r="AB28"/>
      <c r="AC28"/>
      <c r="AD28"/>
      <c r="AE28"/>
      <c r="AF28"/>
    </row>
    <row r="29" spans="1:32" ht="47.25">
      <c r="A29" s="66">
        <v>43414</v>
      </c>
      <c r="B29" s="66" t="str">
        <f>VLOOKUP(MONTH(A29),'Lookup Tables'!$A$3:$B$14,2,FALSE)</f>
        <v>Nov</v>
      </c>
      <c r="C29" s="66" t="str">
        <f>VLOOKUP(Table1[[#This Row],[Category]],$X$1:$Y$11,2,FALSE)</f>
        <v>2. Expense</v>
      </c>
      <c r="D29" s="66" t="s">
        <v>237</v>
      </c>
      <c r="E29" s="58" t="s">
        <v>168</v>
      </c>
      <c r="F29" s="59">
        <v>-9.99</v>
      </c>
      <c r="G29" s="59">
        <f t="shared" si="1"/>
        <v>0.21119999999999983</v>
      </c>
      <c r="H29" s="156"/>
      <c r="I29" s="55"/>
      <c r="L29" s="7" t="s">
        <v>39</v>
      </c>
      <c r="M29" s="18">
        <v>15.09</v>
      </c>
      <c r="N29" s="18"/>
      <c r="O29" s="18"/>
      <c r="P29" s="18"/>
      <c r="Q29" s="18"/>
      <c r="R29" s="18"/>
      <c r="S29" s="18"/>
      <c r="T29" s="18"/>
      <c r="U29" s="18"/>
      <c r="V29" s="18">
        <v>15.09</v>
      </c>
      <c r="W29"/>
      <c r="X29"/>
      <c r="Y29"/>
      <c r="Z29"/>
      <c r="AA29"/>
      <c r="AB29"/>
      <c r="AC29"/>
      <c r="AD29"/>
      <c r="AE29"/>
      <c r="AF29"/>
    </row>
    <row r="30" spans="1:32" ht="78.75">
      <c r="A30" s="66">
        <v>43416</v>
      </c>
      <c r="B30" s="66" t="str">
        <f>VLOOKUP(MONTH(A30),'Lookup Tables'!$A$3:$B$14,2,FALSE)</f>
        <v>Nov</v>
      </c>
      <c r="C30" s="66" t="str">
        <f>VLOOKUP(Table1[[#This Row],[Category]],$X$1:$Y$11,2,FALSE)</f>
        <v>1. Income</v>
      </c>
      <c r="D30" s="66" t="s">
        <v>238</v>
      </c>
      <c r="E30" s="58" t="s">
        <v>172</v>
      </c>
      <c r="F30" s="59">
        <v>15</v>
      </c>
      <c r="G30" s="59">
        <f t="shared" si="1"/>
        <v>15.2112</v>
      </c>
      <c r="H30" s="156"/>
      <c r="I30" s="55"/>
      <c r="L30" s="69" t="s">
        <v>243</v>
      </c>
      <c r="M30" s="18">
        <v>15.09</v>
      </c>
      <c r="N30" s="18"/>
      <c r="O30" s="18"/>
      <c r="P30" s="18"/>
      <c r="Q30" s="18"/>
      <c r="R30" s="18"/>
      <c r="S30" s="18"/>
      <c r="T30" s="18"/>
      <c r="U30" s="18"/>
      <c r="V30" s="18">
        <v>15.09</v>
      </c>
      <c r="X30"/>
    </row>
    <row r="31" spans="1:32" ht="47.25">
      <c r="A31" s="66">
        <v>43416</v>
      </c>
      <c r="B31" s="66" t="str">
        <f>VLOOKUP(MONTH(A31),'Lookup Tables'!$A$3:$B$14,2,FALSE)</f>
        <v>Nov</v>
      </c>
      <c r="C31" s="66" t="str">
        <f>VLOOKUP(Table1[[#This Row],[Category]],$X$1:$Y$11,2,FALSE)</f>
        <v>2. Expense</v>
      </c>
      <c r="D31" s="66" t="s">
        <v>241</v>
      </c>
      <c r="E31" s="58" t="s">
        <v>171</v>
      </c>
      <c r="F31" s="59">
        <f>-1*F30*0.4</f>
        <v>-6</v>
      </c>
      <c r="G31" s="59">
        <f t="shared" si="1"/>
        <v>9.2111999999999998</v>
      </c>
      <c r="H31" s="156"/>
      <c r="I31" s="55"/>
      <c r="L31" s="7" t="s">
        <v>40</v>
      </c>
      <c r="M31" s="18">
        <v>14.1</v>
      </c>
      <c r="N31" s="18">
        <v>10</v>
      </c>
      <c r="O31" s="18">
        <v>9.9999999999997868E-2</v>
      </c>
      <c r="P31" s="18">
        <v>-10.95999999999999</v>
      </c>
      <c r="Q31" s="18">
        <v>9.91</v>
      </c>
      <c r="R31" s="18">
        <v>-9.879999999999999</v>
      </c>
      <c r="S31" s="18">
        <v>5.01</v>
      </c>
      <c r="T31" s="18">
        <v>-1.8699999999999974</v>
      </c>
      <c r="U31" s="18">
        <v>-3.3599999999999994</v>
      </c>
      <c r="V31" s="18">
        <v>13.050000000000065</v>
      </c>
      <c r="X31"/>
    </row>
    <row r="32" spans="1:32" ht="47.25">
      <c r="A32" s="66">
        <v>43416</v>
      </c>
      <c r="B32" s="66" t="str">
        <f>VLOOKUP(MONTH(A32),'Lookup Tables'!$A$3:$B$14,2,FALSE)</f>
        <v>Nov</v>
      </c>
      <c r="C32" s="66" t="str">
        <f>VLOOKUP(Table1[[#This Row],[Category]],$X$1:$Y$11,2,FALSE)</f>
        <v>2. Expense</v>
      </c>
      <c r="D32" s="66" t="s">
        <v>237</v>
      </c>
      <c r="E32" s="58" t="s">
        <v>168</v>
      </c>
      <c r="F32" s="59">
        <v>-9.99</v>
      </c>
      <c r="G32" s="59">
        <f t="shared" si="1"/>
        <v>-0.77880000000000038</v>
      </c>
      <c r="H32" s="156"/>
      <c r="I32" s="55"/>
      <c r="L32"/>
      <c r="M32"/>
      <c r="N32"/>
      <c r="X32"/>
    </row>
    <row r="33" spans="1:24" ht="94.5">
      <c r="A33" s="66">
        <v>43416</v>
      </c>
      <c r="B33" s="66" t="str">
        <f>VLOOKUP(MONTH(A33),'Lookup Tables'!$A$3:$B$14,2,FALSE)</f>
        <v>Nov</v>
      </c>
      <c r="C33" s="66" t="str">
        <f>VLOOKUP(Table1[[#This Row],[Category]],$X$1:$Y$11,2,FALSE)</f>
        <v>1. Income</v>
      </c>
      <c r="D33" s="66" t="s">
        <v>239</v>
      </c>
      <c r="E33" s="58" t="s">
        <v>226</v>
      </c>
      <c r="F33" s="59">
        <v>14</v>
      </c>
      <c r="G33" s="59">
        <f t="shared" si="1"/>
        <v>13.2212</v>
      </c>
      <c r="H33" s="156"/>
      <c r="I33" s="55"/>
      <c r="L33" s="6" t="s">
        <v>383</v>
      </c>
      <c r="M33" s="6" t="s">
        <v>244</v>
      </c>
      <c r="N33"/>
      <c r="O33"/>
      <c r="P33"/>
      <c r="Q33"/>
      <c r="X33"/>
    </row>
    <row r="34" spans="1:24" ht="47.25">
      <c r="A34" s="66">
        <v>43416</v>
      </c>
      <c r="B34" s="66" t="str">
        <f>VLOOKUP(MONTH(A34),'Lookup Tables'!$A$3:$B$14,2,FALSE)</f>
        <v>Nov</v>
      </c>
      <c r="C34" s="66" t="str">
        <f>VLOOKUP(Table1[[#This Row],[Category]],$X$1:$Y$11,2,FALSE)</f>
        <v>2. Expense</v>
      </c>
      <c r="D34" s="66" t="s">
        <v>241</v>
      </c>
      <c r="E34" s="58" t="s">
        <v>171</v>
      </c>
      <c r="F34" s="59">
        <f>-1*F33*0.4</f>
        <v>-5.6000000000000005</v>
      </c>
      <c r="G34" s="59">
        <f t="shared" si="1"/>
        <v>7.6211999999999991</v>
      </c>
      <c r="H34" s="156"/>
      <c r="I34" s="55"/>
      <c r="L34" s="6" t="s">
        <v>38</v>
      </c>
      <c r="M34" t="s">
        <v>44</v>
      </c>
      <c r="N34" t="s">
        <v>45</v>
      </c>
      <c r="O34" t="s">
        <v>53</v>
      </c>
      <c r="P34" t="s">
        <v>39</v>
      </c>
      <c r="Q34" t="s">
        <v>40</v>
      </c>
      <c r="X34"/>
    </row>
    <row r="35" spans="1:24" ht="47.25">
      <c r="A35" s="66">
        <v>43416</v>
      </c>
      <c r="B35" s="66" t="str">
        <f>VLOOKUP(MONTH(A35),'Lookup Tables'!$A$3:$B$14,2,FALSE)</f>
        <v>Nov</v>
      </c>
      <c r="C35" s="66" t="str">
        <f>VLOOKUP(Table1[[#This Row],[Category]],$X$1:$Y$11,2,FALSE)</f>
        <v>2. Expense</v>
      </c>
      <c r="D35" s="66" t="s">
        <v>237</v>
      </c>
      <c r="E35" s="58" t="s">
        <v>168</v>
      </c>
      <c r="F35" s="59">
        <v>-9.99</v>
      </c>
      <c r="G35" s="59">
        <f t="shared" si="1"/>
        <v>-2.3688000000000011</v>
      </c>
      <c r="H35" s="156"/>
      <c r="I35" s="55"/>
      <c r="L35" s="7" t="s">
        <v>272</v>
      </c>
      <c r="M35" s="133"/>
      <c r="N35" s="133"/>
      <c r="O35" s="133">
        <v>-4.82</v>
      </c>
      <c r="P35" s="133"/>
      <c r="Q35" s="133">
        <v>-4.82</v>
      </c>
      <c r="X35"/>
    </row>
    <row r="36" spans="1:24">
      <c r="A36" s="66">
        <v>43439</v>
      </c>
      <c r="B36" s="66" t="str">
        <f>VLOOKUP(MONTH(A36),'Lookup Tables'!$A$3:$B$14,2,FALSE)</f>
        <v>Dec</v>
      </c>
      <c r="C36" s="66" t="str">
        <f>VLOOKUP(Table1[[#This Row],[Category]],$X$1:$Y$11,2,FALSE)</f>
        <v>1. Income</v>
      </c>
      <c r="D36" s="66" t="s">
        <v>238</v>
      </c>
      <c r="E36" s="58" t="s">
        <v>162</v>
      </c>
      <c r="F36" s="59">
        <v>12</v>
      </c>
      <c r="G36" s="59">
        <f t="shared" si="1"/>
        <v>9.6311999999999998</v>
      </c>
      <c r="H36" s="156"/>
      <c r="I36" s="55"/>
      <c r="L36" s="7" t="s">
        <v>379</v>
      </c>
      <c r="M36" s="133"/>
      <c r="N36" s="133"/>
      <c r="O36" s="133"/>
      <c r="P36" s="133">
        <v>35.22</v>
      </c>
      <c r="Q36" s="133">
        <v>35.22</v>
      </c>
      <c r="X36"/>
    </row>
    <row r="37" spans="1:24">
      <c r="A37" s="66">
        <v>43439</v>
      </c>
      <c r="B37" s="66" t="str">
        <f>VLOOKUP(MONTH(A37),'Lookup Tables'!$A$3:$B$14,2,FALSE)</f>
        <v>Dec</v>
      </c>
      <c r="C37" s="66" t="str">
        <f>VLOOKUP(Table1[[#This Row],[Category]],$X$1:$Y$11,2,FALSE)</f>
        <v>1. Income</v>
      </c>
      <c r="D37" s="66" t="s">
        <v>84</v>
      </c>
      <c r="E37" s="58" t="s">
        <v>173</v>
      </c>
      <c r="F37" s="59">
        <v>0.36</v>
      </c>
      <c r="G37" s="59">
        <f t="shared" si="1"/>
        <v>9.9911999999999992</v>
      </c>
      <c r="H37" s="156"/>
      <c r="I37" s="55"/>
      <c r="L37" s="7" t="s">
        <v>273</v>
      </c>
      <c r="M37" s="133">
        <v>-9.99</v>
      </c>
      <c r="N37" s="133">
        <v>-19.98</v>
      </c>
      <c r="O37" s="133"/>
      <c r="P37" s="133">
        <v>-29.979999999999997</v>
      </c>
      <c r="Q37" s="133">
        <v>-59.949999999999996</v>
      </c>
      <c r="X37"/>
    </row>
    <row r="38" spans="1:24" ht="78.75">
      <c r="A38" s="66">
        <v>43439</v>
      </c>
      <c r="B38" s="66" t="str">
        <f>VLOOKUP(MONTH(A38),'Lookup Tables'!$A$3:$B$14,2,FALSE)</f>
        <v>Dec</v>
      </c>
      <c r="C38" s="66" t="str">
        <f>VLOOKUP(Table1[[#This Row],[Category]],$X$1:$Y$11,2,FALSE)</f>
        <v>1. Income</v>
      </c>
      <c r="D38" s="66" t="s">
        <v>84</v>
      </c>
      <c r="E38" s="58" t="s">
        <v>175</v>
      </c>
      <c r="F38" s="59">
        <v>0.25</v>
      </c>
      <c r="G38" s="59">
        <f t="shared" si="1"/>
        <v>10.241199999999999</v>
      </c>
      <c r="H38" s="156"/>
      <c r="I38" s="56" t="s">
        <v>174</v>
      </c>
      <c r="L38" s="7" t="s">
        <v>370</v>
      </c>
      <c r="M38" s="133"/>
      <c r="N38" s="133">
        <v>29.02</v>
      </c>
      <c r="O38" s="133"/>
      <c r="P38" s="133"/>
      <c r="Q38" s="133">
        <v>29.02</v>
      </c>
      <c r="X38"/>
    </row>
    <row r="39" spans="1:24" ht="47.25">
      <c r="A39" s="66">
        <v>43439</v>
      </c>
      <c r="B39" s="66" t="str">
        <f>VLOOKUP(MONTH(A39),'Lookup Tables'!$A$3:$B$14,2,FALSE)</f>
        <v>Dec</v>
      </c>
      <c r="C39" s="66" t="str">
        <f>VLOOKUP(Table1[[#This Row],[Category]],$X$1:$Y$11,2,FALSE)</f>
        <v>2. Expense</v>
      </c>
      <c r="D39" s="66" t="s">
        <v>241</v>
      </c>
      <c r="E39" s="58" t="s">
        <v>171</v>
      </c>
      <c r="F39" s="59">
        <f>-0.4*J39</f>
        <v>-5.0440000000000005</v>
      </c>
      <c r="G39" s="59">
        <f t="shared" si="1"/>
        <v>5.1971999999999987</v>
      </c>
      <c r="H39" s="156"/>
      <c r="I39" s="55" t="s">
        <v>176</v>
      </c>
      <c r="J39" s="61">
        <f>SUM(F36:F38)</f>
        <v>12.61</v>
      </c>
      <c r="K39" s="61"/>
      <c r="L39" s="7" t="s">
        <v>241</v>
      </c>
      <c r="M39" s="133"/>
      <c r="N39" s="133">
        <v>-9.2000000000000011</v>
      </c>
      <c r="O39" s="133"/>
      <c r="P39" s="133"/>
      <c r="Q39" s="133">
        <v>-9.2000000000000011</v>
      </c>
      <c r="X39"/>
    </row>
    <row r="40" spans="1:24" ht="63">
      <c r="A40" s="66">
        <v>43439</v>
      </c>
      <c r="B40" s="66" t="str">
        <f>VLOOKUP(MONTH(A40),'Lookup Tables'!$A$3:$B$14,2,FALSE)</f>
        <v>Dec</v>
      </c>
      <c r="C40" s="66" t="str">
        <f>VLOOKUP(Table1[[#This Row],[Category]],$X$1:$Y$11,2,FALSE)</f>
        <v>2. Expense</v>
      </c>
      <c r="D40" s="66" t="s">
        <v>237</v>
      </c>
      <c r="E40" s="58" t="s">
        <v>177</v>
      </c>
      <c r="F40" s="59">
        <v>-9.99</v>
      </c>
      <c r="G40" s="59">
        <f t="shared" si="1"/>
        <v>-4.7928000000000015</v>
      </c>
      <c r="H40" s="156"/>
      <c r="I40" s="55"/>
      <c r="L40" s="7" t="s">
        <v>374</v>
      </c>
      <c r="M40" s="133"/>
      <c r="N40" s="133">
        <v>10</v>
      </c>
      <c r="O40" s="133"/>
      <c r="P40" s="133"/>
      <c r="Q40" s="133">
        <v>10</v>
      </c>
      <c r="X40"/>
    </row>
    <row r="41" spans="1:24" ht="47.25">
      <c r="A41" s="66">
        <v>43442</v>
      </c>
      <c r="B41" s="66" t="str">
        <f>VLOOKUP(MONTH(A41),'Lookup Tables'!$A$3:$B$14,2,FALSE)</f>
        <v>Dec</v>
      </c>
      <c r="C41" s="66" t="str">
        <f>VLOOKUP(Table1[[#This Row],[Category]],$X$1:$Y$11,2,FALSE)</f>
        <v>1. Income</v>
      </c>
      <c r="D41" s="66" t="s">
        <v>238</v>
      </c>
      <c r="E41" s="58" t="s">
        <v>178</v>
      </c>
      <c r="F41" s="59">
        <v>5</v>
      </c>
      <c r="G41" s="59">
        <f t="shared" si="1"/>
        <v>0.2071999999999985</v>
      </c>
      <c r="H41" s="156"/>
      <c r="I41" s="55"/>
      <c r="L41" s="7" t="s">
        <v>40</v>
      </c>
      <c r="M41" s="133">
        <v>-9.99</v>
      </c>
      <c r="N41" s="133">
        <v>9.8399999999999981</v>
      </c>
      <c r="O41" s="133">
        <v>-4.82</v>
      </c>
      <c r="P41" s="133">
        <v>5.240000000000002</v>
      </c>
      <c r="Q41" s="133">
        <v>0.27000000000000135</v>
      </c>
      <c r="X41"/>
    </row>
    <row r="42" spans="1:24" ht="47.25">
      <c r="A42" s="66">
        <v>43442</v>
      </c>
      <c r="B42" s="66" t="str">
        <f>VLOOKUP(MONTH(A42),'Lookup Tables'!$A$3:$B$14,2,FALSE)</f>
        <v>Dec</v>
      </c>
      <c r="C42" s="66" t="str">
        <f>VLOOKUP(Table1[[#This Row],[Category]],$X$1:$Y$11,2,FALSE)</f>
        <v>1. Income</v>
      </c>
      <c r="D42" s="66" t="s">
        <v>238</v>
      </c>
      <c r="E42" s="58" t="s">
        <v>178</v>
      </c>
      <c r="F42" s="59">
        <f>(10/60)*8</f>
        <v>1.3333333333333333</v>
      </c>
      <c r="G42" s="59">
        <f t="shared" si="1"/>
        <v>1.5405333333333318</v>
      </c>
      <c r="H42" s="156"/>
      <c r="I42" s="55"/>
      <c r="L42"/>
      <c r="M42"/>
      <c r="N42"/>
      <c r="X42"/>
    </row>
    <row r="43" spans="1:24" ht="47.25">
      <c r="A43" s="66">
        <v>43443</v>
      </c>
      <c r="B43" s="66" t="str">
        <f>VLOOKUP(MONTH(A43),'Lookup Tables'!$A$3:$B$14,2,FALSE)</f>
        <v>Dec</v>
      </c>
      <c r="C43" s="66" t="str">
        <f>VLOOKUP(Table1[[#This Row],[Category]],$X$1:$Y$11,2,FALSE)</f>
        <v>1. Income</v>
      </c>
      <c r="D43" s="66" t="s">
        <v>238</v>
      </c>
      <c r="E43" s="58" t="s">
        <v>178</v>
      </c>
      <c r="F43" s="59">
        <f>30*(10/60)</f>
        <v>5</v>
      </c>
      <c r="G43" s="59">
        <f t="shared" si="1"/>
        <v>6.5405333333333315</v>
      </c>
      <c r="H43" s="156"/>
      <c r="I43" s="55"/>
      <c r="L43"/>
      <c r="M43"/>
      <c r="N43"/>
      <c r="X43"/>
    </row>
    <row r="44" spans="1:24">
      <c r="A44" s="66">
        <v>43443</v>
      </c>
      <c r="B44" s="66" t="str">
        <f>VLOOKUP(MONTH(A44),'Lookup Tables'!$A$3:$B$14,2,FALSE)</f>
        <v>Dec</v>
      </c>
      <c r="C44" s="66" t="str">
        <f>VLOOKUP(Table1[[#This Row],[Category]],$X$1:$Y$11,2,FALSE)</f>
        <v>1. Income</v>
      </c>
      <c r="D44" s="66" t="s">
        <v>84</v>
      </c>
      <c r="E44" s="58" t="s">
        <v>173</v>
      </c>
      <c r="F44" s="59">
        <v>2</v>
      </c>
      <c r="G44" s="59">
        <f t="shared" si="1"/>
        <v>8.5405333333333324</v>
      </c>
      <c r="H44" s="156"/>
      <c r="I44" s="55"/>
      <c r="L44"/>
      <c r="M44"/>
      <c r="N44"/>
      <c r="X44"/>
    </row>
    <row r="45" spans="1:24" ht="47.25">
      <c r="A45" s="66">
        <v>43443</v>
      </c>
      <c r="B45" s="66" t="str">
        <f>VLOOKUP(MONTH(A45),'Lookup Tables'!$A$3:$B$14,2,FALSE)</f>
        <v>Dec</v>
      </c>
      <c r="C45" s="66" t="str">
        <f>VLOOKUP(Table1[[#This Row],[Category]],$X$1:$Y$11,2,FALSE)</f>
        <v>1. Income</v>
      </c>
      <c r="D45" s="66" t="s">
        <v>238</v>
      </c>
      <c r="E45" s="58" t="s">
        <v>179</v>
      </c>
      <c r="F45" s="59">
        <f>30*(10/60)</f>
        <v>5</v>
      </c>
      <c r="G45" s="59">
        <f t="shared" si="1"/>
        <v>13.540533333333332</v>
      </c>
      <c r="H45" s="156"/>
      <c r="I45" s="55"/>
      <c r="L45"/>
      <c r="M45"/>
      <c r="N45"/>
      <c r="X45"/>
    </row>
    <row r="46" spans="1:24" ht="47.25">
      <c r="A46" s="66">
        <v>43443</v>
      </c>
      <c r="B46" s="66" t="str">
        <f>VLOOKUP(MONTH(A46),'Lookup Tables'!$A$3:$B$14,2,FALSE)</f>
        <v>Dec</v>
      </c>
      <c r="C46" s="66" t="str">
        <f>VLOOKUP(Table1[[#This Row],[Category]],$X$1:$Y$11,2,FALSE)</f>
        <v>2. Expense</v>
      </c>
      <c r="D46" s="66" t="s">
        <v>241</v>
      </c>
      <c r="E46" s="58" t="s">
        <v>171</v>
      </c>
      <c r="F46" s="59">
        <f>0.4*-1*J47</f>
        <v>-7.333333333333333</v>
      </c>
      <c r="G46" s="59">
        <f t="shared" si="1"/>
        <v>6.2071999999999994</v>
      </c>
      <c r="H46" s="156"/>
      <c r="I46" s="55"/>
      <c r="L46"/>
      <c r="M46"/>
      <c r="N46"/>
      <c r="X46"/>
    </row>
    <row r="47" spans="1:24" ht="63">
      <c r="A47" s="66">
        <v>43443</v>
      </c>
      <c r="B47" s="66" t="str">
        <f>VLOOKUP(MONTH(A47),'Lookup Tables'!$A$3:$B$14,2,FALSE)</f>
        <v>Dec</v>
      </c>
      <c r="C47" s="66" t="str">
        <f>VLOOKUP(Table1[[#This Row],[Category]],$X$1:$Y$11,2,FALSE)</f>
        <v>2. Expense</v>
      </c>
      <c r="D47" s="66" t="s">
        <v>237</v>
      </c>
      <c r="E47" s="58" t="s">
        <v>177</v>
      </c>
      <c r="F47" s="59">
        <v>-9.99</v>
      </c>
      <c r="G47" s="59">
        <f t="shared" si="1"/>
        <v>-3.7828000000000008</v>
      </c>
      <c r="H47" s="156"/>
      <c r="I47" s="55" t="s">
        <v>176</v>
      </c>
      <c r="J47" s="61">
        <f>SUM(F41:F45)</f>
        <v>18.333333333333332</v>
      </c>
      <c r="K47" s="61"/>
      <c r="L47"/>
      <c r="M47"/>
      <c r="N47"/>
      <c r="X47"/>
    </row>
    <row r="48" spans="1:24" ht="78.75">
      <c r="A48" s="66">
        <v>43455</v>
      </c>
      <c r="B48" s="66" t="str">
        <f>VLOOKUP(MONTH(A48),'Lookup Tables'!$A$3:$B$14,2,FALSE)</f>
        <v>Dec</v>
      </c>
      <c r="C48" s="66" t="str">
        <f>VLOOKUP(Table1[[#This Row],[Category]],$X$1:$Y$11,2,FALSE)</f>
        <v>1. Income</v>
      </c>
      <c r="D48" s="66" t="s">
        <v>239</v>
      </c>
      <c r="E48" s="58" t="s">
        <v>227</v>
      </c>
      <c r="F48" s="59">
        <v>10</v>
      </c>
      <c r="G48" s="59">
        <f t="shared" si="1"/>
        <v>6.2171999999999992</v>
      </c>
      <c r="H48" s="156"/>
      <c r="I48" s="55"/>
      <c r="L48"/>
      <c r="M48"/>
      <c r="N48"/>
      <c r="X48"/>
    </row>
    <row r="49" spans="1:25" ht="47.25">
      <c r="A49" s="66">
        <v>43455</v>
      </c>
      <c r="B49" s="66" t="str">
        <f>VLOOKUP(MONTH(A49),'Lookup Tables'!$A$3:$B$14,2,FALSE)</f>
        <v>Dec</v>
      </c>
      <c r="C49" s="66" t="str">
        <f>VLOOKUP(Table1[[#This Row],[Category]],$X$1:$Y$11,2,FALSE)</f>
        <v>2. Expense</v>
      </c>
      <c r="D49" s="66" t="s">
        <v>241</v>
      </c>
      <c r="E49" s="58" t="s">
        <v>171</v>
      </c>
      <c r="F49" s="59">
        <f>-1*0.4*J49</f>
        <v>-4</v>
      </c>
      <c r="G49" s="59">
        <f t="shared" si="1"/>
        <v>2.2171999999999992</v>
      </c>
      <c r="H49" s="156"/>
      <c r="I49" s="55" t="s">
        <v>176</v>
      </c>
      <c r="J49" s="59">
        <v>10</v>
      </c>
      <c r="K49" s="59"/>
      <c r="L49"/>
      <c r="M49"/>
      <c r="N49"/>
      <c r="X49"/>
    </row>
    <row r="50" spans="1:25" ht="31.5">
      <c r="A50" s="66">
        <v>43455</v>
      </c>
      <c r="B50" s="66" t="str">
        <f>VLOOKUP(MONTH(A50),'Lookup Tables'!$A$3:$B$14,2,FALSE)</f>
        <v>Dec</v>
      </c>
      <c r="C50" s="66" t="str">
        <f>VLOOKUP(Table1[[#This Row],[Category]],$X$1:$Y$11,2,FALSE)</f>
        <v>1. Income</v>
      </c>
      <c r="D50" s="66" t="s">
        <v>238</v>
      </c>
      <c r="E50" s="58" t="s">
        <v>180</v>
      </c>
      <c r="F50" s="59">
        <v>10</v>
      </c>
      <c r="G50" s="59">
        <f t="shared" si="1"/>
        <v>12.217199999999998</v>
      </c>
      <c r="H50" s="156"/>
      <c r="I50" s="55"/>
      <c r="L50"/>
      <c r="M50"/>
      <c r="N50"/>
      <c r="X50"/>
    </row>
    <row r="51" spans="1:25" ht="31.5">
      <c r="A51" s="66">
        <v>43461</v>
      </c>
      <c r="B51" s="66" t="str">
        <f>VLOOKUP(MONTH(A51),'Lookup Tables'!$A$3:$B$14,2,FALSE)</f>
        <v>Dec</v>
      </c>
      <c r="C51" s="66" t="str">
        <f>VLOOKUP(Table1[[#This Row],[Category]],$X$1:$Y$11,2,FALSE)</f>
        <v>2. Expense</v>
      </c>
      <c r="D51" s="66" t="s">
        <v>242</v>
      </c>
      <c r="E51" s="58" t="s">
        <v>182</v>
      </c>
      <c r="F51" s="59">
        <v>-3</v>
      </c>
      <c r="G51" s="59">
        <f>G50+F51</f>
        <v>9.2171999999999983</v>
      </c>
      <c r="H51" s="156"/>
      <c r="I51" s="55" t="s">
        <v>181</v>
      </c>
      <c r="J51" s="59">
        <v>10</v>
      </c>
      <c r="K51" s="59"/>
      <c r="L51"/>
      <c r="X51"/>
    </row>
    <row r="52" spans="1:25" ht="47.25">
      <c r="A52" s="66">
        <v>43461</v>
      </c>
      <c r="B52" s="66" t="str">
        <f>VLOOKUP(MONTH(A52),'Lookup Tables'!$A$3:$B$14,2,FALSE)</f>
        <v>Dec</v>
      </c>
      <c r="C52" s="66" t="str">
        <f>VLOOKUP(Table1[[#This Row],[Category]],$X$1:$Y$11,2,FALSE)</f>
        <v>1. Income</v>
      </c>
      <c r="D52" s="66" t="s">
        <v>84</v>
      </c>
      <c r="E52" s="58" t="s">
        <v>183</v>
      </c>
      <c r="F52" s="59">
        <v>100</v>
      </c>
      <c r="G52" s="59">
        <f t="shared" ref="G52:G63" si="2">G51+F52</f>
        <v>109.21719999999999</v>
      </c>
      <c r="H52" s="156"/>
      <c r="I52" s="55"/>
      <c r="L52"/>
      <c r="X52"/>
    </row>
    <row r="53" spans="1:25" ht="31.5">
      <c r="A53" s="66">
        <v>43461</v>
      </c>
      <c r="B53" s="66" t="str">
        <f>VLOOKUP(MONTH(A53),'Lookup Tables'!$A$3:$B$14,2,FALSE)</f>
        <v>Dec</v>
      </c>
      <c r="C53" s="66" t="str">
        <f>VLOOKUP(Table1[[#This Row],[Category]],$X$1:$Y$11,2,FALSE)</f>
        <v>1. Income</v>
      </c>
      <c r="D53" s="66" t="s">
        <v>84</v>
      </c>
      <c r="E53" s="58" t="s">
        <v>184</v>
      </c>
      <c r="F53" s="59">
        <v>10</v>
      </c>
      <c r="G53" s="59">
        <f t="shared" si="2"/>
        <v>119.21719999999999</v>
      </c>
      <c r="H53" s="156"/>
      <c r="I53" s="55"/>
      <c r="L53"/>
      <c r="X53"/>
    </row>
    <row r="54" spans="1:25" ht="47.25">
      <c r="A54" s="66">
        <v>43461</v>
      </c>
      <c r="B54" s="66" t="str">
        <f>VLOOKUP(MONTH(A54),'Lookup Tables'!$A$3:$B$14,2,FALSE)</f>
        <v>Dec</v>
      </c>
      <c r="C54" s="66" t="str">
        <f>VLOOKUP(Table1[[#This Row],[Category]],$X$1:$Y$11,2,FALSE)</f>
        <v>2. Expense</v>
      </c>
      <c r="D54" s="66" t="s">
        <v>241</v>
      </c>
      <c r="E54" s="58" t="s">
        <v>171</v>
      </c>
      <c r="F54" s="59">
        <f>-0.4*J54</f>
        <v>-44</v>
      </c>
      <c r="G54" s="59">
        <f t="shared" si="2"/>
        <v>75.217199999999991</v>
      </c>
      <c r="H54" s="156"/>
      <c r="I54" s="55" t="s">
        <v>181</v>
      </c>
      <c r="J54" s="61">
        <f>SUM(F52:F53)</f>
        <v>110</v>
      </c>
      <c r="K54" s="61"/>
      <c r="L54"/>
      <c r="X54"/>
    </row>
    <row r="55" spans="1:25" ht="47.25">
      <c r="A55" s="66">
        <v>43461</v>
      </c>
      <c r="B55" s="66" t="str">
        <f>VLOOKUP(MONTH(A55),'Lookup Tables'!$A$3:$B$14,2,FALSE)</f>
        <v>Dec</v>
      </c>
      <c r="C55" s="66" t="str">
        <f>VLOOKUP(Table1[[#This Row],[Category]],$X$1:$Y$11,2,FALSE)</f>
        <v>2. Expense</v>
      </c>
      <c r="D55" s="66" t="s">
        <v>237</v>
      </c>
      <c r="E55" s="58" t="s">
        <v>185</v>
      </c>
      <c r="F55" s="59">
        <v>-29.99</v>
      </c>
      <c r="G55" s="59">
        <f t="shared" si="2"/>
        <v>45.227199999999996</v>
      </c>
      <c r="H55" s="156"/>
      <c r="I55" s="55"/>
      <c r="L55"/>
      <c r="X55"/>
    </row>
    <row r="56" spans="1:25" ht="47.25">
      <c r="A56" s="66">
        <v>43461</v>
      </c>
      <c r="B56" s="66" t="str">
        <f>VLOOKUP(MONTH(A56),'Lookup Tables'!$A$3:$B$14,2,FALSE)</f>
        <v>Dec</v>
      </c>
      <c r="C56" s="66" t="str">
        <f>VLOOKUP(Table1[[#This Row],[Category]],$X$1:$Y$11,2,FALSE)</f>
        <v>2. Expense</v>
      </c>
      <c r="D56" s="66" t="s">
        <v>237</v>
      </c>
      <c r="E56" s="58" t="s">
        <v>186</v>
      </c>
      <c r="F56" s="59">
        <v>-24.99</v>
      </c>
      <c r="G56" s="59">
        <f t="shared" si="2"/>
        <v>20.237199999999998</v>
      </c>
      <c r="H56" s="156"/>
      <c r="I56" s="55"/>
      <c r="L56"/>
      <c r="X56"/>
    </row>
    <row r="57" spans="1:25" ht="63">
      <c r="A57" s="66">
        <v>43461</v>
      </c>
      <c r="B57" s="66" t="str">
        <f>VLOOKUP(MONTH(A57),'Lookup Tables'!$A$3:$B$14,2,FALSE)</f>
        <v>Dec</v>
      </c>
      <c r="C57" s="66" t="str">
        <f>VLOOKUP(Table1[[#This Row],[Category]],$X$1:$Y$11,2,FALSE)</f>
        <v>2. Expense</v>
      </c>
      <c r="D57" s="66" t="s">
        <v>237</v>
      </c>
      <c r="E57" s="58" t="s">
        <v>177</v>
      </c>
      <c r="F57" s="59">
        <v>-9.99</v>
      </c>
      <c r="G57" s="59">
        <f t="shared" si="2"/>
        <v>10.247199999999998</v>
      </c>
      <c r="H57" s="156"/>
      <c r="I57" s="55"/>
      <c r="L57"/>
      <c r="X57"/>
    </row>
    <row r="58" spans="1:25">
      <c r="F58" s="59"/>
      <c r="I58" s="55"/>
      <c r="L58"/>
      <c r="X58"/>
    </row>
    <row r="59" spans="1:25">
      <c r="F59" s="59"/>
      <c r="J59"/>
      <c r="K59"/>
      <c r="X59"/>
    </row>
    <row r="60" spans="1:25">
      <c r="A60" s="66" t="s">
        <v>0</v>
      </c>
      <c r="B60" s="66" t="s">
        <v>41</v>
      </c>
      <c r="C60" s="66" t="s">
        <v>248</v>
      </c>
      <c r="D60" s="66" t="s">
        <v>6</v>
      </c>
      <c r="E60" s="57" t="s">
        <v>152</v>
      </c>
      <c r="F60" s="59" t="s">
        <v>5</v>
      </c>
      <c r="G60" s="57" t="s">
        <v>153</v>
      </c>
      <c r="I60" s="55"/>
      <c r="K60"/>
      <c r="L60"/>
      <c r="X60" s="57"/>
      <c r="Y60"/>
    </row>
    <row r="61" spans="1:25">
      <c r="A61" s="66">
        <v>43466</v>
      </c>
      <c r="B61" s="66" t="str">
        <f>VLOOKUP(MONTH(A61),'Lookup Tables'!$A$3:$B$14,2,FALSE)</f>
        <v>Jan</v>
      </c>
      <c r="D61" s="66" t="s">
        <v>243</v>
      </c>
      <c r="E61" s="58"/>
      <c r="F61" s="57">
        <v>15.09</v>
      </c>
      <c r="G61" s="57">
        <v>15.09</v>
      </c>
      <c r="I61" s="55"/>
      <c r="K61"/>
      <c r="L61"/>
      <c r="X61" s="57"/>
      <c r="Y61"/>
    </row>
    <row r="62" spans="1:25" ht="31.5">
      <c r="A62" s="66">
        <v>43486</v>
      </c>
      <c r="B62" s="66" t="str">
        <f>VLOOKUP(MONTH(A62),'Lookup Tables'!$A$3:$B$14,2,FALSE)</f>
        <v>Jan</v>
      </c>
      <c r="C62" s="66" t="str">
        <f>VLOOKUP(Table3[[#This Row],[Category]],$X$1:$Y$11,2,FALSE)</f>
        <v>1. Income</v>
      </c>
      <c r="D62" s="66" t="s">
        <v>84</v>
      </c>
      <c r="E62" s="58" t="s">
        <v>187</v>
      </c>
      <c r="F62" s="59">
        <v>10</v>
      </c>
      <c r="G62" s="59">
        <f>G61+F62</f>
        <v>25.09</v>
      </c>
      <c r="H62" s="156"/>
      <c r="I62" s="55"/>
      <c r="K62"/>
      <c r="L62"/>
      <c r="X62" s="57"/>
      <c r="Y62"/>
    </row>
    <row r="63" spans="1:25">
      <c r="A63" s="66">
        <v>43486</v>
      </c>
      <c r="B63" s="66" t="str">
        <f>VLOOKUP(MONTH(A63),'Lookup Tables'!$A$3:$B$14,2,FALSE)</f>
        <v>Jan</v>
      </c>
      <c r="C63" s="66" t="str">
        <f>VLOOKUP(Table3[[#This Row],[Category]],$X$1:$Y$11,2,FALSE)</f>
        <v>1. Income</v>
      </c>
      <c r="D63" s="66" t="s">
        <v>84</v>
      </c>
      <c r="E63" s="58" t="s">
        <v>188</v>
      </c>
      <c r="F63" s="59">
        <v>5</v>
      </c>
      <c r="G63" s="59">
        <f t="shared" si="2"/>
        <v>30.09</v>
      </c>
      <c r="H63" s="156"/>
      <c r="I63" s="55" t="s">
        <v>176</v>
      </c>
      <c r="K63"/>
      <c r="L63"/>
      <c r="X63" s="57"/>
      <c r="Y63"/>
    </row>
    <row r="64" spans="1:25" ht="47.25">
      <c r="A64" s="66">
        <v>43486</v>
      </c>
      <c r="B64" s="66" t="str">
        <f>VLOOKUP(MONTH(A64),'Lookup Tables'!$A$3:$B$14,2,FALSE)</f>
        <v>Jan</v>
      </c>
      <c r="C64" s="66" t="str">
        <f>VLOOKUP(Table3[[#This Row],[Category]],$X$1:$Y$11,2,FALSE)</f>
        <v>2. Expense</v>
      </c>
      <c r="D64" s="66" t="s">
        <v>241</v>
      </c>
      <c r="E64" s="58" t="s">
        <v>171</v>
      </c>
      <c r="F64" s="59">
        <f>-1*0.4*J64</f>
        <v>-6</v>
      </c>
      <c r="G64" s="59">
        <f>G50+F64</f>
        <v>6.2171999999999983</v>
      </c>
      <c r="H64" s="156"/>
      <c r="I64" s="55"/>
      <c r="J64" s="57">
        <v>15</v>
      </c>
      <c r="K64"/>
      <c r="L64"/>
      <c r="X64" s="57"/>
      <c r="Y64"/>
    </row>
    <row r="65" spans="1:25" ht="63">
      <c r="A65" s="66">
        <v>43486</v>
      </c>
      <c r="B65" s="66" t="str">
        <f>VLOOKUP(MONTH(A65),'Lookup Tables'!$A$3:$B$14,2,FALSE)</f>
        <v>Jan</v>
      </c>
      <c r="C65" s="66" t="str">
        <f>VLOOKUP(Table3[[#This Row],[Category]],$X$1:$Y$11,2,FALSE)</f>
        <v>2. Expense</v>
      </c>
      <c r="D65" s="66" t="s">
        <v>237</v>
      </c>
      <c r="E65" s="58" t="s">
        <v>177</v>
      </c>
      <c r="F65" s="59">
        <v>-9.99</v>
      </c>
      <c r="G65" s="59">
        <f>G64+F65</f>
        <v>-3.7728000000000019</v>
      </c>
      <c r="H65" s="156"/>
      <c r="I65" s="55"/>
      <c r="K65"/>
      <c r="L65"/>
      <c r="X65" s="57"/>
      <c r="Y65"/>
    </row>
    <row r="66" spans="1:25" ht="78.75">
      <c r="A66" s="66">
        <v>43523</v>
      </c>
      <c r="B66" s="66" t="str">
        <f>VLOOKUP(MONTH(A66),'Lookup Tables'!$A$3:$B$14,2,FALSE)</f>
        <v>Feb</v>
      </c>
      <c r="C66" s="66" t="str">
        <f>VLOOKUP(Table3[[#This Row],[Category]],$X$1:$Y$11,2,FALSE)</f>
        <v>1. Income</v>
      </c>
      <c r="D66" s="66" t="s">
        <v>239</v>
      </c>
      <c r="E66" s="58" t="s">
        <v>228</v>
      </c>
      <c r="F66" s="59">
        <v>10</v>
      </c>
      <c r="G66" s="59">
        <f t="shared" ref="G66:G113" si="3">G65+F66</f>
        <v>6.2271999999999981</v>
      </c>
      <c r="H66" s="156"/>
      <c r="I66" s="55"/>
      <c r="K66"/>
      <c r="L66"/>
      <c r="X66" s="57"/>
      <c r="Y66"/>
    </row>
    <row r="67" spans="1:25" ht="47.25">
      <c r="A67" s="66">
        <v>43526</v>
      </c>
      <c r="B67" s="66" t="str">
        <f>VLOOKUP(MONTH(A67),'Lookup Tables'!$A$3:$B$14,2,FALSE)</f>
        <v>Mar</v>
      </c>
      <c r="C67" s="66" t="str">
        <f>VLOOKUP(Table3[[#This Row],[Category]],$X$1:$Y$11,2,FALSE)</f>
        <v>1. Income</v>
      </c>
      <c r="D67" s="66" t="s">
        <v>238</v>
      </c>
      <c r="E67" s="58" t="s">
        <v>189</v>
      </c>
      <c r="F67" s="59">
        <v>19.8</v>
      </c>
      <c r="G67" s="59">
        <f t="shared" si="3"/>
        <v>26.027200000000001</v>
      </c>
      <c r="H67" s="156"/>
      <c r="I67" s="55" t="s">
        <v>176</v>
      </c>
      <c r="X67" s="57"/>
      <c r="Y67"/>
    </row>
    <row r="68" spans="1:25" ht="47.25">
      <c r="A68" s="66">
        <v>43526</v>
      </c>
      <c r="B68" s="66" t="str">
        <f>VLOOKUP(MONTH(A68),'Lookup Tables'!$A$3:$B$14,2,FALSE)</f>
        <v>Mar</v>
      </c>
      <c r="C68" s="66" t="str">
        <f>VLOOKUP(Table3[[#This Row],[Category]],$X$1:$Y$11,2,FALSE)</f>
        <v>2. Expense</v>
      </c>
      <c r="D68" s="66" t="s">
        <v>241</v>
      </c>
      <c r="E68" s="58" t="s">
        <v>171</v>
      </c>
      <c r="F68" s="59">
        <f>-1*(0.4*J68)</f>
        <v>-11.920000000000002</v>
      </c>
      <c r="G68" s="59">
        <f t="shared" si="3"/>
        <v>14.107199999999999</v>
      </c>
      <c r="H68" s="156"/>
      <c r="I68" s="55"/>
      <c r="J68" s="61">
        <f>SUM(F66:F67)</f>
        <v>29.8</v>
      </c>
      <c r="X68" s="57"/>
      <c r="Y68"/>
    </row>
    <row r="69" spans="1:25" ht="63">
      <c r="A69" s="66">
        <v>43526</v>
      </c>
      <c r="B69" s="66" t="str">
        <f>VLOOKUP(MONTH(A69),'Lookup Tables'!$A$3:$B$14,2,FALSE)</f>
        <v>Mar</v>
      </c>
      <c r="C69" s="66" t="str">
        <f>VLOOKUP(Table3[[#This Row],[Category]],$X$1:$Y$11,2,FALSE)</f>
        <v>2. Expense</v>
      </c>
      <c r="D69" s="66" t="s">
        <v>237</v>
      </c>
      <c r="E69" s="58" t="s">
        <v>177</v>
      </c>
      <c r="F69" s="59">
        <v>-9.99</v>
      </c>
      <c r="G69" s="59">
        <f t="shared" si="3"/>
        <v>4.1171999999999986</v>
      </c>
      <c r="H69" s="156"/>
      <c r="I69" s="55"/>
      <c r="X69" s="57"/>
      <c r="Y69"/>
    </row>
    <row r="70" spans="1:25" ht="47.25">
      <c r="A70" s="66">
        <v>43526</v>
      </c>
      <c r="B70" s="66" t="str">
        <f>VLOOKUP(MONTH(A70),'Lookup Tables'!$A$3:$B$14,2,FALSE)</f>
        <v>Mar</v>
      </c>
      <c r="C70" s="66" t="str">
        <f>VLOOKUP(Table3[[#This Row],[Category]],$X$1:$Y$11,2,FALSE)</f>
        <v>2. Expense</v>
      </c>
      <c r="D70" s="66" t="s">
        <v>237</v>
      </c>
      <c r="E70" s="58" t="s">
        <v>190</v>
      </c>
      <c r="F70" s="59">
        <v>-4.99</v>
      </c>
      <c r="G70" s="59">
        <f t="shared" si="3"/>
        <v>-0.87280000000000157</v>
      </c>
      <c r="H70" s="156"/>
      <c r="I70" s="55"/>
      <c r="X70" s="57"/>
      <c r="Y70"/>
    </row>
    <row r="71" spans="1:25" ht="94.5">
      <c r="A71" s="66">
        <v>43543</v>
      </c>
      <c r="B71" s="66" t="str">
        <f>VLOOKUP(MONTH(A71),'Lookup Tables'!$A$3:$B$14,2,FALSE)</f>
        <v>Mar</v>
      </c>
      <c r="C71" s="66" t="str">
        <f>VLOOKUP(Table3[[#This Row],[Category]],$X$1:$Y$11,2,FALSE)</f>
        <v>1. Income</v>
      </c>
      <c r="D71" s="66" t="s">
        <v>239</v>
      </c>
      <c r="E71" s="58" t="s">
        <v>229</v>
      </c>
      <c r="F71" s="59">
        <v>12</v>
      </c>
      <c r="G71" s="59">
        <f t="shared" si="3"/>
        <v>11.127199999999998</v>
      </c>
      <c r="H71" s="156"/>
      <c r="I71" s="55" t="s">
        <v>181</v>
      </c>
      <c r="X71" s="57"/>
      <c r="Y71"/>
    </row>
    <row r="72" spans="1:25" ht="47.25">
      <c r="A72" s="66">
        <v>43543</v>
      </c>
      <c r="B72" s="66" t="str">
        <f>VLOOKUP(MONTH(A72),'Lookup Tables'!$A$3:$B$14,2,FALSE)</f>
        <v>Mar</v>
      </c>
      <c r="C72" s="66" t="str">
        <f>VLOOKUP(Table3[[#This Row],[Category]],$X$1:$Y$11,2,FALSE)</f>
        <v>2. Expense</v>
      </c>
      <c r="D72" s="66" t="s">
        <v>241</v>
      </c>
      <c r="E72" s="58" t="s">
        <v>171</v>
      </c>
      <c r="F72" s="59">
        <f>-1*0.4*J72</f>
        <v>-4.8000000000000007</v>
      </c>
      <c r="G72" s="59">
        <f t="shared" si="3"/>
        <v>6.3271999999999977</v>
      </c>
      <c r="H72" s="156"/>
      <c r="I72" s="55"/>
      <c r="J72" s="61">
        <f>F71</f>
        <v>12</v>
      </c>
      <c r="X72" s="57"/>
      <c r="Y72"/>
    </row>
    <row r="73" spans="1:25" ht="94.5">
      <c r="A73" s="66">
        <v>43568</v>
      </c>
      <c r="B73" s="66" t="str">
        <f>VLOOKUP(MONTH(A73),'Lookup Tables'!$A$3:$B$14,2,FALSE)</f>
        <v>Apr</v>
      </c>
      <c r="C73" s="66" t="str">
        <f>VLOOKUP(Table3[[#This Row],[Category]],$X$1:$Y$11,2,FALSE)</f>
        <v>1. Income</v>
      </c>
      <c r="D73" s="66" t="s">
        <v>239</v>
      </c>
      <c r="E73" s="58" t="s">
        <v>230</v>
      </c>
      <c r="F73" s="62">
        <v>14</v>
      </c>
      <c r="G73" s="59">
        <f t="shared" si="3"/>
        <v>20.327199999999998</v>
      </c>
      <c r="H73" s="156"/>
      <c r="I73" s="55" t="s">
        <v>176</v>
      </c>
      <c r="X73" s="57"/>
      <c r="Y73"/>
    </row>
    <row r="74" spans="1:25">
      <c r="A74" s="66">
        <v>43568</v>
      </c>
      <c r="B74" s="66" t="str">
        <f>VLOOKUP(MONTH(A74),'Lookup Tables'!$A$3:$B$14,2,FALSE)</f>
        <v>Apr</v>
      </c>
      <c r="C74" s="66" t="str">
        <f>VLOOKUP(Table3[[#This Row],[Category]],$X$1:$Y$11,2,FALSE)</f>
        <v>2. Expense</v>
      </c>
      <c r="D74" s="66" t="s">
        <v>237</v>
      </c>
      <c r="E74" s="58" t="s">
        <v>191</v>
      </c>
      <c r="F74" s="59">
        <f>-0.4*J74</f>
        <v>-5.6000000000000005</v>
      </c>
      <c r="G74" s="59">
        <f t="shared" si="3"/>
        <v>14.727199999999996</v>
      </c>
      <c r="H74" s="156"/>
      <c r="I74" s="55"/>
      <c r="J74" s="63">
        <v>14</v>
      </c>
      <c r="X74" s="57"/>
      <c r="Y74"/>
    </row>
    <row r="75" spans="1:25">
      <c r="A75" s="66">
        <v>43568</v>
      </c>
      <c r="B75" s="66" t="str">
        <f>VLOOKUP(MONTH(A75),'Lookup Tables'!$A$3:$B$14,2,FALSE)</f>
        <v>Apr</v>
      </c>
      <c r="C75" s="66" t="str">
        <f>VLOOKUP(Table3[[#This Row],[Category]],$X$1:$Y$11,2,FALSE)</f>
        <v>2. Expense</v>
      </c>
      <c r="D75" s="66" t="s">
        <v>237</v>
      </c>
      <c r="E75" s="58" t="s">
        <v>192</v>
      </c>
      <c r="F75" s="59">
        <v>-4.99</v>
      </c>
      <c r="G75" s="59">
        <f t="shared" si="3"/>
        <v>9.7371999999999961</v>
      </c>
      <c r="H75" s="156"/>
      <c r="I75" s="55"/>
      <c r="X75" s="57"/>
      <c r="Y75"/>
    </row>
    <row r="76" spans="1:25" ht="31.5">
      <c r="A76" s="66">
        <v>43571</v>
      </c>
      <c r="B76" s="66" t="str">
        <f>VLOOKUP(MONTH(A76),'Lookup Tables'!$A$3:$B$14,2,FALSE)</f>
        <v>Apr</v>
      </c>
      <c r="C76" s="66" t="str">
        <f>VLOOKUP(Table3[[#This Row],[Category]],$X$1:$Y$11,2,FALSE)</f>
        <v>1. Income</v>
      </c>
      <c r="D76" s="66" t="s">
        <v>84</v>
      </c>
      <c r="E76" s="58" t="s">
        <v>193</v>
      </c>
      <c r="F76" s="64">
        <v>10.5</v>
      </c>
      <c r="G76" s="59">
        <f t="shared" si="3"/>
        <v>20.237199999999994</v>
      </c>
      <c r="H76" s="156"/>
      <c r="I76" s="55" t="s">
        <v>176</v>
      </c>
      <c r="X76" s="57"/>
      <c r="Y76"/>
    </row>
    <row r="77" spans="1:25" ht="63">
      <c r="A77" s="66">
        <v>43571</v>
      </c>
      <c r="B77" s="66" t="str">
        <f>VLOOKUP(MONTH(A77),'Lookup Tables'!$A$3:$B$14,2,FALSE)</f>
        <v>Apr</v>
      </c>
      <c r="C77" s="66" t="str">
        <f>VLOOKUP(Table3[[#This Row],[Category]],$X$1:$Y$11,2,FALSE)</f>
        <v>2. Expense</v>
      </c>
      <c r="D77" s="66" t="s">
        <v>237</v>
      </c>
      <c r="E77" s="58" t="s">
        <v>194</v>
      </c>
      <c r="F77" s="59">
        <v>-24.99</v>
      </c>
      <c r="G77" s="59">
        <f t="shared" si="3"/>
        <v>-4.7528000000000041</v>
      </c>
      <c r="H77" s="156"/>
      <c r="I77" s="55"/>
      <c r="J77" s="63">
        <v>10.5</v>
      </c>
      <c r="X77" s="57"/>
      <c r="Y77"/>
    </row>
    <row r="78" spans="1:25" ht="31.5">
      <c r="A78" s="66">
        <v>43577</v>
      </c>
      <c r="B78" s="66" t="str">
        <f>VLOOKUP(MONTH(A78),'Lookup Tables'!$A$3:$B$14,2,FALSE)</f>
        <v>Apr</v>
      </c>
      <c r="C78" s="66" t="str">
        <f>VLOOKUP(Table3[[#This Row],[Category]],$X$1:$Y$11,2,FALSE)</f>
        <v>1. Income</v>
      </c>
      <c r="D78" s="66" t="s">
        <v>84</v>
      </c>
      <c r="E78" s="58" t="s">
        <v>195</v>
      </c>
      <c r="F78" s="62">
        <v>40</v>
      </c>
      <c r="G78" s="59">
        <f t="shared" si="3"/>
        <v>35.247199999999992</v>
      </c>
      <c r="H78" s="156"/>
      <c r="I78" s="55"/>
      <c r="X78" s="57"/>
      <c r="Y78"/>
    </row>
    <row r="79" spans="1:25">
      <c r="A79" s="66">
        <v>43577</v>
      </c>
      <c r="B79" s="66" t="str">
        <f>VLOOKUP(MONTH(A79),'Lookup Tables'!$A$3:$B$14,2,FALSE)</f>
        <v>Apr</v>
      </c>
      <c r="C79" s="66" t="str">
        <f>VLOOKUP(Table3[[#This Row],[Category]],$X$1:$Y$11,2,FALSE)</f>
        <v>2. Expense</v>
      </c>
      <c r="D79" s="66" t="s">
        <v>236</v>
      </c>
      <c r="E79" s="58" t="s">
        <v>196</v>
      </c>
      <c r="F79" s="59">
        <v>-21.2</v>
      </c>
      <c r="G79" s="59">
        <f t="shared" si="3"/>
        <v>14.047199999999993</v>
      </c>
      <c r="H79" s="156"/>
      <c r="I79" s="55"/>
      <c r="X79" s="57"/>
      <c r="Y79"/>
    </row>
    <row r="80" spans="1:25" ht="31.5">
      <c r="A80" s="66">
        <v>43577</v>
      </c>
      <c r="B80" s="66" t="str">
        <f>VLOOKUP(MONTH(A80),'Lookup Tables'!$A$3:$B$14,2,FALSE)</f>
        <v>Apr</v>
      </c>
      <c r="C80" s="66" t="str">
        <f>VLOOKUP(Table3[[#This Row],[Category]],$X$1:$Y$11,2,FALSE)</f>
        <v>1. Income</v>
      </c>
      <c r="D80" s="66" t="s">
        <v>238</v>
      </c>
      <c r="E80" s="58" t="s">
        <v>197</v>
      </c>
      <c r="F80" s="64">
        <v>4.3</v>
      </c>
      <c r="G80" s="59">
        <f t="shared" si="3"/>
        <v>18.347199999999994</v>
      </c>
      <c r="H80" s="156"/>
      <c r="I80" s="55"/>
      <c r="X80" s="57"/>
      <c r="Y80"/>
    </row>
    <row r="81" spans="1:25" ht="47.25">
      <c r="A81" s="66">
        <v>43577</v>
      </c>
      <c r="B81" s="66" t="str">
        <f>VLOOKUP(MONTH(A81),'Lookup Tables'!$A$3:$B$14,2,FALSE)</f>
        <v>Apr</v>
      </c>
      <c r="C81" s="66" t="str">
        <f>VLOOKUP(Table3[[#This Row],[Category]],$X$1:$Y$11,2,FALSE)</f>
        <v>1. Income</v>
      </c>
      <c r="D81" s="66" t="s">
        <v>238</v>
      </c>
      <c r="E81" s="58" t="s">
        <v>198</v>
      </c>
      <c r="F81" s="59">
        <v>2</v>
      </c>
      <c r="G81" s="59">
        <f t="shared" si="3"/>
        <v>20.347199999999994</v>
      </c>
      <c r="H81" s="156"/>
      <c r="I81" s="55"/>
      <c r="X81" s="57"/>
      <c r="Y81"/>
    </row>
    <row r="82" spans="1:25" ht="63">
      <c r="A82" s="66">
        <v>43577</v>
      </c>
      <c r="B82" s="66" t="str">
        <f>VLOOKUP(MONTH(A82),'Lookup Tables'!$A$3:$B$14,2,FALSE)</f>
        <v>Apr</v>
      </c>
      <c r="C82" s="66" t="str">
        <f>VLOOKUP(Table3[[#This Row],[Category]],$X$1:$Y$11,2,FALSE)</f>
        <v>2. Expense</v>
      </c>
      <c r="D82" s="66" t="s">
        <v>237</v>
      </c>
      <c r="E82" s="58" t="s">
        <v>194</v>
      </c>
      <c r="F82" s="59">
        <v>-24.99</v>
      </c>
      <c r="G82" s="59">
        <f t="shared" si="3"/>
        <v>-4.6428000000000047</v>
      </c>
      <c r="H82" s="156"/>
      <c r="I82" s="55"/>
      <c r="J82" s="57" t="s">
        <v>199</v>
      </c>
      <c r="X82" s="57"/>
      <c r="Y82"/>
    </row>
    <row r="83" spans="1:25" ht="78.75">
      <c r="A83" s="66">
        <v>43585</v>
      </c>
      <c r="B83" s="66" t="str">
        <f>VLOOKUP(MONTH(A83),'Lookup Tables'!$A$3:$B$14,2,FALSE)</f>
        <v>Apr</v>
      </c>
      <c r="C83" s="66" t="str">
        <f>VLOOKUP(Table3[[#This Row],[Category]],$X$1:$Y$11,2,FALSE)</f>
        <v>1. Income</v>
      </c>
      <c r="D83" s="66" t="s">
        <v>239</v>
      </c>
      <c r="E83" s="58" t="s">
        <v>231</v>
      </c>
      <c r="F83" s="59">
        <v>10</v>
      </c>
      <c r="G83" s="59">
        <f t="shared" si="3"/>
        <v>5.3571999999999953</v>
      </c>
      <c r="H83" s="156"/>
      <c r="I83" s="55" t="s">
        <v>176</v>
      </c>
      <c r="X83" s="57"/>
      <c r="Y83"/>
    </row>
    <row r="84" spans="1:25" ht="47.25">
      <c r="A84" s="66">
        <v>43585</v>
      </c>
      <c r="B84" s="66" t="str">
        <f>VLOOKUP(MONTH(A84),'Lookup Tables'!$A$3:$B$14,2,FALSE)</f>
        <v>Apr</v>
      </c>
      <c r="C84" s="66" t="str">
        <f>VLOOKUP(Table3[[#This Row],[Category]],$X$1:$Y$11,2,FALSE)</f>
        <v>2. Expense</v>
      </c>
      <c r="D84" s="66" t="s">
        <v>241</v>
      </c>
      <c r="E84" s="58" t="s">
        <v>171</v>
      </c>
      <c r="F84" s="59">
        <f>-0.4*J84</f>
        <v>-4</v>
      </c>
      <c r="G84" s="59">
        <f t="shared" si="3"/>
        <v>1.3571999999999953</v>
      </c>
      <c r="H84" s="156"/>
      <c r="I84" s="55"/>
      <c r="J84" s="57">
        <v>10</v>
      </c>
      <c r="X84" s="57"/>
      <c r="Y84"/>
    </row>
    <row r="85" spans="1:25">
      <c r="A85" s="66">
        <v>43585</v>
      </c>
      <c r="B85" s="66" t="str">
        <f>VLOOKUP(MONTH(A85),'Lookup Tables'!$A$3:$B$14,2,FALSE)</f>
        <v>Apr</v>
      </c>
      <c r="C85" s="66" t="str">
        <f>VLOOKUP(Table3[[#This Row],[Category]],$X$1:$Y$11,2,FALSE)</f>
        <v>1. Income</v>
      </c>
      <c r="D85" s="66" t="s">
        <v>84</v>
      </c>
      <c r="E85" s="58" t="s">
        <v>200</v>
      </c>
      <c r="F85" s="59">
        <v>4</v>
      </c>
      <c r="G85" s="59">
        <f t="shared" si="3"/>
        <v>5.3571999999999953</v>
      </c>
      <c r="H85" s="156"/>
      <c r="I85" s="55"/>
      <c r="X85" s="57"/>
      <c r="Y85"/>
    </row>
    <row r="86" spans="1:25" ht="31.5">
      <c r="A86" s="66">
        <v>43585</v>
      </c>
      <c r="B86" s="66" t="str">
        <f>VLOOKUP(MONTH(A86),'Lookup Tables'!$A$3:$B$14,2,FALSE)</f>
        <v>Apr</v>
      </c>
      <c r="C86" s="66" t="str">
        <f>VLOOKUP(Table3[[#This Row],[Category]],$X$1:$Y$11,2,FALSE)</f>
        <v>2. Expense</v>
      </c>
      <c r="D86" s="66" t="s">
        <v>237</v>
      </c>
      <c r="E86" s="58" t="s">
        <v>201</v>
      </c>
      <c r="F86" s="59">
        <v>-9.99</v>
      </c>
      <c r="G86" s="59">
        <f t="shared" si="3"/>
        <v>-4.6328000000000049</v>
      </c>
      <c r="H86" s="156"/>
      <c r="I86" s="55"/>
      <c r="X86" s="57"/>
      <c r="Y86"/>
    </row>
    <row r="87" spans="1:25" ht="31.5">
      <c r="A87" s="66">
        <v>43593</v>
      </c>
      <c r="B87" s="66" t="str">
        <f>VLOOKUP(MONTH(A87),'Lookup Tables'!$A$3:$B$14,2,FALSE)</f>
        <v>May</v>
      </c>
      <c r="C87" s="66" t="str">
        <f>VLOOKUP(Table3[[#This Row],[Category]],$X$1:$Y$11,2,FALSE)</f>
        <v>1. Income</v>
      </c>
      <c r="D87" s="66" t="s">
        <v>239</v>
      </c>
      <c r="E87" s="58" t="s">
        <v>202</v>
      </c>
      <c r="F87" s="59">
        <v>10</v>
      </c>
      <c r="G87" s="59">
        <f t="shared" si="3"/>
        <v>5.3671999999999951</v>
      </c>
      <c r="H87" s="156"/>
      <c r="I87" s="55" t="s">
        <v>176</v>
      </c>
      <c r="X87" s="57"/>
      <c r="Y87"/>
    </row>
    <row r="88" spans="1:25" ht="47.25">
      <c r="A88" s="66">
        <v>43593</v>
      </c>
      <c r="B88" s="66" t="str">
        <f>VLOOKUP(MONTH(A88),'Lookup Tables'!$A$3:$B$14,2,FALSE)</f>
        <v>May</v>
      </c>
      <c r="C88" s="66" t="str">
        <f>VLOOKUP(Table3[[#This Row],[Category]],$X$1:$Y$11,2,FALSE)</f>
        <v>2. Expense</v>
      </c>
      <c r="D88" s="66" t="s">
        <v>241</v>
      </c>
      <c r="E88" s="58" t="s">
        <v>171</v>
      </c>
      <c r="F88" s="59">
        <f>-0.4*J88</f>
        <v>-4</v>
      </c>
      <c r="G88" s="59">
        <f t="shared" si="3"/>
        <v>1.3671999999999951</v>
      </c>
      <c r="H88" s="156"/>
      <c r="I88" s="55"/>
      <c r="J88" s="57">
        <v>10</v>
      </c>
      <c r="X88" s="57"/>
      <c r="Y88"/>
    </row>
    <row r="89" spans="1:25">
      <c r="A89" s="66">
        <v>43593</v>
      </c>
      <c r="B89" s="66" t="str">
        <f>VLOOKUP(MONTH(A89),'Lookup Tables'!$A$3:$B$14,2,FALSE)</f>
        <v>May</v>
      </c>
      <c r="C89" s="66" t="str">
        <f>VLOOKUP(Table3[[#This Row],[Category]],$X$1:$Y$11,2,FALSE)</f>
        <v>1. Income</v>
      </c>
      <c r="D89" s="66" t="s">
        <v>84</v>
      </c>
      <c r="E89" s="58" t="s">
        <v>200</v>
      </c>
      <c r="F89" s="62">
        <v>20</v>
      </c>
      <c r="G89" s="59">
        <f t="shared" si="3"/>
        <v>21.367199999999997</v>
      </c>
      <c r="H89" s="156"/>
      <c r="I89" s="55"/>
      <c r="X89" s="57"/>
      <c r="Y89"/>
    </row>
    <row r="90" spans="1:25" ht="63">
      <c r="A90" s="66">
        <v>43593</v>
      </c>
      <c r="B90" s="66" t="str">
        <f>VLOOKUP(MONTH(A90),'Lookup Tables'!$A$3:$B$14,2,FALSE)</f>
        <v>May</v>
      </c>
      <c r="C90" s="66" t="str">
        <f>VLOOKUP(Table3[[#This Row],[Category]],$X$1:$Y$11,2,FALSE)</f>
        <v>2. Expense</v>
      </c>
      <c r="D90" s="66" t="s">
        <v>237</v>
      </c>
      <c r="E90" s="58" t="s">
        <v>194</v>
      </c>
      <c r="F90" s="59">
        <v>-24.99</v>
      </c>
      <c r="G90" s="59">
        <f t="shared" si="3"/>
        <v>-3.6228000000000016</v>
      </c>
      <c r="H90" s="156"/>
      <c r="I90" s="55"/>
      <c r="X90" s="57"/>
      <c r="Y90"/>
    </row>
    <row r="91" spans="1:25" ht="110.25">
      <c r="A91" s="66">
        <v>43605</v>
      </c>
      <c r="B91" s="66" t="str">
        <f>VLOOKUP(MONTH(A91),'Lookup Tables'!$A$3:$B$14,2,FALSE)</f>
        <v>May</v>
      </c>
      <c r="C91" s="66" t="str">
        <f>VLOOKUP(Table3[[#This Row],[Category]],$X$1:$Y$11,2,FALSE)</f>
        <v>1. Income</v>
      </c>
      <c r="D91" s="66" t="s">
        <v>239</v>
      </c>
      <c r="E91" s="58" t="s">
        <v>232</v>
      </c>
      <c r="F91" s="59">
        <v>14.25</v>
      </c>
      <c r="G91" s="59">
        <f t="shared" si="3"/>
        <v>10.627199999999998</v>
      </c>
      <c r="H91" s="156"/>
      <c r="I91" s="55" t="s">
        <v>176</v>
      </c>
      <c r="X91" s="57"/>
      <c r="Y91"/>
    </row>
    <row r="92" spans="1:25" ht="31.5">
      <c r="A92" s="66">
        <v>43606</v>
      </c>
      <c r="B92" s="66" t="str">
        <f>VLOOKUP(MONTH(A92),'Lookup Tables'!$A$3:$B$14,2,FALSE)</f>
        <v>May</v>
      </c>
      <c r="C92" s="66" t="str">
        <f>VLOOKUP(Table3[[#This Row],[Category]],$X$1:$Y$11,2,FALSE)</f>
        <v>1. Income</v>
      </c>
      <c r="D92" s="66" t="s">
        <v>84</v>
      </c>
      <c r="E92" s="58" t="s">
        <v>203</v>
      </c>
      <c r="F92" s="59">
        <v>0.25</v>
      </c>
      <c r="G92" s="59">
        <f t="shared" si="3"/>
        <v>10.877199999999998</v>
      </c>
      <c r="H92" s="156"/>
      <c r="I92" s="55"/>
      <c r="J92" s="57">
        <v>14</v>
      </c>
      <c r="X92" s="57"/>
      <c r="Y92"/>
    </row>
    <row r="93" spans="1:25" ht="47.25">
      <c r="A93" s="66">
        <v>43605</v>
      </c>
      <c r="B93" s="66" t="str">
        <f>VLOOKUP(MONTH(A93),'Lookup Tables'!$A$3:$B$14,2,FALSE)</f>
        <v>May</v>
      </c>
      <c r="C93" s="66" t="str">
        <f>VLOOKUP(Table3[[#This Row],[Category]],$X$1:$Y$11,2,FALSE)</f>
        <v>2. Expense</v>
      </c>
      <c r="D93" s="66" t="s">
        <v>241</v>
      </c>
      <c r="E93" s="58" t="s">
        <v>171</v>
      </c>
      <c r="F93" s="59">
        <f>-0.4*J92</f>
        <v>-5.6000000000000005</v>
      </c>
      <c r="G93" s="59">
        <f t="shared" si="3"/>
        <v>5.2771999999999979</v>
      </c>
      <c r="H93" s="156"/>
      <c r="I93" s="55"/>
      <c r="X93" s="57"/>
      <c r="Y93"/>
    </row>
    <row r="94" spans="1:25" ht="31.5">
      <c r="A94" s="66">
        <v>43628</v>
      </c>
      <c r="B94" s="66" t="str">
        <f>VLOOKUP(MONTH(A94),'Lookup Tables'!$A$3:$B$14,2,FALSE)</f>
        <v>Jun</v>
      </c>
      <c r="C94" s="66" t="str">
        <f>VLOOKUP(Table3[[#This Row],[Category]],$X$1:$Y$11,2,FALSE)</f>
        <v>1. Income</v>
      </c>
      <c r="D94" s="66" t="s">
        <v>238</v>
      </c>
      <c r="E94" s="58" t="s">
        <v>204</v>
      </c>
      <c r="F94" s="59">
        <v>10</v>
      </c>
      <c r="G94" s="59">
        <f t="shared" si="3"/>
        <v>15.277199999999997</v>
      </c>
      <c r="H94" s="156"/>
      <c r="I94" s="55" t="s">
        <v>176</v>
      </c>
      <c r="X94" s="57"/>
      <c r="Y94"/>
    </row>
    <row r="95" spans="1:25" ht="47.25">
      <c r="A95" s="66">
        <v>43628</v>
      </c>
      <c r="B95" s="66" t="str">
        <f>VLOOKUP(MONTH(A95),'Lookup Tables'!$A$3:$B$14,2,FALSE)</f>
        <v>Jun</v>
      </c>
      <c r="C95" s="66" t="str">
        <f>VLOOKUP(Table3[[#This Row],[Category]],$X$1:$Y$11,2,FALSE)</f>
        <v>2. Expense</v>
      </c>
      <c r="D95" s="66" t="s">
        <v>241</v>
      </c>
      <c r="E95" s="58" t="s">
        <v>171</v>
      </c>
      <c r="F95" s="59">
        <f>-0.4*J95</f>
        <v>-4</v>
      </c>
      <c r="G95" s="59">
        <f t="shared" si="3"/>
        <v>11.277199999999997</v>
      </c>
      <c r="H95" s="156"/>
      <c r="I95" s="55"/>
      <c r="J95" s="57">
        <v>10</v>
      </c>
      <c r="X95" s="57"/>
      <c r="Y95"/>
    </row>
    <row r="96" spans="1:25" ht="78.75">
      <c r="A96" s="66">
        <v>43628</v>
      </c>
      <c r="B96" s="66" t="str">
        <f>VLOOKUP(MONTH(A96),'Lookup Tables'!$A$3:$B$14,2,FALSE)</f>
        <v>Jun</v>
      </c>
      <c r="C96" s="66" t="str">
        <f>VLOOKUP(Table3[[#This Row],[Category]],$X$1:$Y$11,2,FALSE)</f>
        <v>2. Expense</v>
      </c>
      <c r="D96" s="66" t="s">
        <v>236</v>
      </c>
      <c r="E96" s="58" t="s">
        <v>205</v>
      </c>
      <c r="F96" s="59">
        <v>-10.59</v>
      </c>
      <c r="G96" s="59">
        <f t="shared" si="3"/>
        <v>0.68719999999999715</v>
      </c>
      <c r="H96" s="156"/>
      <c r="I96" s="55"/>
      <c r="X96" s="57"/>
      <c r="Y96"/>
    </row>
    <row r="97" spans="1:25" ht="173.25">
      <c r="A97" s="66">
        <v>43628</v>
      </c>
      <c r="B97" s="66" t="str">
        <f>VLOOKUP(MONTH(A97),'Lookup Tables'!$A$3:$B$14,2,FALSE)</f>
        <v>Jun</v>
      </c>
      <c r="C97" s="66" t="str">
        <f>VLOOKUP(Table3[[#This Row],[Category]],$X$1:$Y$11,2,FALSE)</f>
        <v>2. Expense</v>
      </c>
      <c r="D97" s="66" t="s">
        <v>236</v>
      </c>
      <c r="E97" s="58" t="s">
        <v>206</v>
      </c>
      <c r="F97" s="59">
        <v>-5.29</v>
      </c>
      <c r="G97" s="59">
        <f t="shared" si="3"/>
        <v>-4.6028000000000029</v>
      </c>
      <c r="H97" s="156"/>
      <c r="I97" s="55"/>
      <c r="X97" s="57"/>
      <c r="Y97"/>
    </row>
    <row r="98" spans="1:25" ht="63">
      <c r="A98" s="66">
        <v>43652</v>
      </c>
      <c r="B98" s="66" t="str">
        <f>VLOOKUP(MONTH(A98),'Lookup Tables'!$A$3:$B$14,2,FALSE)</f>
        <v>Jul</v>
      </c>
      <c r="C98" s="66" t="str">
        <f>VLOOKUP(Table3[[#This Row],[Category]],$X$1:$Y$11,2,FALSE)</f>
        <v>1. Income</v>
      </c>
      <c r="D98" s="66" t="s">
        <v>238</v>
      </c>
      <c r="E98" s="58" t="s">
        <v>207</v>
      </c>
      <c r="F98" s="59">
        <v>10</v>
      </c>
      <c r="G98" s="59">
        <f t="shared" si="3"/>
        <v>5.3971999999999971</v>
      </c>
      <c r="H98" s="156"/>
      <c r="I98" s="55"/>
      <c r="X98" s="57"/>
      <c r="Y98"/>
    </row>
    <row r="99" spans="1:25" ht="31.5">
      <c r="A99" s="66">
        <v>43652</v>
      </c>
      <c r="B99" s="66" t="str">
        <f>VLOOKUP(MONTH(A99),'Lookup Tables'!$A$3:$B$14,2,FALSE)</f>
        <v>Jul</v>
      </c>
      <c r="C99" s="66" t="str">
        <f>VLOOKUP(Table3[[#This Row],[Category]],$X$1:$Y$11,2,FALSE)</f>
        <v>2. Expense</v>
      </c>
      <c r="D99" s="66" t="s">
        <v>237</v>
      </c>
      <c r="E99" s="58" t="s">
        <v>208</v>
      </c>
      <c r="F99" s="59">
        <f>-1*4.99</f>
        <v>-4.99</v>
      </c>
      <c r="G99" s="59">
        <f t="shared" si="3"/>
        <v>0.4071999999999969</v>
      </c>
      <c r="H99" s="156"/>
      <c r="I99" s="55" t="s">
        <v>209</v>
      </c>
      <c r="X99" s="57"/>
      <c r="Y99"/>
    </row>
    <row r="100" spans="1:25" ht="31.5">
      <c r="A100" s="66">
        <v>43683</v>
      </c>
      <c r="B100" s="66" t="str">
        <f>VLOOKUP(MONTH(A100),'Lookup Tables'!$A$3:$B$14,2,FALSE)</f>
        <v>Aug</v>
      </c>
      <c r="C100" s="66" t="str">
        <f>VLOOKUP(Table3[[#This Row],[Category]],$X$1:$Y$11,2,FALSE)</f>
        <v>2. Expense</v>
      </c>
      <c r="D100" s="66" t="s">
        <v>237</v>
      </c>
      <c r="E100" s="58" t="s">
        <v>210</v>
      </c>
      <c r="F100" s="59">
        <v>-4.8899999999999997</v>
      </c>
      <c r="G100" s="59">
        <f t="shared" si="3"/>
        <v>-4.4828000000000028</v>
      </c>
      <c r="H100" s="156"/>
      <c r="I100" s="55" t="s">
        <v>209</v>
      </c>
      <c r="X100" s="57"/>
      <c r="Y100"/>
    </row>
    <row r="101" spans="1:25" ht="31.5">
      <c r="A101" s="66">
        <v>43686</v>
      </c>
      <c r="B101" s="66" t="str">
        <f>VLOOKUP(MONTH(A101),'Lookup Tables'!$A$3:$B$14,2,FALSE)</f>
        <v>Aug</v>
      </c>
      <c r="C101" s="66" t="str">
        <f>VLOOKUP(Table3[[#This Row],[Category]],$X$1:$Y$11,2,FALSE)</f>
        <v>1. Income</v>
      </c>
      <c r="D101" s="66" t="s">
        <v>84</v>
      </c>
      <c r="E101" s="58" t="s">
        <v>211</v>
      </c>
      <c r="F101" s="59">
        <v>20</v>
      </c>
      <c r="G101" s="59">
        <f t="shared" si="3"/>
        <v>15.517199999999997</v>
      </c>
      <c r="H101" s="156"/>
      <c r="I101" s="55" t="s">
        <v>176</v>
      </c>
      <c r="X101" s="57"/>
      <c r="Y101"/>
    </row>
    <row r="102" spans="1:25" ht="47.25">
      <c r="A102" s="66">
        <v>43686</v>
      </c>
      <c r="B102" s="66" t="str">
        <f>VLOOKUP(MONTH(A102),'Lookup Tables'!$A$3:$B$14,2,FALSE)</f>
        <v>Aug</v>
      </c>
      <c r="C102" s="66" t="str">
        <f>VLOOKUP(Table3[[#This Row],[Category]],$X$1:$Y$11,2,FALSE)</f>
        <v>2. Expense</v>
      </c>
      <c r="D102" s="66" t="s">
        <v>241</v>
      </c>
      <c r="E102" s="58" t="s">
        <v>171</v>
      </c>
      <c r="F102" s="59">
        <f>-0.4*J102</f>
        <v>-8</v>
      </c>
      <c r="G102" s="59">
        <f t="shared" si="3"/>
        <v>7.5171999999999972</v>
      </c>
      <c r="H102" s="156"/>
      <c r="I102" s="55"/>
      <c r="J102" s="57">
        <v>20</v>
      </c>
      <c r="X102" s="57"/>
      <c r="Y102"/>
    </row>
    <row r="103" spans="1:25" ht="47.25">
      <c r="A103" s="66">
        <v>43686</v>
      </c>
      <c r="B103" s="66" t="str">
        <f>VLOOKUP(MONTH(A103),'Lookup Tables'!$A$3:$B$14,2,FALSE)</f>
        <v>Aug</v>
      </c>
      <c r="C103" s="66" t="str">
        <f>VLOOKUP(Table3[[#This Row],[Category]],$X$1:$Y$11,2,FALSE)</f>
        <v>2. Expense</v>
      </c>
      <c r="D103" s="66" t="s">
        <v>237</v>
      </c>
      <c r="E103" s="58" t="s">
        <v>212</v>
      </c>
      <c r="F103" s="59">
        <v>-9.99</v>
      </c>
      <c r="G103" s="59">
        <f t="shared" si="3"/>
        <v>-2.472800000000003</v>
      </c>
      <c r="H103" s="156"/>
      <c r="I103" s="55"/>
      <c r="X103" s="57"/>
      <c r="Y103"/>
    </row>
    <row r="104" spans="1:25" ht="47.25">
      <c r="A104" s="66">
        <v>43694</v>
      </c>
      <c r="B104" s="66" t="str">
        <f>VLOOKUP(MONTH(A104),'Lookup Tables'!$A$3:$B$14,2,FALSE)</f>
        <v>Aug</v>
      </c>
      <c r="C104" s="66" t="str">
        <f>VLOOKUP(Table3[[#This Row],[Category]],$X$1:$Y$11,2,FALSE)</f>
        <v>1. Income</v>
      </c>
      <c r="D104" s="66" t="s">
        <v>84</v>
      </c>
      <c r="E104" s="58" t="s">
        <v>213</v>
      </c>
      <c r="F104" s="59">
        <v>10</v>
      </c>
      <c r="G104" s="59">
        <f t="shared" si="3"/>
        <v>7.527199999999997</v>
      </c>
      <c r="H104" s="156"/>
      <c r="I104" s="55" t="s">
        <v>176</v>
      </c>
      <c r="X104" s="57"/>
      <c r="Y104"/>
    </row>
    <row r="105" spans="1:25" ht="47.25">
      <c r="A105" s="66">
        <v>43695</v>
      </c>
      <c r="B105" s="66" t="str">
        <f>VLOOKUP(MONTH(A105),'Lookup Tables'!$A$3:$B$14,2,FALSE)</f>
        <v>Aug</v>
      </c>
      <c r="C105" s="66" t="str">
        <f>VLOOKUP(Table3[[#This Row],[Category]],$X$1:$Y$11,2,FALSE)</f>
        <v>2. Expense</v>
      </c>
      <c r="D105" s="66" t="s">
        <v>237</v>
      </c>
      <c r="E105" s="58" t="s">
        <v>171</v>
      </c>
      <c r="F105" s="59">
        <f>-0.4*J105</f>
        <v>-4</v>
      </c>
      <c r="G105" s="59">
        <f t="shared" si="3"/>
        <v>3.527199999999997</v>
      </c>
      <c r="H105" s="156"/>
      <c r="I105" s="55"/>
      <c r="J105" s="57">
        <v>10</v>
      </c>
      <c r="X105" s="57"/>
      <c r="Y105"/>
    </row>
    <row r="106" spans="1:25" ht="31.5">
      <c r="A106" s="66">
        <v>43695</v>
      </c>
      <c r="B106" s="66" t="str">
        <f>VLOOKUP(MONTH(A106),'Lookup Tables'!$A$3:$B$14,2,FALSE)</f>
        <v>Aug</v>
      </c>
      <c r="C106" s="66" t="str">
        <f>VLOOKUP(Table3[[#This Row],[Category]],$X$1:$Y$11,2,FALSE)</f>
        <v>2. Expense</v>
      </c>
      <c r="D106" s="66" t="s">
        <v>237</v>
      </c>
      <c r="E106" s="58" t="s">
        <v>214</v>
      </c>
      <c r="F106" s="59">
        <v>-4.99</v>
      </c>
      <c r="G106" s="59">
        <f t="shared" si="3"/>
        <v>-1.4628000000000032</v>
      </c>
      <c r="H106" s="156"/>
      <c r="I106" s="55"/>
      <c r="X106" s="57"/>
      <c r="Y106"/>
    </row>
    <row r="107" spans="1:25" ht="31.5">
      <c r="A107" s="66">
        <v>43826</v>
      </c>
      <c r="B107" s="66" t="str">
        <f>VLOOKUP(MONTH(A107),'Lookup Tables'!$A$3:$B$14,2,FALSE)</f>
        <v>Dec</v>
      </c>
      <c r="C107" s="66" t="str">
        <f>VLOOKUP(Table3[[#This Row],[Category]],$X$1:$Y$11,2,FALSE)</f>
        <v>1. Income</v>
      </c>
      <c r="D107" s="66" t="s">
        <v>84</v>
      </c>
      <c r="E107" s="58" t="s">
        <v>215</v>
      </c>
      <c r="F107" s="59">
        <v>10</v>
      </c>
      <c r="G107" s="59">
        <f t="shared" si="3"/>
        <v>8.5371999999999968</v>
      </c>
      <c r="H107" s="156"/>
      <c r="I107" s="55"/>
      <c r="X107" s="57"/>
      <c r="Y107"/>
    </row>
    <row r="108" spans="1:25" ht="47.25">
      <c r="A108" s="66">
        <v>43826</v>
      </c>
      <c r="B108" s="66" t="str">
        <f>VLOOKUP(MONTH(A108),'Lookup Tables'!$A$3:$B$14,2,FALSE)</f>
        <v>Dec</v>
      </c>
      <c r="C108" s="66" t="str">
        <f>VLOOKUP(Table3[[#This Row],[Category]],$X$1:$Y$11,2,FALSE)</f>
        <v>1. Income</v>
      </c>
      <c r="D108" s="66" t="s">
        <v>84</v>
      </c>
      <c r="E108" s="58" t="s">
        <v>216</v>
      </c>
      <c r="F108" s="59">
        <v>25</v>
      </c>
      <c r="G108" s="59">
        <f t="shared" si="3"/>
        <v>33.537199999999999</v>
      </c>
      <c r="H108" s="156"/>
      <c r="I108" s="55" t="s">
        <v>176</v>
      </c>
      <c r="X108" s="57"/>
      <c r="Y108"/>
    </row>
    <row r="109" spans="1:25" ht="47.25">
      <c r="A109" s="66">
        <v>43827</v>
      </c>
      <c r="B109" s="66" t="str">
        <f>VLOOKUP(MONTH(A109),'Lookup Tables'!$A$3:$B$14,2,FALSE)</f>
        <v>Dec</v>
      </c>
      <c r="C109" s="66" t="str">
        <f>VLOOKUP(Table3[[#This Row],[Category]],$X$1:$Y$11,2,FALSE)</f>
        <v>2. Expense</v>
      </c>
      <c r="D109" s="66" t="s">
        <v>241</v>
      </c>
      <c r="E109" s="58" t="s">
        <v>171</v>
      </c>
      <c r="F109" s="59">
        <f>-0.4*J109</f>
        <v>-14</v>
      </c>
      <c r="G109" s="59">
        <f t="shared" si="3"/>
        <v>19.537199999999999</v>
      </c>
      <c r="H109" s="156"/>
      <c r="I109" s="55"/>
      <c r="J109" s="57">
        <v>35</v>
      </c>
      <c r="X109" s="57"/>
      <c r="Y109"/>
    </row>
    <row r="110" spans="1:25" ht="47.25">
      <c r="A110" s="66">
        <v>43827</v>
      </c>
      <c r="B110" s="66" t="str">
        <f>VLOOKUP(MONTH(A110),'Lookup Tables'!$A$3:$B$14,2,FALSE)</f>
        <v>Dec</v>
      </c>
      <c r="C110" s="66" t="str">
        <f>VLOOKUP(Table3[[#This Row],[Category]],$X$1:$Y$11,2,FALSE)</f>
        <v>2. Expense</v>
      </c>
      <c r="D110" s="66" t="s">
        <v>237</v>
      </c>
      <c r="E110" s="58" t="s">
        <v>217</v>
      </c>
      <c r="F110" s="59">
        <v>-4.99</v>
      </c>
      <c r="G110" s="59">
        <f t="shared" si="3"/>
        <v>14.547199999999998</v>
      </c>
      <c r="H110" s="156"/>
      <c r="I110" s="55"/>
      <c r="X110" s="57"/>
      <c r="Y110"/>
    </row>
    <row r="111" spans="1:25" ht="47.25">
      <c r="A111" s="66">
        <v>43827</v>
      </c>
      <c r="B111" s="66" t="str">
        <f>VLOOKUP(MONTH(A111),'Lookup Tables'!$A$3:$B$14,2,FALSE)</f>
        <v>Dec</v>
      </c>
      <c r="C111" s="66" t="str">
        <f>VLOOKUP(Table3[[#This Row],[Category]],$X$1:$Y$11,2,FALSE)</f>
        <v>2. Expense</v>
      </c>
      <c r="D111" s="66" t="s">
        <v>237</v>
      </c>
      <c r="E111" s="58" t="s">
        <v>212</v>
      </c>
      <c r="F111" s="59">
        <v>-9.99</v>
      </c>
      <c r="G111" s="59">
        <f t="shared" si="3"/>
        <v>4.5571999999999981</v>
      </c>
      <c r="H111" s="156"/>
      <c r="I111" s="55"/>
      <c r="X111" s="57"/>
      <c r="Y111"/>
    </row>
    <row r="112" spans="1:25" ht="31.5">
      <c r="A112" s="66">
        <v>43827</v>
      </c>
      <c r="B112" s="66" t="str">
        <f>VLOOKUP(MONTH(A112),'Lookup Tables'!$A$3:$B$14,2,FALSE)</f>
        <v>Dec</v>
      </c>
      <c r="C112" s="66" t="str">
        <f>VLOOKUP(Table3[[#This Row],[Category]],$X$1:$Y$11,2,FALSE)</f>
        <v>1. Income</v>
      </c>
      <c r="D112" s="66" t="s">
        <v>84</v>
      </c>
      <c r="E112" s="58" t="s">
        <v>218</v>
      </c>
      <c r="F112" s="59">
        <v>0.61</v>
      </c>
      <c r="G112" s="59">
        <f>G111+F112</f>
        <v>5.1671999999999985</v>
      </c>
      <c r="H112" s="156"/>
      <c r="I112" s="55"/>
      <c r="X112" s="57"/>
      <c r="Y112"/>
    </row>
    <row r="113" spans="1:25" ht="47.25">
      <c r="A113" s="66">
        <v>43827</v>
      </c>
      <c r="B113" s="66" t="str">
        <f>VLOOKUP(MONTH(A113),'Lookup Tables'!$A$3:$B$14,2,FALSE)</f>
        <v>Dec</v>
      </c>
      <c r="C113" s="66" t="str">
        <f>VLOOKUP(Table3[[#This Row],[Category]],$X$1:$Y$11,2,FALSE)</f>
        <v>2. Expense</v>
      </c>
      <c r="D113" s="66" t="s">
        <v>237</v>
      </c>
      <c r="E113" s="65" t="s">
        <v>212</v>
      </c>
      <c r="F113" s="59">
        <v>-9.99</v>
      </c>
      <c r="G113" s="59">
        <f t="shared" si="3"/>
        <v>-4.8228000000000018</v>
      </c>
      <c r="H113" s="156"/>
      <c r="I113" s="55"/>
      <c r="X113" s="57"/>
      <c r="Y113"/>
    </row>
    <row r="114" spans="1:25">
      <c r="F114" s="59"/>
      <c r="X114"/>
    </row>
    <row r="115" spans="1:25">
      <c r="A115" s="117" t="s">
        <v>274</v>
      </c>
      <c r="B115" s="117"/>
      <c r="C115" s="117"/>
      <c r="D115" s="118"/>
      <c r="E115" s="119"/>
      <c r="F115" s="119"/>
      <c r="G115" s="70"/>
      <c r="H115" s="160"/>
      <c r="I115" s="120"/>
      <c r="J115" s="120"/>
      <c r="X115"/>
    </row>
    <row r="116" spans="1:25">
      <c r="A116" s="67" t="s">
        <v>0</v>
      </c>
      <c r="B116" s="67" t="s">
        <v>41</v>
      </c>
      <c r="C116" s="67" t="s">
        <v>248</v>
      </c>
      <c r="D116" s="67" t="s">
        <v>6</v>
      </c>
      <c r="E116" s="132" t="s">
        <v>152</v>
      </c>
      <c r="F116" s="60" t="s">
        <v>5</v>
      </c>
      <c r="G116" s="132" t="s">
        <v>153</v>
      </c>
      <c r="H116" s="158"/>
      <c r="I116" s="55"/>
    </row>
    <row r="117" spans="1:25" ht="47.25">
      <c r="A117" s="117">
        <v>43830</v>
      </c>
      <c r="B117" s="121" t="str">
        <f>VLOOKUP(MONTH(A117),'Lookup Tables'!$A$3:$B$14,2,FALSE)</f>
        <v>Dec</v>
      </c>
      <c r="C117" s="117" t="s">
        <v>271</v>
      </c>
      <c r="D117" s="118" t="s">
        <v>272</v>
      </c>
      <c r="E117" s="118" t="s">
        <v>272</v>
      </c>
      <c r="F117" s="119">
        <v>-4.82</v>
      </c>
      <c r="G117" s="122">
        <v>-4.82</v>
      </c>
      <c r="H117" s="161"/>
      <c r="I117" s="120"/>
      <c r="J117" s="120"/>
      <c r="X117"/>
    </row>
    <row r="118" spans="1:25" ht="110.25">
      <c r="A118" s="117">
        <v>43831</v>
      </c>
      <c r="B118" s="121" t="str">
        <f>VLOOKUP(MONTH(A118),'Lookup Tables'!$A$3:$B$14,2,FALSE)</f>
        <v>Jan</v>
      </c>
      <c r="C118" s="117" t="s">
        <v>251</v>
      </c>
      <c r="D118" s="118" t="s">
        <v>273</v>
      </c>
      <c r="E118" s="123" t="s">
        <v>275</v>
      </c>
      <c r="F118" s="124">
        <v>-9.99</v>
      </c>
      <c r="G118" s="125">
        <f t="shared" ref="G118:G121" si="4">G117+F118</f>
        <v>-14.81</v>
      </c>
      <c r="H118" s="159"/>
      <c r="I118" s="120"/>
      <c r="J118" s="120"/>
      <c r="X118"/>
    </row>
    <row r="119" spans="1:25" ht="63">
      <c r="A119" s="117">
        <v>43862</v>
      </c>
      <c r="B119" s="126" t="str">
        <f>VLOOKUP(MONTH(A119),'Lookup Tables'!$A$3:$B$14,2,FALSE)</f>
        <v>Feb</v>
      </c>
      <c r="C119" s="117" t="s">
        <v>249</v>
      </c>
      <c r="D119" s="118" t="s">
        <v>370</v>
      </c>
      <c r="E119" s="127" t="s">
        <v>371</v>
      </c>
      <c r="F119" s="119">
        <v>24.02</v>
      </c>
      <c r="G119" s="125">
        <f t="shared" si="4"/>
        <v>9.2099999999999991</v>
      </c>
      <c r="H119" s="159"/>
      <c r="I119" s="120" t="s">
        <v>176</v>
      </c>
      <c r="J119" s="120">
        <v>23</v>
      </c>
      <c r="X119"/>
    </row>
    <row r="120" spans="1:25" ht="47.25">
      <c r="A120" s="117">
        <v>43862</v>
      </c>
      <c r="B120" s="126" t="str">
        <f>VLOOKUP(MONTH(A120),'Lookup Tables'!$A$3:$B$14,2,FALSE)</f>
        <v>Feb</v>
      </c>
      <c r="C120" s="126" t="s">
        <v>372</v>
      </c>
      <c r="D120" s="126" t="s">
        <v>241</v>
      </c>
      <c r="E120" s="128" t="s">
        <v>171</v>
      </c>
      <c r="F120" s="129">
        <f>-0.4*J119</f>
        <v>-9.2000000000000011</v>
      </c>
      <c r="G120" s="130">
        <f t="shared" si="4"/>
        <v>9.9999999999980105E-3</v>
      </c>
      <c r="H120" s="159"/>
      <c r="I120" s="120"/>
      <c r="J120" s="120"/>
      <c r="X120"/>
    </row>
    <row r="121" spans="1:25" ht="110.25">
      <c r="A121" s="117">
        <v>43862</v>
      </c>
      <c r="B121" s="126" t="str">
        <f>VLOOKUP(MONTH(A121),'Lookup Tables'!$A$3:$B$14,2,FALSE)</f>
        <v>Feb</v>
      </c>
      <c r="C121" s="117" t="s">
        <v>251</v>
      </c>
      <c r="D121" s="118" t="s">
        <v>273</v>
      </c>
      <c r="E121" s="123" t="s">
        <v>275</v>
      </c>
      <c r="F121" s="119">
        <v>-9.99</v>
      </c>
      <c r="G121" s="130">
        <f t="shared" si="4"/>
        <v>-9.9800000000000022</v>
      </c>
      <c r="H121" s="159"/>
      <c r="I121" s="131" t="s">
        <v>373</v>
      </c>
      <c r="J121" s="120"/>
      <c r="X121"/>
    </row>
    <row r="122" spans="1:25" ht="47.25">
      <c r="A122" s="117">
        <v>43871</v>
      </c>
      <c r="B122" s="126" t="str">
        <f>VLOOKUP(MONTH(A122),'Lookup Tables'!$A$3:$B$14,2,FALSE)</f>
        <v>Feb</v>
      </c>
      <c r="C122" s="117" t="s">
        <v>249</v>
      </c>
      <c r="D122" s="118" t="s">
        <v>374</v>
      </c>
      <c r="E122" s="127" t="s">
        <v>375</v>
      </c>
      <c r="F122" s="119">
        <v>10</v>
      </c>
      <c r="G122" s="125">
        <f t="shared" ref="G122:G135" si="5">G121+F122</f>
        <v>1.9999999999997797E-2</v>
      </c>
      <c r="H122" s="159"/>
      <c r="I122" s="120"/>
      <c r="J122" s="120"/>
      <c r="X122"/>
    </row>
    <row r="123" spans="1:25">
      <c r="A123" s="117">
        <v>43876</v>
      </c>
      <c r="B123" s="126" t="str">
        <f>VLOOKUP(MONTH(A123),'Lookup Tables'!$A$3:$B$14,2,FALSE)</f>
        <v>Feb</v>
      </c>
      <c r="C123" s="117" t="s">
        <v>251</v>
      </c>
      <c r="D123" s="118" t="s">
        <v>273</v>
      </c>
      <c r="E123" s="127" t="s">
        <v>376</v>
      </c>
      <c r="F123" s="119">
        <v>-9.99</v>
      </c>
      <c r="G123" s="125">
        <f t="shared" si="5"/>
        <v>-9.9700000000000024</v>
      </c>
      <c r="H123" s="159"/>
      <c r="I123" s="120"/>
      <c r="J123" s="120"/>
      <c r="X123"/>
    </row>
    <row r="124" spans="1:25">
      <c r="A124" s="66">
        <v>43881</v>
      </c>
      <c r="B124" s="126" t="str">
        <f>VLOOKUP(MONTH(A124),'Lookup Tables'!$A$3:$B$14,2,FALSE)</f>
        <v>Feb</v>
      </c>
      <c r="C124" s="66" t="s">
        <v>249</v>
      </c>
      <c r="D124" s="58" t="s">
        <v>370</v>
      </c>
      <c r="E124" s="59" t="s">
        <v>377</v>
      </c>
      <c r="F124" s="59">
        <v>5</v>
      </c>
      <c r="G124" s="125">
        <f t="shared" si="5"/>
        <v>-4.9700000000000024</v>
      </c>
      <c r="H124" s="159"/>
      <c r="X124"/>
    </row>
    <row r="125" spans="1:25">
      <c r="A125" s="66">
        <v>43881</v>
      </c>
      <c r="B125" s="126" t="str">
        <f>VLOOKUP(MONTH(A125),'Lookup Tables'!$A$3:$B$14,2,FALSE)</f>
        <v>Feb</v>
      </c>
      <c r="C125" s="66" t="s">
        <v>251</v>
      </c>
      <c r="D125" s="58" t="s">
        <v>273</v>
      </c>
      <c r="E125" s="59" t="s">
        <v>378</v>
      </c>
      <c r="F125" s="59">
        <v>-4.99</v>
      </c>
      <c r="G125" s="125">
        <f t="shared" si="5"/>
        <v>-9.9600000000000026</v>
      </c>
      <c r="H125" s="159"/>
      <c r="X125"/>
    </row>
    <row r="126" spans="1:25">
      <c r="A126" s="66">
        <v>43906</v>
      </c>
      <c r="B126" s="126" t="str">
        <f>VLOOKUP(MONTH(A126),'Lookup Tables'!$A$3:$B$14,2,FALSE)</f>
        <v>Mar</v>
      </c>
      <c r="C126" s="66" t="s">
        <v>249</v>
      </c>
      <c r="D126" s="58" t="s">
        <v>379</v>
      </c>
      <c r="E126" s="59" t="s">
        <v>380</v>
      </c>
      <c r="F126" s="59">
        <v>0.22</v>
      </c>
      <c r="G126" s="125">
        <f t="shared" si="5"/>
        <v>-9.740000000000002</v>
      </c>
      <c r="H126" s="159"/>
      <c r="X126"/>
    </row>
    <row r="127" spans="1:25">
      <c r="A127" s="66">
        <v>43907</v>
      </c>
      <c r="B127" s="126" t="str">
        <f>VLOOKUP(MONTH(A127),'Lookup Tables'!$A$3:$B$14,2,FALSE)</f>
        <v>Mar</v>
      </c>
      <c r="C127" s="66" t="s">
        <v>249</v>
      </c>
      <c r="D127" s="58" t="s">
        <v>379</v>
      </c>
      <c r="E127" s="59" t="s">
        <v>381</v>
      </c>
      <c r="F127" s="59">
        <v>35</v>
      </c>
      <c r="G127" s="125">
        <f t="shared" si="5"/>
        <v>25.259999999999998</v>
      </c>
      <c r="H127" s="159"/>
      <c r="X127"/>
    </row>
    <row r="128" spans="1:25">
      <c r="A128" s="66">
        <v>43907</v>
      </c>
      <c r="B128" s="126" t="str">
        <f>VLOOKUP(MONTH(A128),'Lookup Tables'!$A$3:$B$14,2,FALSE)</f>
        <v>Mar</v>
      </c>
      <c r="C128" s="66" t="s">
        <v>251</v>
      </c>
      <c r="D128" s="58" t="s">
        <v>273</v>
      </c>
      <c r="E128" s="59" t="s">
        <v>382</v>
      </c>
      <c r="F128" s="59">
        <v>-24.99</v>
      </c>
      <c r="G128" s="125">
        <f t="shared" si="5"/>
        <v>0.26999999999999957</v>
      </c>
      <c r="H128" s="159"/>
      <c r="X128"/>
    </row>
    <row r="129" spans="1:24" ht="31.5">
      <c r="A129" s="66">
        <v>43912</v>
      </c>
      <c r="B129" s="126" t="str">
        <f>VLOOKUP(MONTH(A129),'Lookup Tables'!$A$3:$B$14,2,FALSE)</f>
        <v>Mar</v>
      </c>
      <c r="C129" s="66" t="s">
        <v>249</v>
      </c>
      <c r="D129" s="58" t="s">
        <v>582</v>
      </c>
      <c r="E129" s="62">
        <v>158</v>
      </c>
      <c r="F129" s="59">
        <v>158</v>
      </c>
      <c r="G129" s="125">
        <f t="shared" si="5"/>
        <v>158.27000000000001</v>
      </c>
      <c r="H129" s="159"/>
      <c r="I129" s="57">
        <v>158</v>
      </c>
      <c r="X129"/>
    </row>
    <row r="130" spans="1:24" ht="47.25">
      <c r="A130" s="66">
        <v>43912</v>
      </c>
      <c r="B130" s="126" t="str">
        <f>VLOOKUP(MONTH(A130),'Lookup Tables'!$A$3:$B$14,2,FALSE)</f>
        <v>Mar</v>
      </c>
      <c r="C130" s="126" t="s">
        <v>372</v>
      </c>
      <c r="D130" s="126" t="s">
        <v>241</v>
      </c>
      <c r="E130" s="128" t="s">
        <v>171</v>
      </c>
      <c r="F130" s="129">
        <f>-0.4*I129</f>
        <v>-63.2</v>
      </c>
      <c r="G130" s="125">
        <f t="shared" si="5"/>
        <v>95.070000000000007</v>
      </c>
      <c r="H130" s="159"/>
      <c r="X130"/>
    </row>
    <row r="131" spans="1:24" ht="47.25">
      <c r="A131" s="66">
        <v>43914</v>
      </c>
      <c r="B131" s="126" t="str">
        <f>VLOOKUP(MONTH(A131),'Lookup Tables'!$A$3:$B$14,2,FALSE)</f>
        <v>Mar</v>
      </c>
      <c r="C131" s="153" t="s">
        <v>249</v>
      </c>
      <c r="D131" s="153" t="s">
        <v>379</v>
      </c>
      <c r="E131" s="154" t="s">
        <v>624</v>
      </c>
      <c r="F131" s="155">
        <v>5</v>
      </c>
      <c r="G131" s="125">
        <f t="shared" si="5"/>
        <v>100.07000000000001</v>
      </c>
      <c r="H131" s="159"/>
      <c r="X131"/>
    </row>
    <row r="132" spans="1:24">
      <c r="A132" s="66">
        <v>43914</v>
      </c>
      <c r="B132" s="126" t="str">
        <f>VLOOKUP(MONTH(A132),'Lookup Tables'!$A$3:$B$14,2,FALSE)</f>
        <v>Mar</v>
      </c>
      <c r="C132" s="66" t="s">
        <v>251</v>
      </c>
      <c r="D132" s="58" t="s">
        <v>564</v>
      </c>
      <c r="E132" s="59" t="s">
        <v>565</v>
      </c>
      <c r="F132" s="59">
        <v>-105.99</v>
      </c>
      <c r="G132" s="125">
        <f t="shared" si="5"/>
        <v>-5.9199999999999875</v>
      </c>
      <c r="H132" s="159"/>
      <c r="X132"/>
    </row>
    <row r="133" spans="1:24" ht="47.25">
      <c r="A133" s="66">
        <v>43930</v>
      </c>
      <c r="B133" s="126" t="str">
        <f>VLOOKUP(MONTH(A133),'Lookup Tables'!$A$3:$B$14,2,FALSE)</f>
        <v>Apr</v>
      </c>
      <c r="C133" s="66" t="s">
        <v>249</v>
      </c>
      <c r="D133" s="58" t="s">
        <v>583</v>
      </c>
      <c r="E133" s="59">
        <v>12</v>
      </c>
      <c r="F133" s="59">
        <v>12</v>
      </c>
      <c r="G133" s="125">
        <f t="shared" si="5"/>
        <v>6.0800000000000125</v>
      </c>
      <c r="H133" s="159"/>
      <c r="I133" s="57">
        <v>12</v>
      </c>
      <c r="X133"/>
    </row>
    <row r="134" spans="1:24" ht="47.25">
      <c r="A134" s="66">
        <v>43930</v>
      </c>
      <c r="B134" s="126" t="str">
        <f>VLOOKUP(MONTH(A134),'Lookup Tables'!$A$3:$B$14,2,FALSE)</f>
        <v>Apr</v>
      </c>
      <c r="C134" s="66" t="s">
        <v>372</v>
      </c>
      <c r="D134" s="58" t="s">
        <v>241</v>
      </c>
      <c r="E134" s="75" t="s">
        <v>171</v>
      </c>
      <c r="F134" s="129">
        <f>-0.4*I133</f>
        <v>-4.8000000000000007</v>
      </c>
      <c r="G134" s="125">
        <f t="shared" si="5"/>
        <v>1.2800000000000118</v>
      </c>
      <c r="H134" s="159"/>
      <c r="X134"/>
    </row>
    <row r="135" spans="1:24">
      <c r="A135" s="66">
        <v>43933</v>
      </c>
      <c r="B135" s="126" t="str">
        <f>VLOOKUP(MONTH(A135),'Lookup Tables'!$A$3:$B$14,2,FALSE)</f>
        <v>Apr</v>
      </c>
      <c r="C135" s="66" t="s">
        <v>249</v>
      </c>
      <c r="D135" s="58" t="s">
        <v>370</v>
      </c>
      <c r="E135" s="62" t="s">
        <v>623</v>
      </c>
      <c r="F135" s="59">
        <v>25</v>
      </c>
      <c r="G135" s="125">
        <f t="shared" si="5"/>
        <v>26.280000000000012</v>
      </c>
      <c r="H135" s="159" t="s">
        <v>626</v>
      </c>
      <c r="X135"/>
    </row>
    <row r="136" spans="1:24">
      <c r="A136" s="66">
        <v>43933</v>
      </c>
      <c r="B136" s="126" t="str">
        <f>VLOOKUP(MONTH(A136),'Lookup Tables'!$A$3:$B$14,2,FALSE)</f>
        <v>Apr</v>
      </c>
      <c r="C136" s="66" t="s">
        <v>251</v>
      </c>
      <c r="D136" s="58" t="s">
        <v>273</v>
      </c>
      <c r="E136" s="59" t="s">
        <v>382</v>
      </c>
      <c r="F136" s="59">
        <f>-1*(24.99+(6%*24.99))</f>
        <v>-26.4894</v>
      </c>
      <c r="G136" s="125">
        <f>G135+F136</f>
        <v>-0.20939999999998804</v>
      </c>
      <c r="H136" s="147" t="s">
        <v>626</v>
      </c>
      <c r="X136"/>
    </row>
    <row r="137" spans="1:24">
      <c r="A137" s="66">
        <v>44068</v>
      </c>
      <c r="B137" s="126" t="str">
        <f>VLOOKUP(MONTH(A137),'Lookup Tables'!$A$3:$B$14,2,FALSE)</f>
        <v>Aug</v>
      </c>
      <c r="C137" s="66" t="s">
        <v>249</v>
      </c>
      <c r="D137" s="58" t="s">
        <v>370</v>
      </c>
      <c r="F137" s="59">
        <v>4.25</v>
      </c>
      <c r="G137" s="125">
        <f t="shared" ref="G137:G139" si="6">G136+F137</f>
        <v>4.040600000000012</v>
      </c>
      <c r="X137"/>
    </row>
    <row r="138" spans="1:24">
      <c r="A138" s="66">
        <v>44068</v>
      </c>
      <c r="B138" s="126" t="str">
        <f>VLOOKUP(MONTH(A138),'Lookup Tables'!$A$3:$B$14,2,FALSE)</f>
        <v>Aug</v>
      </c>
      <c r="C138" s="66" t="s">
        <v>251</v>
      </c>
      <c r="D138" s="58" t="s">
        <v>273</v>
      </c>
      <c r="E138" s="59" t="s">
        <v>1022</v>
      </c>
      <c r="F138" s="59">
        <f>-3.99-(0.06*3.99)</f>
        <v>-4.2294</v>
      </c>
      <c r="G138" s="125">
        <f t="shared" si="6"/>
        <v>-0.18879999999998809</v>
      </c>
      <c r="X138"/>
    </row>
    <row r="139" spans="1:24" ht="63">
      <c r="A139" s="66">
        <v>44068</v>
      </c>
      <c r="B139" s="126" t="str">
        <f>VLOOKUP(MONTH(A139),'Lookup Tables'!$A$3:$B$14,2,FALSE)</f>
        <v>Aug</v>
      </c>
      <c r="C139" s="66" t="s">
        <v>251</v>
      </c>
      <c r="E139" s="58" t="s">
        <v>1023</v>
      </c>
      <c r="F139" s="59">
        <v>-20</v>
      </c>
      <c r="G139" s="125">
        <f t="shared" si="6"/>
        <v>-20.188799999999986</v>
      </c>
      <c r="X139"/>
    </row>
    <row r="140" spans="1:24">
      <c r="A140" s="66">
        <v>44087</v>
      </c>
      <c r="B140" s="126" t="str">
        <f>VLOOKUP(MONTH(A140),'Lookup Tables'!$A$3:$B$14,2,FALSE)</f>
        <v>Sep</v>
      </c>
      <c r="C140" s="66" t="s">
        <v>249</v>
      </c>
      <c r="D140" s="58" t="s">
        <v>370</v>
      </c>
      <c r="E140" s="58"/>
      <c r="F140" s="59">
        <v>20</v>
      </c>
      <c r="G140" s="125">
        <f t="shared" ref="G140:G142" si="7">G139+F140</f>
        <v>-0.18879999999998631</v>
      </c>
      <c r="X140"/>
    </row>
    <row r="141" spans="1:24">
      <c r="A141" s="66">
        <v>44087</v>
      </c>
      <c r="B141" s="126" t="str">
        <f>VLOOKUP(MONTH(A141),'Lookup Tables'!$A$3:$B$14,2,FALSE)</f>
        <v>Sep</v>
      </c>
      <c r="C141" s="66" t="s">
        <v>249</v>
      </c>
      <c r="D141" s="58" t="s">
        <v>370</v>
      </c>
      <c r="F141" s="62">
        <v>25</v>
      </c>
      <c r="G141" s="125">
        <f t="shared" si="7"/>
        <v>24.811200000000014</v>
      </c>
      <c r="X141"/>
    </row>
    <row r="142" spans="1:24">
      <c r="D142" s="58" t="s">
        <v>273</v>
      </c>
      <c r="F142" s="59">
        <v>-24.99</v>
      </c>
      <c r="G142" s="125">
        <f t="shared" si="7"/>
        <v>-0.17879999999998475</v>
      </c>
      <c r="X142"/>
    </row>
    <row r="143" spans="1:24">
      <c r="F143" s="59"/>
      <c r="X143"/>
    </row>
    <row r="144" spans="1:24">
      <c r="F144" s="59"/>
      <c r="X144"/>
    </row>
    <row r="145" spans="6:24">
      <c r="F145" s="59"/>
      <c r="X145"/>
    </row>
    <row r="146" spans="6:24">
      <c r="F146" s="59"/>
      <c r="X146"/>
    </row>
    <row r="147" spans="6:24">
      <c r="F147" s="59"/>
      <c r="X147"/>
    </row>
    <row r="148" spans="6:24">
      <c r="F148" s="59"/>
      <c r="X148"/>
    </row>
    <row r="149" spans="6:24">
      <c r="F149" s="59"/>
      <c r="X149"/>
    </row>
    <row r="150" spans="6:24">
      <c r="F150" s="59"/>
      <c r="X150"/>
    </row>
    <row r="151" spans="6:24">
      <c r="F151" s="59"/>
      <c r="X151"/>
    </row>
    <row r="152" spans="6:24">
      <c r="F152" s="59"/>
      <c r="X152"/>
    </row>
    <row r="153" spans="6:24">
      <c r="F153" s="59"/>
      <c r="X153"/>
    </row>
    <row r="154" spans="6:24">
      <c r="F154" s="59"/>
      <c r="X154"/>
    </row>
    <row r="155" spans="6:24">
      <c r="F155" s="59"/>
      <c r="X155"/>
    </row>
    <row r="156" spans="6:24">
      <c r="F156" s="59"/>
      <c r="X156"/>
    </row>
    <row r="157" spans="6:24">
      <c r="F157" s="59"/>
      <c r="X157"/>
    </row>
    <row r="158" spans="6:24">
      <c r="F158" s="59"/>
      <c r="X158"/>
    </row>
  </sheetData>
  <pageMargins left="0.7" right="0.7" top="0.75" bottom="0.75" header="0.3" footer="0.3"/>
  <tableParts count="2">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84F83-5699-F24C-8CF2-CCCB6CCB1408}">
  <sheetPr codeName="Sheet9"/>
  <dimension ref="A1:D32"/>
  <sheetViews>
    <sheetView workbookViewId="0">
      <selection activeCell="C23" sqref="C23"/>
    </sheetView>
  </sheetViews>
  <sheetFormatPr defaultColWidth="11" defaultRowHeight="15.75"/>
  <cols>
    <col min="1" max="1" width="10.875" style="68"/>
    <col min="2" max="2" width="32.125" style="3" customWidth="1"/>
    <col min="3" max="4" width="10.875" style="2"/>
  </cols>
  <sheetData>
    <row r="1" spans="1:4">
      <c r="A1" s="68" t="s">
        <v>0</v>
      </c>
      <c r="B1" s="3" t="s">
        <v>1</v>
      </c>
      <c r="C1" s="2" t="s">
        <v>5</v>
      </c>
      <c r="D1" s="2" t="s">
        <v>221</v>
      </c>
    </row>
    <row r="2" spans="1:4" ht="31.5">
      <c r="A2" s="68">
        <v>43414</v>
      </c>
      <c r="B2" s="3" t="s">
        <v>220</v>
      </c>
      <c r="C2" s="2">
        <v>7000</v>
      </c>
      <c r="D2" s="2">
        <v>7000</v>
      </c>
    </row>
    <row r="3" spans="1:4">
      <c r="A3" s="68">
        <v>43414</v>
      </c>
      <c r="B3" s="3" t="s">
        <v>219</v>
      </c>
      <c r="C3" s="2">
        <v>10</v>
      </c>
      <c r="D3" s="2">
        <f t="shared" ref="D3:D32" si="0">D2+C3</f>
        <v>7010</v>
      </c>
    </row>
    <row r="4" spans="1:4">
      <c r="A4" s="68">
        <v>43416</v>
      </c>
      <c r="B4" s="3" t="s">
        <v>219</v>
      </c>
      <c r="C4" s="2">
        <v>6</v>
      </c>
      <c r="D4" s="2">
        <f t="shared" si="0"/>
        <v>7016</v>
      </c>
    </row>
    <row r="5" spans="1:4">
      <c r="A5" s="68">
        <v>43416</v>
      </c>
      <c r="B5" s="3" t="s">
        <v>219</v>
      </c>
      <c r="C5" s="2">
        <v>5.6</v>
      </c>
      <c r="D5" s="2">
        <f t="shared" si="0"/>
        <v>7021.6</v>
      </c>
    </row>
    <row r="6" spans="1:4">
      <c r="A6" s="68">
        <v>43439</v>
      </c>
      <c r="B6" s="3" t="s">
        <v>219</v>
      </c>
      <c r="C6" s="2">
        <v>5.04</v>
      </c>
      <c r="D6" s="2">
        <f t="shared" si="0"/>
        <v>7026.64</v>
      </c>
    </row>
    <row r="7" spans="1:4">
      <c r="A7" s="68">
        <v>43443</v>
      </c>
      <c r="B7" s="3" t="s">
        <v>219</v>
      </c>
      <c r="C7" s="2">
        <v>7.33</v>
      </c>
      <c r="D7" s="2">
        <f t="shared" si="0"/>
        <v>7033.97</v>
      </c>
    </row>
    <row r="8" spans="1:4">
      <c r="A8" s="68">
        <v>43455</v>
      </c>
      <c r="B8" s="3" t="s">
        <v>219</v>
      </c>
      <c r="C8" s="2">
        <v>4</v>
      </c>
      <c r="D8" s="2">
        <f t="shared" si="0"/>
        <v>7037.97</v>
      </c>
    </row>
    <row r="9" spans="1:4">
      <c r="A9" s="68">
        <v>43455</v>
      </c>
      <c r="B9" s="3" t="s">
        <v>219</v>
      </c>
      <c r="C9" s="2">
        <v>4</v>
      </c>
      <c r="D9" s="2">
        <f t="shared" si="0"/>
        <v>7041.97</v>
      </c>
    </row>
    <row r="10" spans="1:4">
      <c r="A10" s="68">
        <v>43826</v>
      </c>
      <c r="B10" s="3" t="s">
        <v>219</v>
      </c>
      <c r="C10" s="2">
        <v>44</v>
      </c>
      <c r="D10" s="2">
        <f t="shared" si="0"/>
        <v>7085.97</v>
      </c>
    </row>
    <row r="11" spans="1:4">
      <c r="A11" s="68">
        <v>43486</v>
      </c>
      <c r="B11" s="3" t="s">
        <v>219</v>
      </c>
      <c r="C11" s="2">
        <v>6</v>
      </c>
      <c r="D11" s="2">
        <f t="shared" si="0"/>
        <v>7091.97</v>
      </c>
    </row>
    <row r="12" spans="1:4">
      <c r="A12" s="68">
        <v>43526</v>
      </c>
      <c r="B12" s="3" t="s">
        <v>219</v>
      </c>
      <c r="C12" s="2">
        <v>11.92</v>
      </c>
      <c r="D12" s="2">
        <f t="shared" si="0"/>
        <v>7103.89</v>
      </c>
    </row>
    <row r="13" spans="1:4">
      <c r="A13" s="68">
        <v>43543</v>
      </c>
      <c r="B13" s="3" t="s">
        <v>219</v>
      </c>
      <c r="C13" s="2">
        <v>4.8</v>
      </c>
      <c r="D13" s="2">
        <f t="shared" si="0"/>
        <v>7108.6900000000005</v>
      </c>
    </row>
    <row r="14" spans="1:4">
      <c r="A14" s="68">
        <v>43568</v>
      </c>
      <c r="B14" s="3" t="s">
        <v>219</v>
      </c>
      <c r="C14" s="2">
        <v>5.6</v>
      </c>
      <c r="D14" s="2">
        <f t="shared" si="0"/>
        <v>7114.2900000000009</v>
      </c>
    </row>
    <row r="15" spans="1:4">
      <c r="A15" s="68">
        <v>43593</v>
      </c>
      <c r="B15" s="3" t="s">
        <v>219</v>
      </c>
      <c r="C15" s="2">
        <v>4</v>
      </c>
      <c r="D15" s="2">
        <f t="shared" si="0"/>
        <v>7118.2900000000009</v>
      </c>
    </row>
    <row r="16" spans="1:4">
      <c r="A16" s="68">
        <v>43605</v>
      </c>
      <c r="B16" s="3" t="s">
        <v>219</v>
      </c>
      <c r="C16" s="2">
        <v>5.6</v>
      </c>
      <c r="D16" s="2">
        <f t="shared" si="0"/>
        <v>7123.8900000000012</v>
      </c>
    </row>
    <row r="17" spans="1:4">
      <c r="A17" s="68">
        <v>43628</v>
      </c>
      <c r="B17" s="3" t="s">
        <v>219</v>
      </c>
      <c r="C17" s="2">
        <v>4</v>
      </c>
      <c r="D17" s="2">
        <f t="shared" si="0"/>
        <v>7127.8900000000012</v>
      </c>
    </row>
    <row r="18" spans="1:4">
      <c r="A18" s="68">
        <v>43686</v>
      </c>
      <c r="B18" s="3" t="s">
        <v>219</v>
      </c>
      <c r="C18" s="2">
        <v>8</v>
      </c>
      <c r="D18" s="2">
        <f t="shared" si="0"/>
        <v>7135.8900000000012</v>
      </c>
    </row>
    <row r="19" spans="1:4">
      <c r="A19" s="68">
        <v>43694</v>
      </c>
      <c r="B19" s="3" t="s">
        <v>219</v>
      </c>
      <c r="C19" s="2">
        <v>4</v>
      </c>
      <c r="D19" s="2">
        <f t="shared" si="0"/>
        <v>7139.8900000000012</v>
      </c>
    </row>
    <row r="20" spans="1:4">
      <c r="A20" s="68">
        <v>43826</v>
      </c>
      <c r="B20" s="3" t="s">
        <v>219</v>
      </c>
      <c r="C20" s="2">
        <v>14</v>
      </c>
      <c r="D20" s="2">
        <f t="shared" si="0"/>
        <v>7153.8900000000012</v>
      </c>
    </row>
    <row r="21" spans="1:4">
      <c r="A21" s="68">
        <v>43862</v>
      </c>
      <c r="B21" s="3" t="s">
        <v>219</v>
      </c>
      <c r="C21" s="2">
        <v>9.1999999999999993</v>
      </c>
      <c r="D21" s="2">
        <f t="shared" si="0"/>
        <v>7163.0900000000011</v>
      </c>
    </row>
    <row r="22" spans="1:4">
      <c r="A22" s="68">
        <v>43912</v>
      </c>
      <c r="B22" s="3" t="s">
        <v>219</v>
      </c>
      <c r="C22" s="2">
        <v>63.2</v>
      </c>
      <c r="D22" s="2">
        <f t="shared" si="0"/>
        <v>7226.2900000000009</v>
      </c>
    </row>
    <row r="23" spans="1:4">
      <c r="B23" s="3" t="s">
        <v>219</v>
      </c>
      <c r="C23" s="2">
        <v>0</v>
      </c>
      <c r="D23" s="2">
        <f t="shared" si="0"/>
        <v>7226.2900000000009</v>
      </c>
    </row>
    <row r="24" spans="1:4">
      <c r="B24" s="3" t="s">
        <v>219</v>
      </c>
      <c r="C24" s="2">
        <v>0</v>
      </c>
      <c r="D24" s="2">
        <f t="shared" si="0"/>
        <v>7226.2900000000009</v>
      </c>
    </row>
    <row r="25" spans="1:4">
      <c r="B25" s="3" t="s">
        <v>219</v>
      </c>
      <c r="C25" s="2">
        <v>0</v>
      </c>
      <c r="D25" s="2">
        <f t="shared" si="0"/>
        <v>7226.2900000000009</v>
      </c>
    </row>
    <row r="26" spans="1:4">
      <c r="B26" s="3" t="s">
        <v>219</v>
      </c>
      <c r="C26" s="2">
        <v>0</v>
      </c>
      <c r="D26" s="2">
        <f t="shared" si="0"/>
        <v>7226.2900000000009</v>
      </c>
    </row>
    <row r="27" spans="1:4">
      <c r="B27" s="3" t="s">
        <v>219</v>
      </c>
      <c r="C27" s="2">
        <v>0</v>
      </c>
      <c r="D27" s="2">
        <f t="shared" si="0"/>
        <v>7226.2900000000009</v>
      </c>
    </row>
    <row r="28" spans="1:4">
      <c r="B28" s="3" t="s">
        <v>219</v>
      </c>
      <c r="C28" s="2">
        <v>0</v>
      </c>
      <c r="D28" s="2">
        <f t="shared" si="0"/>
        <v>7226.2900000000009</v>
      </c>
    </row>
    <row r="29" spans="1:4">
      <c r="B29" s="3" t="s">
        <v>219</v>
      </c>
      <c r="C29" s="2">
        <v>0</v>
      </c>
      <c r="D29" s="2">
        <f t="shared" si="0"/>
        <v>7226.2900000000009</v>
      </c>
    </row>
    <row r="30" spans="1:4">
      <c r="B30" s="3" t="s">
        <v>219</v>
      </c>
      <c r="C30" s="2">
        <v>0</v>
      </c>
      <c r="D30" s="2">
        <f t="shared" si="0"/>
        <v>7226.2900000000009</v>
      </c>
    </row>
    <row r="31" spans="1:4">
      <c r="B31" s="3" t="s">
        <v>219</v>
      </c>
      <c r="C31" s="2">
        <v>0</v>
      </c>
      <c r="D31" s="2">
        <f t="shared" si="0"/>
        <v>7226.2900000000009</v>
      </c>
    </row>
    <row r="32" spans="1:4">
      <c r="B32" s="3" t="s">
        <v>219</v>
      </c>
      <c r="C32" s="2">
        <v>0</v>
      </c>
      <c r="D32" s="2">
        <f t="shared" si="0"/>
        <v>7226.2900000000009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2020 Budget</vt:lpstr>
      <vt:lpstr>Expense Detail</vt:lpstr>
      <vt:lpstr>Lookup Tables</vt:lpstr>
      <vt:lpstr>Mortgage</vt:lpstr>
      <vt:lpstr>PROPERTY TAXES</vt:lpstr>
      <vt:lpstr>Schwab</vt:lpstr>
      <vt:lpstr>Sprint</vt:lpstr>
      <vt:lpstr>Expense Detail Old</vt:lpstr>
      <vt:lpstr>Phil Amount Summaries</vt:lpstr>
      <vt:lpstr>Phil Long Term Savings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Prost</dc:creator>
  <cp:lastModifiedBy>C Prost</cp:lastModifiedBy>
  <cp:lastPrinted>2020-07-21T18:35:03Z</cp:lastPrinted>
  <dcterms:created xsi:type="dcterms:W3CDTF">2019-04-11T01:34:15Z</dcterms:created>
  <dcterms:modified xsi:type="dcterms:W3CDTF">2020-09-26T11:09:33Z</dcterms:modified>
</cp:coreProperties>
</file>